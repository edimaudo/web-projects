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showInkAnnotation="0" codeName="ThisWorkbook" autoCompressPictures="0"/>
  <bookViews>
    <workbookView xWindow="0" yWindow="300" windowWidth="15480" windowHeight="6960" tabRatio="500" activeTab="1"/>
  </bookViews>
  <sheets>
    <sheet name="MAIN" sheetId="3" r:id="rId1"/>
    <sheet name="Price Data (Do Not Delete)" sheetId="1" r:id="rId2"/>
  </sheets>
  <calcPr calcId="12451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9" i="1"/>
  <c r="J59"/>
  <c r="I58"/>
  <c r="J58"/>
  <c r="I57"/>
  <c r="J57"/>
  <c r="I56"/>
  <c r="J56"/>
  <c r="I55"/>
  <c r="J55"/>
  <c r="I53"/>
  <c r="J53"/>
  <c r="I52"/>
  <c r="J52"/>
  <c r="I51"/>
  <c r="J51"/>
  <c r="I50"/>
  <c r="J50"/>
  <c r="I49"/>
  <c r="J49"/>
  <c r="I47"/>
  <c r="J47"/>
  <c r="I46"/>
  <c r="J46"/>
  <c r="I45"/>
  <c r="J45"/>
  <c r="I44"/>
  <c r="J44"/>
  <c r="I43"/>
  <c r="J43"/>
  <c r="G24"/>
  <c r="G25"/>
  <c r="G26"/>
  <c r="G27"/>
  <c r="G23"/>
  <c r="G4"/>
  <c r="G5"/>
  <c r="G6"/>
  <c r="G7"/>
  <c r="G3"/>
  <c r="I39"/>
  <c r="J39"/>
  <c r="I38"/>
  <c r="J38"/>
  <c r="I37"/>
  <c r="J37"/>
  <c r="I36"/>
  <c r="J36"/>
  <c r="I35"/>
  <c r="J35"/>
  <c r="I33"/>
  <c r="J33"/>
  <c r="I32"/>
  <c r="J32"/>
  <c r="I31"/>
  <c r="J31"/>
  <c r="I30"/>
  <c r="J30"/>
  <c r="I29"/>
  <c r="J29"/>
  <c r="I27"/>
  <c r="J27"/>
  <c r="I26"/>
  <c r="J26"/>
  <c r="I25"/>
  <c r="J25"/>
  <c r="I24"/>
  <c r="J24"/>
  <c r="I23"/>
  <c r="J23"/>
  <c r="J4"/>
  <c r="I4"/>
  <c r="J5"/>
  <c r="I5"/>
  <c r="I6"/>
  <c r="J6"/>
  <c r="I7"/>
  <c r="J7"/>
  <c r="I9"/>
  <c r="J9"/>
  <c r="I10"/>
  <c r="J10"/>
  <c r="I11"/>
  <c r="J11"/>
  <c r="I12"/>
  <c r="J12"/>
  <c r="I13"/>
  <c r="J13"/>
  <c r="I15"/>
  <c r="J15"/>
  <c r="I16"/>
  <c r="J16"/>
  <c r="I17"/>
  <c r="J17"/>
  <c r="I18"/>
  <c r="J18"/>
  <c r="I19"/>
  <c r="J19"/>
  <c r="I3"/>
  <c r="J3"/>
  <c r="G16"/>
  <c r="G17"/>
  <c r="G18"/>
  <c r="G19"/>
  <c r="G15"/>
  <c r="G10"/>
  <c r="G11"/>
  <c r="G12"/>
  <c r="G13"/>
  <c r="G9"/>
</calcChain>
</file>

<file path=xl/sharedStrings.xml><?xml version="1.0" encoding="utf-8"?>
<sst xmlns="http://schemas.openxmlformats.org/spreadsheetml/2006/main" count="130" uniqueCount="67">
  <si>
    <t>Beam Length</t>
  </si>
  <si>
    <t>2012-4</t>
  </si>
  <si>
    <t>Code</t>
  </si>
  <si>
    <t>Height</t>
  </si>
  <si>
    <t>Depth</t>
  </si>
  <si>
    <t>Bay Rating</t>
  </si>
  <si>
    <t>2400kg</t>
  </si>
  <si>
    <t>Price</t>
  </si>
  <si>
    <t>Bay Length</t>
  </si>
  <si>
    <t>2200kg</t>
  </si>
  <si>
    <t>2015-4</t>
  </si>
  <si>
    <t>2018-4</t>
  </si>
  <si>
    <t>2000kg</t>
  </si>
  <si>
    <t>2020-4</t>
  </si>
  <si>
    <t>1800kg</t>
  </si>
  <si>
    <t>1600kg</t>
  </si>
  <si>
    <t>2012-6</t>
  </si>
  <si>
    <t>2015-6</t>
  </si>
  <si>
    <t>2018-6</t>
  </si>
  <si>
    <t>2020-6</t>
  </si>
  <si>
    <t>Extra Bay Price</t>
  </si>
  <si>
    <t>2020-8</t>
  </si>
  <si>
    <t>2012-8</t>
  </si>
  <si>
    <t>2015-8</t>
  </si>
  <si>
    <t>2018-8</t>
  </si>
  <si>
    <t>2024-8</t>
  </si>
  <si>
    <t>2040-6</t>
  </si>
  <si>
    <t>Extra Bay Length</t>
  </si>
  <si>
    <t>2500mm High</t>
  </si>
  <si>
    <t>2000mm High</t>
  </si>
  <si>
    <t>Extra Shelf</t>
  </si>
  <si>
    <t>3000mm High</t>
  </si>
  <si>
    <t>Description:</t>
  </si>
  <si>
    <t>Macro Instructions:</t>
  </si>
  <si>
    <t>1) Click on the START Button.</t>
  </si>
  <si>
    <t>3) Click on the Execute Button.</t>
  </si>
  <si>
    <t>4) Wait for the macro to execute.</t>
  </si>
  <si>
    <t>This tool will let calculate the number of shelves require to fill an area.</t>
  </si>
  <si>
    <t>2) An Excel form will appear. Answer the questions to meet your needs.</t>
  </si>
  <si>
    <t>2512-4</t>
  </si>
  <si>
    <t>2515-4</t>
  </si>
  <si>
    <t>2518-4</t>
  </si>
  <si>
    <t>2520-4</t>
  </si>
  <si>
    <t>2512-6</t>
  </si>
  <si>
    <t>2515-6</t>
  </si>
  <si>
    <t>2518-6</t>
  </si>
  <si>
    <t>2520-6</t>
  </si>
  <si>
    <t>2540-6</t>
  </si>
  <si>
    <t>2512-8</t>
  </si>
  <si>
    <t>2515-8</t>
  </si>
  <si>
    <t>2518-8</t>
  </si>
  <si>
    <t>2520-8</t>
  </si>
  <si>
    <t>2524-8</t>
  </si>
  <si>
    <t>3012-4</t>
  </si>
  <si>
    <t>3015-4</t>
  </si>
  <si>
    <t>3018-4</t>
  </si>
  <si>
    <t>3020-4</t>
  </si>
  <si>
    <t>3012-6</t>
  </si>
  <si>
    <t>3015-6</t>
  </si>
  <si>
    <t>3018-6</t>
  </si>
  <si>
    <t>3020-6</t>
  </si>
  <si>
    <t>3040-6</t>
  </si>
  <si>
    <t>3012-8</t>
  </si>
  <si>
    <t>3015-8</t>
  </si>
  <si>
    <t>3018-8</t>
  </si>
  <si>
    <t>3020-8</t>
  </si>
  <si>
    <t>3024-8</t>
  </si>
</sst>
</file>

<file path=xl/styles.xml><?xml version="1.0" encoding="utf-8"?>
<styleSheet xmlns="http://schemas.openxmlformats.org/spreadsheetml/2006/main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9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44" fontId="0" fillId="0" borderId="0" xfId="1" applyFont="1"/>
    <xf numFmtId="44" fontId="2" fillId="2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0" fontId="5" fillId="4" borderId="0" xfId="18" applyFill="1"/>
    <xf numFmtId="0" fontId="5" fillId="4" borderId="1" xfId="18" applyFill="1" applyBorder="1"/>
    <xf numFmtId="0" fontId="5" fillId="4" borderId="2" xfId="18" applyFill="1" applyBorder="1"/>
    <xf numFmtId="0" fontId="5" fillId="4" borderId="3" xfId="18" applyFill="1" applyBorder="1"/>
    <xf numFmtId="0" fontId="5" fillId="4" borderId="4" xfId="18" applyFill="1" applyBorder="1"/>
    <xf numFmtId="0" fontId="5" fillId="4" borderId="0" xfId="18" applyFill="1" applyBorder="1"/>
    <xf numFmtId="0" fontId="5" fillId="4" borderId="5" xfId="18" applyFill="1" applyBorder="1"/>
    <xf numFmtId="0" fontId="5" fillId="0" borderId="0" xfId="18" applyFill="1" applyBorder="1"/>
    <xf numFmtId="0" fontId="6" fillId="4" borderId="0" xfId="18" applyFont="1" applyFill="1" applyBorder="1"/>
    <xf numFmtId="0" fontId="5" fillId="0" borderId="0" xfId="18" applyBorder="1"/>
    <xf numFmtId="0" fontId="5" fillId="4" borderId="6" xfId="18" applyFill="1" applyBorder="1"/>
    <xf numFmtId="0" fontId="5" fillId="4" borderId="7" xfId="18" applyFill="1" applyBorder="1"/>
    <xf numFmtId="0" fontId="5" fillId="4" borderId="8" xfId="18" applyFill="1" applyBorder="1"/>
    <xf numFmtId="44" fontId="0" fillId="0" borderId="0" xfId="0" applyNumberFormat="1"/>
    <xf numFmtId="164" fontId="0" fillId="0" borderId="0" xfId="0" applyNumberFormat="1"/>
    <xf numFmtId="0" fontId="0" fillId="3" borderId="0" xfId="0" applyFill="1" applyAlignment="1">
      <alignment horizontal="center"/>
    </xf>
  </cellXfs>
  <cellStyles count="19">
    <cellStyle name="Currency" xfId="1" builtinId="4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Normal" xfId="0" builtinId="0"/>
    <cellStyle name="Normal 2" xfId="18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Q20"/>
  <sheetViews>
    <sheetView zoomScale="90" zoomScaleNormal="90" workbookViewId="0">
      <selection activeCell="D6" sqref="D6"/>
    </sheetView>
  </sheetViews>
  <sheetFormatPr defaultColWidth="7.75" defaultRowHeight="12.75"/>
  <cols>
    <col min="1" max="3" width="7.75" style="6"/>
    <col min="4" max="4" width="11.125" style="6" bestFit="1" customWidth="1"/>
    <col min="5" max="5" width="9.75" style="6" customWidth="1"/>
    <col min="6" max="6" width="11.125" style="6" bestFit="1" customWidth="1"/>
    <col min="7" max="8" width="9" style="6" bestFit="1" customWidth="1"/>
    <col min="9" max="9" width="11.5" style="6" bestFit="1" customWidth="1"/>
    <col min="10" max="10" width="12.125" style="6" bestFit="1" customWidth="1"/>
    <col min="11" max="11" width="11.5" style="6" bestFit="1" customWidth="1"/>
    <col min="12" max="12" width="12.125" style="6" bestFit="1" customWidth="1"/>
    <col min="13" max="16384" width="7.75" style="6"/>
  </cols>
  <sheetData>
    <row r="1" spans="2:17" ht="13.5" thickBot="1"/>
    <row r="2" spans="2:17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</row>
    <row r="3" spans="2:17">
      <c r="B3" s="10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2"/>
    </row>
    <row r="4" spans="2:17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2"/>
    </row>
    <row r="5" spans="2:17">
      <c r="B5" s="10"/>
      <c r="C5" s="11"/>
      <c r="D5" s="11"/>
      <c r="E5" s="11"/>
      <c r="F5" s="11"/>
      <c r="G5" s="13"/>
      <c r="H5" s="11"/>
      <c r="I5" s="11"/>
      <c r="J5" s="11"/>
      <c r="K5" s="11"/>
      <c r="L5" s="11"/>
      <c r="M5" s="11"/>
      <c r="N5" s="11"/>
      <c r="O5" s="11"/>
      <c r="P5" s="11"/>
      <c r="Q5" s="12"/>
    </row>
    <row r="6" spans="2:17">
      <c r="B6" s="10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2"/>
    </row>
    <row r="7" spans="2:17">
      <c r="B7" s="10"/>
      <c r="C7" s="11" t="s">
        <v>32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2"/>
    </row>
    <row r="8" spans="2:17">
      <c r="B8" s="10"/>
      <c r="C8" s="14" t="s">
        <v>37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2"/>
    </row>
    <row r="9" spans="2:17"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2"/>
    </row>
    <row r="10" spans="2:17"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2"/>
    </row>
    <row r="11" spans="2:17">
      <c r="B11" s="10"/>
      <c r="C11" s="14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2"/>
    </row>
    <row r="12" spans="2:17">
      <c r="B12" s="10"/>
      <c r="C12" s="11" t="s">
        <v>33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2"/>
    </row>
    <row r="13" spans="2:17">
      <c r="B13" s="10"/>
      <c r="C13" s="11" t="s">
        <v>34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2"/>
    </row>
    <row r="14" spans="2:17">
      <c r="B14" s="10"/>
      <c r="C14" s="14" t="s">
        <v>38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2"/>
    </row>
    <row r="15" spans="2:17">
      <c r="B15" s="10"/>
      <c r="C15" s="11" t="s">
        <v>35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2"/>
    </row>
    <row r="16" spans="2:17">
      <c r="B16" s="10"/>
      <c r="C16" s="11" t="s">
        <v>36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2"/>
    </row>
    <row r="17" spans="2:17"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2"/>
    </row>
    <row r="18" spans="2:17"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2"/>
    </row>
    <row r="19" spans="2:17">
      <c r="B19" s="10"/>
      <c r="C19" s="15"/>
      <c r="D19" s="15"/>
      <c r="E19" s="15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2"/>
    </row>
    <row r="20" spans="2:17" ht="13.5" thickBot="1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8"/>
    </row>
  </sheetData>
  <pageMargins left="0.75" right="0.75" top="1" bottom="1" header="0.5" footer="0.5"/>
  <pageSetup orientation="portrait" r:id="rId1"/>
  <headerFooter alignWithMargins="0"/>
  <legacyDrawing r:id="rId2"/>
  <controls>
    <control shapeId="1025" r:id="rId3" name="Ru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59"/>
  <sheetViews>
    <sheetView tabSelected="1" topLeftCell="A39" workbookViewId="0">
      <selection activeCell="H60" sqref="H60"/>
    </sheetView>
  </sheetViews>
  <sheetFormatPr defaultColWidth="11" defaultRowHeight="15.75"/>
  <cols>
    <col min="1" max="1" width="10.875" style="1"/>
    <col min="3" max="3" width="11.875" bestFit="1" customWidth="1"/>
    <col min="6" max="6" width="11.625" style="3" bestFit="1" customWidth="1"/>
    <col min="7" max="7" width="13.375" style="3" bestFit="1" customWidth="1"/>
    <col min="8" max="8" width="13.375" style="3" customWidth="1"/>
    <col min="9" max="9" width="11.875" style="1" bestFit="1" customWidth="1"/>
    <col min="10" max="10" width="14.875" bestFit="1" customWidth="1"/>
  </cols>
  <sheetData>
    <row r="1" spans="1:10" s="1" customFormat="1">
      <c r="E1" s="21" t="s">
        <v>29</v>
      </c>
      <c r="F1" s="21"/>
      <c r="G1" s="21"/>
      <c r="H1" s="21"/>
    </row>
    <row r="2" spans="1:10" s="1" customFormat="1">
      <c r="A2" s="2" t="s">
        <v>2</v>
      </c>
      <c r="B2" s="2" t="s">
        <v>3</v>
      </c>
      <c r="C2" s="2" t="s">
        <v>0</v>
      </c>
      <c r="D2" s="2" t="s">
        <v>4</v>
      </c>
      <c r="E2" s="2" t="s">
        <v>5</v>
      </c>
      <c r="F2" s="4" t="s">
        <v>7</v>
      </c>
      <c r="G2" s="4" t="s">
        <v>20</v>
      </c>
      <c r="H2" s="4" t="s">
        <v>30</v>
      </c>
      <c r="I2" s="2" t="s">
        <v>8</v>
      </c>
      <c r="J2" s="2" t="s">
        <v>27</v>
      </c>
    </row>
    <row r="3" spans="1:10" s="1" customFormat="1">
      <c r="A3" s="1" t="s">
        <v>1</v>
      </c>
      <c r="B3" s="1">
        <v>2000</v>
      </c>
      <c r="C3" s="1">
        <v>1200</v>
      </c>
      <c r="D3" s="1">
        <v>400</v>
      </c>
      <c r="E3" s="1" t="s">
        <v>6</v>
      </c>
      <c r="F3" s="5">
        <v>230</v>
      </c>
      <c r="G3" s="5">
        <f>F3-35</f>
        <v>195</v>
      </c>
      <c r="H3" s="5">
        <v>40</v>
      </c>
      <c r="I3" s="1">
        <f t="shared" ref="I3:I4" si="0">C3+110</f>
        <v>1310</v>
      </c>
      <c r="J3" s="1">
        <f>C3+55</f>
        <v>1255</v>
      </c>
    </row>
    <row r="4" spans="1:10">
      <c r="A4" s="1" t="s">
        <v>10</v>
      </c>
      <c r="B4" s="1">
        <v>2000</v>
      </c>
      <c r="C4" s="1">
        <v>1500</v>
      </c>
      <c r="D4" s="1">
        <v>400</v>
      </c>
      <c r="E4" s="1" t="s">
        <v>9</v>
      </c>
      <c r="F4" s="5">
        <v>266</v>
      </c>
      <c r="G4" s="5">
        <f t="shared" ref="G4:G7" si="1">F4-35</f>
        <v>231</v>
      </c>
      <c r="H4" s="5">
        <v>49</v>
      </c>
      <c r="I4" s="1">
        <f t="shared" si="0"/>
        <v>1610</v>
      </c>
      <c r="J4" s="1">
        <f>C4+55</f>
        <v>1555</v>
      </c>
    </row>
    <row r="5" spans="1:10">
      <c r="A5" s="1" t="s">
        <v>11</v>
      </c>
      <c r="B5" s="1">
        <v>2000</v>
      </c>
      <c r="C5" s="1">
        <v>1800</v>
      </c>
      <c r="D5" s="1">
        <v>400</v>
      </c>
      <c r="E5" s="1" t="s">
        <v>12</v>
      </c>
      <c r="F5" s="5">
        <v>294</v>
      </c>
      <c r="G5" s="5">
        <f t="shared" si="1"/>
        <v>259</v>
      </c>
      <c r="H5" s="5">
        <v>56</v>
      </c>
      <c r="I5" s="1">
        <f>C5+110</f>
        <v>1910</v>
      </c>
      <c r="J5" s="1">
        <f>C5+55</f>
        <v>1855</v>
      </c>
    </row>
    <row r="6" spans="1:10">
      <c r="A6" s="1" t="s">
        <v>13</v>
      </c>
      <c r="B6" s="1">
        <v>2000</v>
      </c>
      <c r="C6" s="1">
        <v>2000</v>
      </c>
      <c r="D6" s="1">
        <v>400</v>
      </c>
      <c r="E6" s="1" t="s">
        <v>14</v>
      </c>
      <c r="F6" s="3">
        <v>314</v>
      </c>
      <c r="G6" s="5">
        <f t="shared" si="1"/>
        <v>279</v>
      </c>
      <c r="H6" s="5">
        <v>61</v>
      </c>
      <c r="I6" s="1">
        <f>C6+110</f>
        <v>2110</v>
      </c>
      <c r="J6" s="1">
        <f>C6+55</f>
        <v>2055</v>
      </c>
    </row>
    <row r="7" spans="1:10">
      <c r="A7" s="1" t="s">
        <v>13</v>
      </c>
      <c r="B7" s="1">
        <v>2000</v>
      </c>
      <c r="C7" s="1">
        <v>2400</v>
      </c>
      <c r="D7" s="1">
        <v>400</v>
      </c>
      <c r="E7" s="1" t="s">
        <v>15</v>
      </c>
      <c r="F7" s="3">
        <v>346</v>
      </c>
      <c r="G7" s="5">
        <f t="shared" si="1"/>
        <v>311</v>
      </c>
      <c r="H7" s="5">
        <v>69</v>
      </c>
      <c r="I7" s="1">
        <f>C7+110</f>
        <v>2510</v>
      </c>
      <c r="J7" s="1">
        <f>C7+55</f>
        <v>2455</v>
      </c>
    </row>
    <row r="8" spans="1:10">
      <c r="J8" s="1"/>
    </row>
    <row r="9" spans="1:10">
      <c r="A9" s="1" t="s">
        <v>16</v>
      </c>
      <c r="B9" s="1">
        <v>2000</v>
      </c>
      <c r="C9" s="1">
        <v>1200</v>
      </c>
      <c r="D9" s="1">
        <v>600</v>
      </c>
      <c r="E9" s="1" t="s">
        <v>6</v>
      </c>
      <c r="F9" s="3">
        <v>252</v>
      </c>
      <c r="G9" s="3">
        <f>F9-40</f>
        <v>212</v>
      </c>
      <c r="H9" s="3">
        <v>43</v>
      </c>
      <c r="I9" s="1">
        <f>C9+110</f>
        <v>1310</v>
      </c>
      <c r="J9" s="1">
        <f>C9+55</f>
        <v>1255</v>
      </c>
    </row>
    <row r="10" spans="1:10">
      <c r="A10" s="1" t="s">
        <v>17</v>
      </c>
      <c r="B10" s="1">
        <v>2000</v>
      </c>
      <c r="C10" s="1">
        <v>1500</v>
      </c>
      <c r="D10" s="1">
        <v>600</v>
      </c>
      <c r="E10" s="1" t="s">
        <v>9</v>
      </c>
      <c r="F10" s="3">
        <v>292</v>
      </c>
      <c r="G10" s="3">
        <f t="shared" ref="G10:G13" si="2">F10-40</f>
        <v>252</v>
      </c>
      <c r="H10" s="3">
        <v>53</v>
      </c>
      <c r="I10" s="1">
        <f>C10+110</f>
        <v>1610</v>
      </c>
      <c r="J10" s="1">
        <f>C10+55</f>
        <v>1555</v>
      </c>
    </row>
    <row r="11" spans="1:10">
      <c r="A11" s="1" t="s">
        <v>18</v>
      </c>
      <c r="B11" s="1">
        <v>2000</v>
      </c>
      <c r="C11" s="1">
        <v>1800</v>
      </c>
      <c r="D11" s="1">
        <v>600</v>
      </c>
      <c r="E11" s="1" t="s">
        <v>12</v>
      </c>
      <c r="F11" s="3">
        <v>320</v>
      </c>
      <c r="G11" s="3">
        <f t="shared" si="2"/>
        <v>280</v>
      </c>
      <c r="H11" s="3">
        <v>60</v>
      </c>
      <c r="I11" s="1">
        <f>C11+110</f>
        <v>1910</v>
      </c>
      <c r="J11" s="1">
        <f>C11+55</f>
        <v>1855</v>
      </c>
    </row>
    <row r="12" spans="1:10">
      <c r="A12" s="1" t="s">
        <v>19</v>
      </c>
      <c r="B12" s="1">
        <v>2000</v>
      </c>
      <c r="C12" s="1">
        <v>2000</v>
      </c>
      <c r="D12" s="1">
        <v>600</v>
      </c>
      <c r="E12" s="1" t="s">
        <v>14</v>
      </c>
      <c r="F12" s="3">
        <v>344</v>
      </c>
      <c r="G12" s="3">
        <f t="shared" si="2"/>
        <v>304</v>
      </c>
      <c r="H12" s="3">
        <v>66</v>
      </c>
      <c r="I12" s="1">
        <f>C12+110</f>
        <v>2110</v>
      </c>
      <c r="J12" s="1">
        <f>C12+55</f>
        <v>2055</v>
      </c>
    </row>
    <row r="13" spans="1:10">
      <c r="A13" s="1" t="s">
        <v>26</v>
      </c>
      <c r="B13" s="1">
        <v>2000</v>
      </c>
      <c r="C13" s="1">
        <v>2400</v>
      </c>
      <c r="D13" s="1">
        <v>600</v>
      </c>
      <c r="E13" s="1" t="s">
        <v>15</v>
      </c>
      <c r="F13" s="3">
        <v>380</v>
      </c>
      <c r="G13" s="3">
        <f t="shared" si="2"/>
        <v>340</v>
      </c>
      <c r="H13" s="3">
        <v>75</v>
      </c>
      <c r="I13" s="1">
        <f>C13+110</f>
        <v>2510</v>
      </c>
      <c r="J13" s="1">
        <f>C13+55</f>
        <v>2455</v>
      </c>
    </row>
    <row r="14" spans="1:10">
      <c r="J14" s="1"/>
    </row>
    <row r="15" spans="1:10">
      <c r="A15" s="1" t="s">
        <v>22</v>
      </c>
      <c r="B15" s="1">
        <v>2000</v>
      </c>
      <c r="C15" s="1">
        <v>1200</v>
      </c>
      <c r="D15" s="1">
        <v>800</v>
      </c>
      <c r="E15" s="1" t="s">
        <v>6</v>
      </c>
      <c r="F15" s="3">
        <v>274</v>
      </c>
      <c r="G15" s="3">
        <f>F15-45</f>
        <v>229</v>
      </c>
      <c r="H15" s="3">
        <v>46</v>
      </c>
      <c r="I15" s="1">
        <f>C15+110</f>
        <v>1310</v>
      </c>
      <c r="J15" s="1">
        <f>C15+55</f>
        <v>1255</v>
      </c>
    </row>
    <row r="16" spans="1:10">
      <c r="A16" s="1" t="s">
        <v>23</v>
      </c>
      <c r="B16" s="1">
        <v>2000</v>
      </c>
      <c r="C16" s="1">
        <v>1500</v>
      </c>
      <c r="D16" s="1">
        <v>800</v>
      </c>
      <c r="E16" s="1" t="s">
        <v>9</v>
      </c>
      <c r="F16" s="3">
        <v>318</v>
      </c>
      <c r="G16" s="3">
        <f t="shared" ref="G16:G19" si="3">F16-45</f>
        <v>273</v>
      </c>
      <c r="H16" s="3">
        <v>57</v>
      </c>
      <c r="I16" s="1">
        <f>C16+110</f>
        <v>1610</v>
      </c>
      <c r="J16" s="1">
        <f>C16+55</f>
        <v>1555</v>
      </c>
    </row>
    <row r="17" spans="1:14">
      <c r="A17" s="1" t="s">
        <v>24</v>
      </c>
      <c r="B17" s="1">
        <v>2000</v>
      </c>
      <c r="C17" s="1">
        <v>1800</v>
      </c>
      <c r="D17" s="1">
        <v>800</v>
      </c>
      <c r="E17" s="1" t="s">
        <v>12</v>
      </c>
      <c r="F17" s="3">
        <v>342</v>
      </c>
      <c r="G17" s="3">
        <f t="shared" si="3"/>
        <v>297</v>
      </c>
      <c r="H17" s="3">
        <v>63</v>
      </c>
      <c r="I17" s="1">
        <f>C17+110</f>
        <v>1910</v>
      </c>
      <c r="J17" s="1">
        <f>C17+55</f>
        <v>1855</v>
      </c>
    </row>
    <row r="18" spans="1:14">
      <c r="A18" s="1" t="s">
        <v>21</v>
      </c>
      <c r="B18" s="1">
        <v>2000</v>
      </c>
      <c r="C18" s="1">
        <v>2000</v>
      </c>
      <c r="D18" s="1">
        <v>800</v>
      </c>
      <c r="E18" s="1" t="s">
        <v>14</v>
      </c>
      <c r="F18" s="3">
        <v>370</v>
      </c>
      <c r="G18" s="3">
        <f t="shared" si="3"/>
        <v>325</v>
      </c>
      <c r="H18" s="3">
        <v>70</v>
      </c>
      <c r="I18" s="1">
        <f>C18+110</f>
        <v>2110</v>
      </c>
      <c r="J18" s="1">
        <f>C18+55</f>
        <v>2055</v>
      </c>
    </row>
    <row r="19" spans="1:14">
      <c r="A19" s="1" t="s">
        <v>25</v>
      </c>
      <c r="B19" s="1">
        <v>2000</v>
      </c>
      <c r="C19" s="1">
        <v>2400</v>
      </c>
      <c r="D19" s="1">
        <v>800</v>
      </c>
      <c r="E19" s="1" t="s">
        <v>15</v>
      </c>
      <c r="F19" s="3">
        <v>406</v>
      </c>
      <c r="G19" s="3">
        <f t="shared" si="3"/>
        <v>361</v>
      </c>
      <c r="H19" s="3">
        <v>79</v>
      </c>
      <c r="I19" s="1">
        <f>C19+110</f>
        <v>2510</v>
      </c>
      <c r="J19" s="1">
        <f>C19+55</f>
        <v>2455</v>
      </c>
    </row>
    <row r="21" spans="1:14">
      <c r="E21" s="21" t="s">
        <v>28</v>
      </c>
      <c r="F21" s="21"/>
      <c r="G21" s="21"/>
      <c r="H21" s="21"/>
    </row>
    <row r="22" spans="1:14">
      <c r="A22" s="2" t="s">
        <v>2</v>
      </c>
      <c r="B22" s="2" t="s">
        <v>3</v>
      </c>
      <c r="C22" s="2" t="s">
        <v>0</v>
      </c>
      <c r="D22" s="2" t="s">
        <v>4</v>
      </c>
      <c r="E22" s="2" t="s">
        <v>5</v>
      </c>
      <c r="F22" s="4" t="s">
        <v>7</v>
      </c>
      <c r="G22" s="4" t="s">
        <v>20</v>
      </c>
      <c r="H22" s="4" t="s">
        <v>30</v>
      </c>
      <c r="I22" s="2" t="s">
        <v>8</v>
      </c>
      <c r="J22" s="2" t="s">
        <v>27</v>
      </c>
    </row>
    <row r="23" spans="1:14">
      <c r="A23" s="1" t="s">
        <v>39</v>
      </c>
      <c r="B23" s="1">
        <v>2500</v>
      </c>
      <c r="C23" s="1">
        <v>1200</v>
      </c>
      <c r="D23" s="1">
        <v>400</v>
      </c>
      <c r="E23" s="1" t="s">
        <v>6</v>
      </c>
      <c r="F23" s="5">
        <v>250</v>
      </c>
      <c r="G23" s="5">
        <f>F23-45</f>
        <v>205</v>
      </c>
      <c r="H23" s="5">
        <v>40</v>
      </c>
      <c r="I23" s="1">
        <f t="shared" ref="I23:I24" si="4">C23+110</f>
        <v>1310</v>
      </c>
      <c r="J23" s="1">
        <f>C23+55</f>
        <v>1255</v>
      </c>
    </row>
    <row r="24" spans="1:14">
      <c r="A24" s="1" t="s">
        <v>40</v>
      </c>
      <c r="B24" s="1">
        <v>2500</v>
      </c>
      <c r="C24" s="1">
        <v>1500</v>
      </c>
      <c r="D24" s="1">
        <v>400</v>
      </c>
      <c r="E24" s="1" t="s">
        <v>9</v>
      </c>
      <c r="F24" s="5">
        <v>286</v>
      </c>
      <c r="G24" s="5">
        <f t="shared" ref="G24:G27" si="5">F24-45</f>
        <v>241</v>
      </c>
      <c r="H24" s="5">
        <v>49</v>
      </c>
      <c r="I24" s="1">
        <f t="shared" si="4"/>
        <v>1610</v>
      </c>
      <c r="J24" s="1">
        <f t="shared" ref="J24:J27" si="6">C24+55</f>
        <v>1555</v>
      </c>
    </row>
    <row r="25" spans="1:14">
      <c r="A25" s="1" t="s">
        <v>41</v>
      </c>
      <c r="B25" s="1">
        <v>2500</v>
      </c>
      <c r="C25" s="1">
        <v>1800</v>
      </c>
      <c r="D25" s="1">
        <v>400</v>
      </c>
      <c r="E25" s="1" t="s">
        <v>12</v>
      </c>
      <c r="F25" s="5">
        <v>314</v>
      </c>
      <c r="G25" s="5">
        <f t="shared" si="5"/>
        <v>269</v>
      </c>
      <c r="H25" s="5">
        <v>56</v>
      </c>
      <c r="I25" s="1">
        <f>C25+110</f>
        <v>1910</v>
      </c>
      <c r="J25" s="1">
        <f t="shared" si="6"/>
        <v>1855</v>
      </c>
    </row>
    <row r="26" spans="1:14">
      <c r="A26" s="1" t="s">
        <v>42</v>
      </c>
      <c r="B26" s="1">
        <v>2500</v>
      </c>
      <c r="C26" s="1">
        <v>2000</v>
      </c>
      <c r="D26" s="1">
        <v>400</v>
      </c>
      <c r="E26" s="1" t="s">
        <v>14</v>
      </c>
      <c r="F26" s="3">
        <v>334</v>
      </c>
      <c r="G26" s="5">
        <f t="shared" si="5"/>
        <v>289</v>
      </c>
      <c r="H26" s="5">
        <v>61</v>
      </c>
      <c r="I26" s="1">
        <f t="shared" ref="I26:I27" si="7">C26+110</f>
        <v>2110</v>
      </c>
      <c r="J26" s="1">
        <f t="shared" si="6"/>
        <v>2055</v>
      </c>
    </row>
    <row r="27" spans="1:14">
      <c r="A27" s="1" t="s">
        <v>42</v>
      </c>
      <c r="B27" s="1">
        <v>2500</v>
      </c>
      <c r="C27" s="1">
        <v>2400</v>
      </c>
      <c r="D27" s="1">
        <v>400</v>
      </c>
      <c r="E27" s="1" t="s">
        <v>15</v>
      </c>
      <c r="F27" s="3">
        <v>366</v>
      </c>
      <c r="G27" s="5">
        <f t="shared" si="5"/>
        <v>321</v>
      </c>
      <c r="H27" s="5">
        <v>69</v>
      </c>
      <c r="I27" s="1">
        <f t="shared" si="7"/>
        <v>2510</v>
      </c>
      <c r="J27" s="1">
        <f t="shared" si="6"/>
        <v>2455</v>
      </c>
    </row>
    <row r="28" spans="1:14">
      <c r="B28" s="1"/>
      <c r="J28" s="1"/>
    </row>
    <row r="29" spans="1:14">
      <c r="A29" s="1" t="s">
        <v>43</v>
      </c>
      <c r="B29" s="1">
        <v>2500</v>
      </c>
      <c r="C29" s="1">
        <v>1200</v>
      </c>
      <c r="D29" s="1">
        <v>600</v>
      </c>
      <c r="E29" s="1" t="s">
        <v>6</v>
      </c>
      <c r="F29" s="3">
        <v>272</v>
      </c>
      <c r="G29" s="3">
        <v>222</v>
      </c>
      <c r="H29" s="3">
        <v>43</v>
      </c>
      <c r="I29" s="1">
        <f t="shared" ref="I29:I33" si="8">C29+110</f>
        <v>1310</v>
      </c>
      <c r="J29" s="1">
        <f t="shared" ref="J29:J33" si="9">C29+55</f>
        <v>1255</v>
      </c>
    </row>
    <row r="30" spans="1:14">
      <c r="A30" s="1" t="s">
        <v>44</v>
      </c>
      <c r="B30" s="1">
        <v>2500</v>
      </c>
      <c r="C30" s="1">
        <v>1500</v>
      </c>
      <c r="D30" s="1">
        <v>600</v>
      </c>
      <c r="E30" s="1" t="s">
        <v>9</v>
      </c>
      <c r="F30" s="3">
        <v>312</v>
      </c>
      <c r="G30" s="3">
        <v>262</v>
      </c>
      <c r="H30" s="3">
        <v>53</v>
      </c>
      <c r="I30" s="1">
        <f t="shared" si="8"/>
        <v>1610</v>
      </c>
      <c r="J30" s="1">
        <f t="shared" si="9"/>
        <v>1555</v>
      </c>
    </row>
    <row r="31" spans="1:14">
      <c r="A31" s="1" t="s">
        <v>45</v>
      </c>
      <c r="B31" s="1">
        <v>2500</v>
      </c>
      <c r="C31" s="1">
        <v>1800</v>
      </c>
      <c r="D31" s="1">
        <v>600</v>
      </c>
      <c r="E31" s="1" t="s">
        <v>12</v>
      </c>
      <c r="F31" s="3">
        <v>340</v>
      </c>
      <c r="G31" s="3">
        <v>290</v>
      </c>
      <c r="H31" s="3">
        <v>60</v>
      </c>
      <c r="I31" s="1">
        <f t="shared" si="8"/>
        <v>1910</v>
      </c>
      <c r="J31" s="1">
        <f t="shared" si="9"/>
        <v>1855</v>
      </c>
    </row>
    <row r="32" spans="1:14">
      <c r="A32" s="1" t="s">
        <v>46</v>
      </c>
      <c r="B32" s="1">
        <v>2500</v>
      </c>
      <c r="C32" s="1">
        <v>2000</v>
      </c>
      <c r="D32" s="1">
        <v>600</v>
      </c>
      <c r="E32" s="1" t="s">
        <v>14</v>
      </c>
      <c r="F32" s="3">
        <v>364</v>
      </c>
      <c r="G32" s="3">
        <v>314</v>
      </c>
      <c r="H32" s="3">
        <v>66</v>
      </c>
      <c r="I32" s="1">
        <f t="shared" si="8"/>
        <v>2110</v>
      </c>
      <c r="J32" s="1">
        <f t="shared" si="9"/>
        <v>2055</v>
      </c>
      <c r="K32" s="19"/>
      <c r="L32" s="19"/>
      <c r="M32" s="19"/>
      <c r="N32" s="19"/>
    </row>
    <row r="33" spans="1:11">
      <c r="A33" s="1" t="s">
        <v>47</v>
      </c>
      <c r="B33" s="1">
        <v>2500</v>
      </c>
      <c r="C33" s="1">
        <v>2400</v>
      </c>
      <c r="D33" s="1">
        <v>600</v>
      </c>
      <c r="E33" s="1" t="s">
        <v>15</v>
      </c>
      <c r="F33" s="3">
        <v>400</v>
      </c>
      <c r="G33" s="3">
        <v>350</v>
      </c>
      <c r="H33" s="3">
        <v>75</v>
      </c>
      <c r="I33" s="1">
        <f t="shared" si="8"/>
        <v>2510</v>
      </c>
      <c r="J33" s="1">
        <f t="shared" si="9"/>
        <v>2455</v>
      </c>
    </row>
    <row r="34" spans="1:11">
      <c r="B34" s="1"/>
      <c r="J34" s="1"/>
    </row>
    <row r="35" spans="1:11">
      <c r="A35" s="1" t="s">
        <v>48</v>
      </c>
      <c r="B35" s="1">
        <v>2500</v>
      </c>
      <c r="C35" s="1">
        <v>1200</v>
      </c>
      <c r="D35" s="1">
        <v>800</v>
      </c>
      <c r="E35" s="1" t="s">
        <v>6</v>
      </c>
      <c r="F35" s="3">
        <v>294</v>
      </c>
      <c r="G35" s="3">
        <v>239</v>
      </c>
      <c r="H35" s="3">
        <v>46</v>
      </c>
      <c r="I35" s="1">
        <f t="shared" ref="I35:I39" si="10">C35+110</f>
        <v>1310</v>
      </c>
      <c r="J35" s="1">
        <f t="shared" ref="J35:J39" si="11">C35+55</f>
        <v>1255</v>
      </c>
      <c r="K35" s="20"/>
    </row>
    <row r="36" spans="1:11">
      <c r="A36" s="1" t="s">
        <v>49</v>
      </c>
      <c r="B36" s="1">
        <v>2500</v>
      </c>
      <c r="C36" s="1">
        <v>1500</v>
      </c>
      <c r="D36" s="1">
        <v>800</v>
      </c>
      <c r="E36" s="1" t="s">
        <v>9</v>
      </c>
      <c r="F36" s="3">
        <v>338</v>
      </c>
      <c r="G36" s="3">
        <v>283</v>
      </c>
      <c r="H36" s="3">
        <v>57</v>
      </c>
      <c r="I36" s="1">
        <f t="shared" si="10"/>
        <v>1610</v>
      </c>
      <c r="J36" s="1">
        <f t="shared" si="11"/>
        <v>1555</v>
      </c>
    </row>
    <row r="37" spans="1:11">
      <c r="A37" s="1" t="s">
        <v>50</v>
      </c>
      <c r="B37" s="1">
        <v>2500</v>
      </c>
      <c r="C37" s="1">
        <v>1800</v>
      </c>
      <c r="D37" s="1">
        <v>800</v>
      </c>
      <c r="E37" s="1" t="s">
        <v>12</v>
      </c>
      <c r="F37" s="3">
        <v>362</v>
      </c>
      <c r="G37" s="3">
        <v>307</v>
      </c>
      <c r="H37" s="3">
        <v>63</v>
      </c>
      <c r="I37" s="1">
        <f t="shared" si="10"/>
        <v>1910</v>
      </c>
      <c r="J37" s="1">
        <f t="shared" si="11"/>
        <v>1855</v>
      </c>
    </row>
    <row r="38" spans="1:11">
      <c r="A38" s="1" t="s">
        <v>51</v>
      </c>
      <c r="B38" s="1">
        <v>2500</v>
      </c>
      <c r="C38" s="1">
        <v>2000</v>
      </c>
      <c r="D38" s="1">
        <v>800</v>
      </c>
      <c r="E38" s="1" t="s">
        <v>14</v>
      </c>
      <c r="F38" s="3">
        <v>390</v>
      </c>
      <c r="G38" s="3">
        <v>335</v>
      </c>
      <c r="H38" s="3">
        <v>70</v>
      </c>
      <c r="I38" s="1">
        <f t="shared" si="10"/>
        <v>2110</v>
      </c>
      <c r="J38" s="1">
        <f t="shared" si="11"/>
        <v>2055</v>
      </c>
    </row>
    <row r="39" spans="1:11">
      <c r="A39" s="1" t="s">
        <v>52</v>
      </c>
      <c r="B39" s="1">
        <v>2500</v>
      </c>
      <c r="C39" s="1">
        <v>2400</v>
      </c>
      <c r="D39" s="1">
        <v>800</v>
      </c>
      <c r="E39" s="1" t="s">
        <v>15</v>
      </c>
      <c r="F39" s="3">
        <v>426</v>
      </c>
      <c r="G39" s="3">
        <v>371</v>
      </c>
      <c r="H39" s="3">
        <v>79</v>
      </c>
      <c r="I39" s="1">
        <f t="shared" si="10"/>
        <v>2510</v>
      </c>
      <c r="J39" s="1">
        <f t="shared" si="11"/>
        <v>2455</v>
      </c>
    </row>
    <row r="41" spans="1:11">
      <c r="E41" s="21" t="s">
        <v>31</v>
      </c>
      <c r="F41" s="21"/>
      <c r="G41" s="21"/>
      <c r="H41" s="21"/>
    </row>
    <row r="42" spans="1:11">
      <c r="A42" s="2" t="s">
        <v>2</v>
      </c>
      <c r="B42" s="2" t="s">
        <v>3</v>
      </c>
      <c r="C42" s="2" t="s">
        <v>0</v>
      </c>
      <c r="D42" s="2" t="s">
        <v>4</v>
      </c>
      <c r="E42" s="2" t="s">
        <v>5</v>
      </c>
      <c r="F42" s="4" t="s">
        <v>7</v>
      </c>
      <c r="G42" s="4" t="s">
        <v>20</v>
      </c>
      <c r="H42" s="4" t="s">
        <v>30</v>
      </c>
      <c r="I42" s="2" t="s">
        <v>8</v>
      </c>
      <c r="J42" s="2" t="s">
        <v>27</v>
      </c>
    </row>
    <row r="43" spans="1:11">
      <c r="A43" s="1" t="s">
        <v>53</v>
      </c>
      <c r="B43" s="1">
        <v>3000</v>
      </c>
      <c r="C43" s="1">
        <v>1200</v>
      </c>
      <c r="D43" s="1">
        <v>400</v>
      </c>
      <c r="E43" s="1" t="s">
        <v>6</v>
      </c>
      <c r="F43" s="5">
        <v>270</v>
      </c>
      <c r="G43" s="5">
        <v>215</v>
      </c>
      <c r="H43" s="5">
        <v>40</v>
      </c>
      <c r="I43" s="1">
        <f t="shared" ref="I43:I44" si="12">C43+110</f>
        <v>1310</v>
      </c>
      <c r="J43" s="1">
        <f>C43+55</f>
        <v>1255</v>
      </c>
    </row>
    <row r="44" spans="1:11">
      <c r="A44" s="1" t="s">
        <v>54</v>
      </c>
      <c r="B44" s="1">
        <v>3000</v>
      </c>
      <c r="C44" s="1">
        <v>1500</v>
      </c>
      <c r="D44" s="1">
        <v>400</v>
      </c>
      <c r="E44" s="1" t="s">
        <v>9</v>
      </c>
      <c r="F44" s="5">
        <v>306</v>
      </c>
      <c r="G44" s="5">
        <v>251</v>
      </c>
      <c r="H44" s="5">
        <v>49</v>
      </c>
      <c r="I44" s="1">
        <f t="shared" si="12"/>
        <v>1610</v>
      </c>
      <c r="J44" s="1">
        <f t="shared" ref="J44:J47" si="13">C44+55</f>
        <v>1555</v>
      </c>
    </row>
    <row r="45" spans="1:11">
      <c r="A45" s="1" t="s">
        <v>55</v>
      </c>
      <c r="B45" s="1">
        <v>3000</v>
      </c>
      <c r="C45" s="1">
        <v>1800</v>
      </c>
      <c r="D45" s="1">
        <v>400</v>
      </c>
      <c r="E45" s="1" t="s">
        <v>12</v>
      </c>
      <c r="F45" s="5">
        <v>334</v>
      </c>
      <c r="G45" s="5">
        <v>279</v>
      </c>
      <c r="H45" s="5">
        <v>56</v>
      </c>
      <c r="I45" s="1">
        <f>C45+110</f>
        <v>1910</v>
      </c>
      <c r="J45" s="1">
        <f t="shared" si="13"/>
        <v>1855</v>
      </c>
    </row>
    <row r="46" spans="1:11">
      <c r="A46" s="1" t="s">
        <v>56</v>
      </c>
      <c r="B46" s="1">
        <v>3000</v>
      </c>
      <c r="C46" s="1">
        <v>2000</v>
      </c>
      <c r="D46" s="1">
        <v>400</v>
      </c>
      <c r="E46" s="1" t="s">
        <v>14</v>
      </c>
      <c r="F46" s="5">
        <v>354</v>
      </c>
      <c r="G46" s="5">
        <v>299</v>
      </c>
      <c r="H46" s="5">
        <v>61</v>
      </c>
      <c r="I46" s="1">
        <f t="shared" ref="I46:I47" si="14">C46+110</f>
        <v>2110</v>
      </c>
      <c r="J46" s="1">
        <f t="shared" si="13"/>
        <v>2055</v>
      </c>
    </row>
    <row r="47" spans="1:11">
      <c r="A47" s="1" t="s">
        <v>56</v>
      </c>
      <c r="B47" s="1">
        <v>3000</v>
      </c>
      <c r="C47" s="1">
        <v>2400</v>
      </c>
      <c r="D47" s="1">
        <v>400</v>
      </c>
      <c r="E47" s="1" t="s">
        <v>15</v>
      </c>
      <c r="F47" s="5">
        <v>386</v>
      </c>
      <c r="G47" s="5">
        <v>331</v>
      </c>
      <c r="H47" s="5">
        <v>69</v>
      </c>
      <c r="I47" s="1">
        <f t="shared" si="14"/>
        <v>2510</v>
      </c>
      <c r="J47" s="1">
        <f t="shared" si="13"/>
        <v>2455</v>
      </c>
    </row>
    <row r="48" spans="1:11">
      <c r="B48" s="1"/>
      <c r="F48" s="5"/>
      <c r="G48" s="5"/>
      <c r="H48" s="5"/>
      <c r="J48" s="1"/>
    </row>
    <row r="49" spans="1:10">
      <c r="A49" s="1" t="s">
        <v>57</v>
      </c>
      <c r="B49" s="1">
        <v>3000</v>
      </c>
      <c r="C49" s="1">
        <v>1200</v>
      </c>
      <c r="D49" s="1">
        <v>600</v>
      </c>
      <c r="E49" s="1" t="s">
        <v>6</v>
      </c>
      <c r="F49" s="5">
        <v>292</v>
      </c>
      <c r="G49" s="5">
        <v>232</v>
      </c>
      <c r="H49" s="5">
        <v>43</v>
      </c>
      <c r="I49" s="1">
        <f t="shared" ref="I49:I53" si="15">C49+110</f>
        <v>1310</v>
      </c>
      <c r="J49" s="1">
        <f t="shared" ref="J49:J53" si="16">C49+55</f>
        <v>1255</v>
      </c>
    </row>
    <row r="50" spans="1:10">
      <c r="A50" s="1" t="s">
        <v>58</v>
      </c>
      <c r="B50" s="1">
        <v>3000</v>
      </c>
      <c r="C50" s="1">
        <v>1500</v>
      </c>
      <c r="D50" s="1">
        <v>600</v>
      </c>
      <c r="E50" s="1" t="s">
        <v>9</v>
      </c>
      <c r="F50" s="5">
        <v>332</v>
      </c>
      <c r="G50" s="5">
        <v>272</v>
      </c>
      <c r="H50" s="5">
        <v>53</v>
      </c>
      <c r="I50" s="1">
        <f t="shared" si="15"/>
        <v>1610</v>
      </c>
      <c r="J50" s="1">
        <f t="shared" si="16"/>
        <v>1555</v>
      </c>
    </row>
    <row r="51" spans="1:10">
      <c r="A51" s="1" t="s">
        <v>59</v>
      </c>
      <c r="B51" s="1">
        <v>3000</v>
      </c>
      <c r="C51" s="1">
        <v>1800</v>
      </c>
      <c r="D51" s="1">
        <v>600</v>
      </c>
      <c r="E51" s="1" t="s">
        <v>12</v>
      </c>
      <c r="F51" s="5">
        <v>360</v>
      </c>
      <c r="G51" s="5">
        <v>300</v>
      </c>
      <c r="H51" s="5">
        <v>60</v>
      </c>
      <c r="I51" s="1">
        <f t="shared" si="15"/>
        <v>1910</v>
      </c>
      <c r="J51" s="1">
        <f t="shared" si="16"/>
        <v>1855</v>
      </c>
    </row>
    <row r="52" spans="1:10">
      <c r="A52" s="1" t="s">
        <v>60</v>
      </c>
      <c r="B52" s="1">
        <v>3000</v>
      </c>
      <c r="C52" s="1">
        <v>2000</v>
      </c>
      <c r="D52" s="1">
        <v>600</v>
      </c>
      <c r="E52" s="1" t="s">
        <v>14</v>
      </c>
      <c r="F52" s="5">
        <v>384</v>
      </c>
      <c r="G52" s="5">
        <v>324</v>
      </c>
      <c r="H52" s="5">
        <v>66</v>
      </c>
      <c r="I52" s="1">
        <f t="shared" si="15"/>
        <v>2110</v>
      </c>
      <c r="J52" s="1">
        <f t="shared" si="16"/>
        <v>2055</v>
      </c>
    </row>
    <row r="53" spans="1:10">
      <c r="A53" s="1" t="s">
        <v>61</v>
      </c>
      <c r="B53" s="1">
        <v>3000</v>
      </c>
      <c r="C53" s="1">
        <v>2400</v>
      </c>
      <c r="D53" s="1">
        <v>600</v>
      </c>
      <c r="E53" s="1" t="s">
        <v>15</v>
      </c>
      <c r="F53" s="5">
        <v>420</v>
      </c>
      <c r="G53" s="5">
        <v>360</v>
      </c>
      <c r="H53" s="5">
        <v>75</v>
      </c>
      <c r="I53" s="1">
        <f t="shared" si="15"/>
        <v>2510</v>
      </c>
      <c r="J53" s="1">
        <f t="shared" si="16"/>
        <v>2455</v>
      </c>
    </row>
    <row r="54" spans="1:10">
      <c r="B54" s="1"/>
      <c r="F54" s="5"/>
      <c r="G54" s="5"/>
      <c r="H54" s="5"/>
      <c r="J54" s="1"/>
    </row>
    <row r="55" spans="1:10">
      <c r="A55" s="1" t="s">
        <v>62</v>
      </c>
      <c r="B55" s="1">
        <v>3000</v>
      </c>
      <c r="C55" s="1">
        <v>1200</v>
      </c>
      <c r="D55" s="1">
        <v>800</v>
      </c>
      <c r="E55" s="1" t="s">
        <v>6</v>
      </c>
      <c r="F55" s="5">
        <v>314</v>
      </c>
      <c r="G55" s="5">
        <v>249</v>
      </c>
      <c r="H55" s="5">
        <v>46</v>
      </c>
      <c r="I55" s="1">
        <f t="shared" ref="I55:I59" si="17">C55+110</f>
        <v>1310</v>
      </c>
      <c r="J55" s="1">
        <f t="shared" ref="J55:J59" si="18">C55+55</f>
        <v>1255</v>
      </c>
    </row>
    <row r="56" spans="1:10">
      <c r="A56" s="1" t="s">
        <v>63</v>
      </c>
      <c r="B56" s="1">
        <v>3000</v>
      </c>
      <c r="C56" s="1">
        <v>1500</v>
      </c>
      <c r="D56" s="1">
        <v>800</v>
      </c>
      <c r="E56" s="1" t="s">
        <v>9</v>
      </c>
      <c r="F56" s="5">
        <v>358</v>
      </c>
      <c r="G56" s="5">
        <v>293</v>
      </c>
      <c r="H56" s="5">
        <v>57</v>
      </c>
      <c r="I56" s="1">
        <f t="shared" si="17"/>
        <v>1610</v>
      </c>
      <c r="J56" s="1">
        <f t="shared" si="18"/>
        <v>1555</v>
      </c>
    </row>
    <row r="57" spans="1:10">
      <c r="A57" s="1" t="s">
        <v>64</v>
      </c>
      <c r="B57" s="1">
        <v>3000</v>
      </c>
      <c r="C57" s="1">
        <v>1800</v>
      </c>
      <c r="D57" s="1">
        <v>800</v>
      </c>
      <c r="E57" s="1" t="s">
        <v>12</v>
      </c>
      <c r="F57" s="5">
        <v>382</v>
      </c>
      <c r="G57" s="5">
        <v>317</v>
      </c>
      <c r="H57" s="5">
        <v>63</v>
      </c>
      <c r="I57" s="1">
        <f t="shared" si="17"/>
        <v>1910</v>
      </c>
      <c r="J57" s="1">
        <f t="shared" si="18"/>
        <v>1855</v>
      </c>
    </row>
    <row r="58" spans="1:10">
      <c r="A58" s="1" t="s">
        <v>65</v>
      </c>
      <c r="B58" s="1">
        <v>3000</v>
      </c>
      <c r="C58" s="1">
        <v>2000</v>
      </c>
      <c r="D58" s="1">
        <v>800</v>
      </c>
      <c r="E58" s="1" t="s">
        <v>14</v>
      </c>
      <c r="F58" s="5">
        <v>410</v>
      </c>
      <c r="G58" s="5">
        <v>345</v>
      </c>
      <c r="H58" s="5">
        <v>70</v>
      </c>
      <c r="I58" s="1">
        <f t="shared" si="17"/>
        <v>2110</v>
      </c>
      <c r="J58" s="1">
        <f t="shared" si="18"/>
        <v>2055</v>
      </c>
    </row>
    <row r="59" spans="1:10">
      <c r="A59" s="1" t="s">
        <v>66</v>
      </c>
      <c r="B59" s="1">
        <v>3000</v>
      </c>
      <c r="C59" s="1">
        <v>2400</v>
      </c>
      <c r="D59" s="1">
        <v>800</v>
      </c>
      <c r="E59" s="1" t="s">
        <v>15</v>
      </c>
      <c r="F59" s="5">
        <v>446</v>
      </c>
      <c r="G59" s="5">
        <v>381</v>
      </c>
      <c r="H59" s="5">
        <v>79</v>
      </c>
      <c r="I59" s="1">
        <f t="shared" si="17"/>
        <v>2510</v>
      </c>
      <c r="J59" s="1">
        <f t="shared" si="18"/>
        <v>2455</v>
      </c>
    </row>
  </sheetData>
  <mergeCells count="3">
    <mergeCell ref="E1:H1"/>
    <mergeCell ref="E21:H21"/>
    <mergeCell ref="E41:H41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Price Data (Do Not Delete)</vt:lpstr>
    </vt:vector>
  </TitlesOfParts>
  <Company>Brayco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Holthouse</dc:creator>
  <cp:lastModifiedBy>Dan Holthouse</cp:lastModifiedBy>
  <dcterms:created xsi:type="dcterms:W3CDTF">2013-05-10T20:26:33Z</dcterms:created>
  <dcterms:modified xsi:type="dcterms:W3CDTF">2013-12-29T23:16:28Z</dcterms:modified>
</cp:coreProperties>
</file>