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Override PartName="/xl/drawings/drawing4.xml" ContentType="application/vnd.openxmlformats-officedocument.drawing+xml"/>
  <Override PartName="/xl/drawings/drawing1.xml" ContentType="application/vnd.openxmlformats-officedocument.drawing+xml"/>
  <Override PartName="/xl/vbaProject.bin" ContentType="application/vnd.ms-office.vbaProject"/>
  <Override PartName="/xl/drawings/drawing2.xml" ContentType="application/vnd.openxmlformats-officedocument.drawing+xml"/>
  <Override PartName="/xl/drawings/drawing5.xml" ContentType="application/vnd.openxmlformats-officedocument.drawing+xml"/>
  <Override PartName="/xl/drawings/drawing3.xml" ContentType="application/vnd.openxmlformats-officedocument.drawing+xml"/>
  <Override PartName="/xl/theme/theme1.xml" ContentType="application/vnd.openxmlformats-officedocument.theme+xml"/>
  <Override PartName="/xl/customProperty1.bin" ContentType="application/vnd.openxmlformats-officedocument.spreadsheetml.customProperty"/>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ustomProperty2.bin" ContentType="application/vnd.openxmlformats-officedocument.spreadsheetml.customProperty"/>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bin" ContentType="application/vnd.ms-office.activeX"/>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customProperty6.bin" ContentType="application/vnd.openxmlformats-officedocument.spreadsheetml.customProperty"/>
  <Override PartName="/xl/customProperty8.bin" ContentType="application/vnd.openxmlformats-officedocument.spreadsheetml.customProperty"/>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customProperty9.bin" ContentType="application/vnd.openxmlformats-officedocument.spreadsheetml.customProperty"/>
  <Override PartName="/xl/activeX/activeX7.xml" ContentType="application/vnd.ms-office.activeX+xml"/>
  <Override PartName="/xl/comments2.xml" ContentType="application/vnd.openxmlformats-officedocument.spreadsheetml.comments+xml"/>
  <Override PartName="/xl/activeX/activeX9.xml" ContentType="application/vnd.ms-office.activeX+xml"/>
  <Override PartName="/xl/activeX/activeX9.bin" ContentType="application/vnd.ms-office.activeX"/>
  <Override PartName="/xl/customProperty7.bin" ContentType="application/vnd.openxmlformats-officedocument.spreadsheetml.customProperty"/>
  <Override PartName="/xl/comments4.xml" ContentType="application/vnd.openxmlformats-officedocument.spreadsheetml.comments+xml"/>
  <Override PartName="/xl/customProperty10.bin" ContentType="application/vnd.openxmlformats-officedocument.spreadsheetml.customProperty"/>
  <Override PartName="/xl/calcChain.xml" ContentType="application/vnd.openxmlformats-officedocument.spreadsheetml.calcChain+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wkb_SW_PlantOps_Template"/>
  <mc:AlternateContent xmlns:mc="http://schemas.openxmlformats.org/markup-compatibility/2006">
    <mc:Choice Requires="x15">
      <x15ac:absPath xmlns:x15ac="http://schemas.microsoft.com/office/spreadsheetml/2010/11/ac" url="C:\Users\UtilityCloud\Desktop\NC Trip\"/>
    </mc:Choice>
  </mc:AlternateContent>
  <xr:revisionPtr revIDLastSave="0" documentId="13_ncr:1_{D0CE6131-4BAE-4918-BA81-E040EEFE50AB}" xr6:coauthVersionLast="45" xr6:coauthVersionMax="45" xr10:uidLastSave="{00000000-0000-0000-0000-000000000000}"/>
  <workbookProtection workbookAlgorithmName="SHA-512" workbookHashValue="WKhAGLPvnpcZ7nNTyHSHqHdcdH7Gzvxp2EQtP+77PtrIPlVutiIZNFF6M+Cjx9HdRMdCU3ZsbI+RYxDTsR9gaQ==" workbookSaltValue="gB7Viiy33frPLpay+ipJmw==" workbookSpinCount="100000" lockStructure="1"/>
  <bookViews>
    <workbookView minimized="1" xWindow="68280" yWindow="4965" windowWidth="2640" windowHeight="915" tabRatio="822" xr2:uid="{00000000-000D-0000-FFFF-FFFF00000000}"/>
  </bookViews>
  <sheets>
    <sheet name="General Info" sheetId="1" r:id="rId1"/>
    <sheet name="1940 - Plant Op." sheetId="2" r:id="rId2"/>
    <sheet name="1940-II - Phy. &amp; Chem." sheetId="3" r:id="rId3"/>
    <sheet name="1940-III - CFE Turb." sheetId="4" r:id="rId4"/>
    <sheet name="1940-IV - EP DI" sheetId="5" r:id="rId5"/>
    <sheet name="1940-V - IFE Turb." sheetId="6" r:id="rId6"/>
    <sheet name="Chloramination" sheetId="7" state="hidden" r:id="rId7"/>
    <sheet name="DBP-1-chlorine dioxide-chlorite" sheetId="9" state="hidden" r:id="rId8"/>
    <sheet name="Dist Sys Monitoring" sheetId="11" r:id="rId9"/>
    <sheet name="1940-VI - Summary" sheetId="12" r:id="rId10"/>
    <sheet name="Drop Down Lists" sheetId="13" state="hidden" r:id="rId11"/>
    <sheet name="Data Validation" sheetId="17" state="hidden" r:id="rId12"/>
    <sheet name="User Data" sheetId="15" r:id="rId13"/>
  </sheets>
  <functionGroups builtInGroupCount="19"/>
  <definedNames>
    <definedName name="CertificateGrade" hidden="1">'General Info'!$E$28</definedName>
    <definedName name="CertificateNumber" hidden="1">'General Info'!$E$30</definedName>
    <definedName name="CFE_Alt_Fac_ID_1" hidden="1">""</definedName>
    <definedName name="CFE_Alt_Fac_ID_2" hidden="1">""</definedName>
    <definedName name="CFE_Alt_Fac_ID_3" hidden="1">""</definedName>
    <definedName name="CFE_Alt_Fac_ID_4" hidden="1">""</definedName>
    <definedName name="CFE_Alt_Fac_ID_5" hidden="1">""</definedName>
    <definedName name="CompletedBy" hidden="1">'General Info'!$E$26</definedName>
    <definedName name="dd_CalcBasis_dosage" localSheetId="1" hidden="1">'1940 - Plant Op.'!$AD$11</definedName>
    <definedName name="dd_CalcBasis_pounds" localSheetId="1" hidden="1">'1940 - Plant Op.'!$N$11</definedName>
    <definedName name="dd_Catg1_dosage" localSheetId="1" hidden="1">'1940 - Plant Op.'!$AD$8</definedName>
    <definedName name="dd_Catg1_pounds" localSheetId="1" hidden="1">'1940 - Plant Op.'!$N$8</definedName>
    <definedName name="dd_Chem1_dosage" localSheetId="1" hidden="1">'1940 - Plant Op.'!$AD$9</definedName>
    <definedName name="dd_Chem1_pounds" localSheetId="1" hidden="1">'1940 - Plant Op.'!$N$9</definedName>
    <definedName name="DistCertificateGrade" hidden="1">'General Info'!$G$28</definedName>
    <definedName name="DistCertificateNumber" hidden="1">'General Info'!$G$30</definedName>
    <definedName name="DistORC" hidden="1">'General Info'!$G$26</definedName>
    <definedName name="EP_SP_ID_1" hidden="1">"EP1"</definedName>
    <definedName name="EP_SP_Key_1" hidden="1">71879</definedName>
    <definedName name="EPRD_Alt_Fac_ID_1" hidden="1">""</definedName>
    <definedName name="EPRD_Alt_Fac_ID_2" hidden="1">""</definedName>
    <definedName name="EPRD_Alt_Fac_ID_3" hidden="1">""</definedName>
    <definedName name="EPRD_Alt_Fac_ID_4" hidden="1">""</definedName>
    <definedName name="EPRD_Alt_Fac_ID_5" hidden="1">""</definedName>
    <definedName name="FACTOR_lb_mgl" hidden="1">8.34</definedName>
    <definedName name="FormCertificationText" hidden="1">'General Info'!$A$56</definedName>
    <definedName name="FormDistFacilityClassification" hidden="1">'General Info'!$G$24</definedName>
    <definedName name="FormDistFacilityID" hidden="1">'General Info'!$G$20</definedName>
    <definedName name="FormDistFacilityName" hidden="1">'General Info'!$G$22</definedName>
    <definedName name="FormFacilityClassification" hidden="1">'General Info'!$E$24</definedName>
    <definedName name="FormFacilityID" hidden="1">'General Info'!$E$20</definedName>
    <definedName name="FormFacilityName" hidden="1">'General Info'!$E$22</definedName>
    <definedName name="FormLastDate" hidden="1">'General Info'!$E$11</definedName>
    <definedName name="FormMasterDate" hidden="1">'General Info'!$E$10</definedName>
    <definedName name="FormPWSIDNum" hidden="1">'General Info'!$E$12</definedName>
    <definedName name="FormSamplePointCount" hidden="1">1</definedName>
    <definedName name="FormWaterSysName" hidden="1">'General Info'!$E$14</definedName>
    <definedName name="FormWaterSysPopulation" hidden="1">'General Info'!$E$16</definedName>
    <definedName name="LastSubmit" hidden="1">'General Info'!$E$72</definedName>
    <definedName name="lbl_Switch_dosage" localSheetId="1" hidden="1">'1940 - Plant Op.'!$AD$14</definedName>
    <definedName name="lbl_Switch_pounds" localSheetId="1" hidden="1">'1940 - Plant Op.'!$N$14</definedName>
    <definedName name="limit_CFE_95Pct_in_NTU" hidden="1">0.35</definedName>
    <definedName name="limit_CFE_MAXT_in_NTU" hidden="1">1.5</definedName>
    <definedName name="limit_DistResDisinfConc_in_mg_per_L" hidden="1">0.01</definedName>
    <definedName name="limit_HPC_in_mL" hidden="1">500</definedName>
    <definedName name="list_ChemCategories" hidden="1">'Drop Down Lists'!$C$2:$C$12</definedName>
    <definedName name="list_Chemicals" hidden="1">'Drop Down Lists'!$E$2:$E$46</definedName>
    <definedName name="ORC" hidden="1">'General Info'!$E$26</definedName>
    <definedName name="PC_SP_ID_1" hidden="1">"CF1"</definedName>
    <definedName name="PC_SP_Key_1" hidden="1">140304</definedName>
    <definedName name="pct_ConcLevel_dosage" localSheetId="1" hidden="1">'1940 - Plant Op.'!$AD$13</definedName>
    <definedName name="pct_ConcLevel_pounds" localSheetId="1" hidden="1">'1940 - Plant Op.'!$N$13</definedName>
    <definedName name="_xlnm.Print_Area" localSheetId="1">'1940 - Plant Op.'!$A$1:$AS$56</definedName>
    <definedName name="_xlnm.Print_Area" localSheetId="2">'1940-II - Phy. &amp; Chem.'!$A$1:$AV$51</definedName>
    <definedName name="_xlnm.Print_Area" localSheetId="3">'1940-III - CFE Turb.'!$A$1:$M$47</definedName>
    <definedName name="_xlnm.Print_Area" localSheetId="4">'1940-IV - EP DI'!$A$1:$M$49</definedName>
    <definedName name="_xlnm.Print_Area" localSheetId="5">'1940-V - IFE Turb.'!$A$1:$P$46</definedName>
    <definedName name="_xlnm.Print_Area" localSheetId="9">'1940-VI - Summary'!$A$1:$J$56</definedName>
    <definedName name="_xlnm.Print_Area" localSheetId="6">Chloramination!$A$1:$L$51</definedName>
    <definedName name="_xlnm.Print_Area" localSheetId="7">'DBP-1-chlorine dioxide-chlorite'!$A$1:$P$57</definedName>
    <definedName name="_xlnm.Print_Area" localSheetId="8">'Dist Sys Monitoring'!$A$1:$Q$54</definedName>
    <definedName name="_xlnm.Print_Area" localSheetId="0">'General Info'!$A$1:$G$72</definedName>
    <definedName name="_xlnm.Print_Titles" localSheetId="1">'1940 - Plant Op.'!$A:$A</definedName>
    <definedName name="_xlnm.Print_Titles" localSheetId="2">'1940-II - Phy. &amp; Chem.'!$A:$A</definedName>
    <definedName name="ptr_AmmoniaType" hidden="1">'Drop Down Lists'!$M:$M</definedName>
    <definedName name="ptr_ChemCalcBasis" hidden="1">'Drop Down Lists'!$AS:$AS</definedName>
    <definedName name="ptr_ChemicalCategories" hidden="1">'Drop Down Lists'!$C:$C</definedName>
    <definedName name="ptr_Chemicals" hidden="1">'Drop Down Lists'!$E:$E</definedName>
    <definedName name="ptr_ColiformFiltered_Finished" hidden="1">'Drop Down Lists'!$AD:$AD</definedName>
    <definedName name="ptr_ColiformFiltered_Finished_2" hidden="1">'Drop Down Lists'!$AE:$AE</definedName>
    <definedName name="ptr_CorrosionInhibitor" hidden="1">'Drop Down Lists'!$O:$O</definedName>
    <definedName name="ptr_CurrentMonDates" hidden="1">'Drop Down Lists'!$A:$A</definedName>
    <definedName name="ptr_CurrentMonthDates" hidden="1">'Drop Down Lists'!$A:$A</definedName>
    <definedName name="ptr_DisinfectantResidual" hidden="1">'Drop Down Lists'!$AC:$AC</definedName>
    <definedName name="ptr_Fecal_eColi" localSheetId="10" hidden="1">'Drop Down Lists'!$AT:$AT</definedName>
    <definedName name="ptr_Fluoride" hidden="1">'Drop Down Lists'!$W:$W</definedName>
    <definedName name="ptr_LessThan_or_GreaterThan" hidden="1">'Drop Down Lists'!$AJ:$AJ</definedName>
    <definedName name="ptr_MethodCalculation" hidden="1">'Drop Down Lists'!$AH:$AH</definedName>
    <definedName name="ptr_ND_or_LessThan1" hidden="1">'Drop Down Lists'!$AI:$AI</definedName>
    <definedName name="ptr_Nitrate_FinishedWater" hidden="1">'Drop Down Lists'!$X:$X</definedName>
    <definedName name="ptr_NotApplicable" hidden="1">'Drop Down Lists'!$AU:$AU</definedName>
    <definedName name="ptr_NumSamples" hidden="1">'Drop Down Lists'!$AK:$AK</definedName>
    <definedName name="ptr_pHAdjustment" hidden="1">'Drop Down Lists'!$Q:$Q</definedName>
    <definedName name="ptr_Phosphate_FinishedWater" hidden="1">'Drop Down Lists'!$Y:$Y</definedName>
    <definedName name="ptr_Pre_PostAlkali" hidden="1">'Drop Down Lists'!$I:$I</definedName>
    <definedName name="ptr_Pre_PostDisinfectant" hidden="1">'Drop Down Lists'!$K:$K</definedName>
    <definedName name="ptr_PreTreatment" hidden="1">'Drop Down Lists'!$U:$U</definedName>
    <definedName name="ptr_Pri_SecOxidant" hidden="1">'Drop Down Lists'!$S:$S</definedName>
    <definedName name="ptr_PrimaryCoag" hidden="1">'Drop Down Lists'!$G:$G</definedName>
    <definedName name="ptr_SamplePoint_rept" hidden="1">'Drop Down Lists'!$AQ:$AQ</definedName>
    <definedName name="ptr_SamplePoint_rout" hidden="1">'Drop Down Lists'!$AO:$AO</definedName>
    <definedName name="ptr_SampleType" hidden="1">'Drop Down Lists'!$AM:$AM</definedName>
    <definedName name="ptr_TOC_ComplianceMethod" hidden="1">'Drop Down Lists'!$AG:$AG</definedName>
    <definedName name="ptr_Tot_FecalColiforms" hidden="1">'Drop Down Lists'!$Z:$Z</definedName>
    <definedName name="ptr_Tot_FecalMCL" hidden="1">'Drop Down Lists'!$AA:$AA</definedName>
    <definedName name="ptr_Yes_No" hidden="1">'Drop Down Lists'!$AF:$AF</definedName>
    <definedName name="rng_1a" localSheetId="5" hidden="1">'1940-V - IFE Turb.'!$A$14:$J$15</definedName>
    <definedName name="rng_1a" localSheetId="9" hidden="1">'1940-VI - Summary'!$15:$15</definedName>
    <definedName name="rng_1a_1b" localSheetId="5" hidden="1">'1940-V - IFE Turb.'!$A$14:$J$17</definedName>
    <definedName name="rng_1a_1b" localSheetId="9" hidden="1">'1940-VI - Summary'!$15:$16</definedName>
    <definedName name="rng_1b" localSheetId="5" hidden="1">'1940-V - IFE Turb.'!$A$16:$J$17</definedName>
    <definedName name="rng_1b" localSheetId="9" hidden="1">'1940-VI - Summary'!$16:$16</definedName>
    <definedName name="rng_3a" localSheetId="5" hidden="1">'1940-V - IFE Turb.'!$A$22:$J$23</definedName>
    <definedName name="rng_3a" localSheetId="9" hidden="1">'1940-VI - Summary'!$19:$19</definedName>
    <definedName name="rng_3a_3b_3b" localSheetId="5" hidden="1">'1940-V - IFE Turb.'!$A$22:$J$27</definedName>
    <definedName name="rng_3a_3b_3b" localSheetId="9" hidden="1">'1940-VI - Summary'!$19:$21</definedName>
    <definedName name="rng_3b_1" localSheetId="5" hidden="1">'1940-V - IFE Turb.'!$A$24:$J$25</definedName>
    <definedName name="rng_3b_1" localSheetId="9" hidden="1">'1940-VI - Summary'!$20:$20</definedName>
    <definedName name="rng_3b_2" localSheetId="5" hidden="1">'1940-V - IFE Turb.'!$A$26:$J$27</definedName>
    <definedName name="rng_3b_2" localSheetId="9" hidden="1">'1940-VI - Summary'!$21:$21</definedName>
    <definedName name="rng_AmmoniaCheck" localSheetId="1" hidden="1">'1940 - Plant Op.'!$AD$8:$AS$8</definedName>
    <definedName name="rng_AVERAGE" localSheetId="1" hidden="1">'1940 - Plant Op.'!$A$48:$AS$48</definedName>
    <definedName name="rng_AVERAGE" localSheetId="2" hidden="1">'1940-II - Phy. &amp; Chem.'!$A$45:$AV$45</definedName>
    <definedName name="rng_AVERAGE" localSheetId="6" hidden="1">Chloramination!$A$45:$L$45</definedName>
    <definedName name="rng_AVERAGE" localSheetId="8" hidden="1">'Dist Sys Monitoring'!$A$52:$Q$52</definedName>
    <definedName name="rng_AvgChloriteSampleSet" localSheetId="7" hidden="1">'DBP-1-chlorine dioxide-chlorite'!$P:$P</definedName>
    <definedName name="rng_Below_EqualTo_2_Filters_1" localSheetId="5" hidden="1">'1940-V - IFE Turb.'!$A$14</definedName>
    <definedName name="rng_Below_EqualTo_2_Filters_2" localSheetId="5" hidden="1">'1940-V - IFE Turb.'!$C$14</definedName>
    <definedName name="rng_Below_EqualTo_2_Filters_3" localSheetId="5" hidden="1">'1940-V - IFE Turb.'!$E$14</definedName>
    <definedName name="rng_Below_EqualTo_2_Filters_4" localSheetId="5" hidden="1">'1940-V - IFE Turb.'!$G$14</definedName>
    <definedName name="rng_Below_EqualTo_2_Filters_5" localSheetId="5" hidden="1">'1940-V - IFE Turb.'!$I$14</definedName>
    <definedName name="rng_Bromide_Bromate" localSheetId="2" hidden="1">'1940-II - Phy. &amp; Chem.'!$AM$13:$AN$43</definedName>
    <definedName name="rng_CalcGiardiaLogRem" localSheetId="2" hidden="1">'1940-II - Phy. &amp; Chem.'!$AO$13:$AO$43</definedName>
    <definedName name="rng_CertificateGrade" localSheetId="1" hidden="1">'1940 - Plant Op.'!$AE$56</definedName>
    <definedName name="rng_CertificateGrade" localSheetId="2" hidden="1">'1940-II - Phy. &amp; Chem.'!$AC$51</definedName>
    <definedName name="rng_CertificateGrade" localSheetId="3" hidden="1">'1940-III - CFE Turb.'!$J$47</definedName>
    <definedName name="rng_CertificateGrade" localSheetId="4" hidden="1">'1940-IV - EP DI'!$J$49</definedName>
    <definedName name="rng_CertificateGrade" localSheetId="5" hidden="1">'1940-V - IFE Turb.'!$P$45</definedName>
    <definedName name="rng_CertificateGrade" localSheetId="6" hidden="1">Chloramination!$H$51</definedName>
    <definedName name="rng_CertificateGrade" localSheetId="7" hidden="1">'DBP-1-chlorine dioxide-chlorite'!$L$57</definedName>
    <definedName name="rng_CertificateNumber" localSheetId="1" hidden="1">'1940 - Plant Op.'!$AI$56</definedName>
    <definedName name="rng_CertificateNumber" localSheetId="2" hidden="1">'1940-II - Phy. &amp; Chem.'!$AG$51</definedName>
    <definedName name="rng_CertificateNumber" localSheetId="3" hidden="1">'1940-III - CFE Turb.'!$M$47</definedName>
    <definedName name="rng_CertificateNumber" localSheetId="4" hidden="1">'1940-IV - EP DI'!$M$49</definedName>
    <definedName name="rng_CertificateNumber" localSheetId="5" hidden="1">'1940-V - IFE Turb.'!$P$46</definedName>
    <definedName name="rng_CertificateNumber" localSheetId="6" hidden="1">Chloramination!$K$51</definedName>
    <definedName name="rng_CertificateNumber" localSheetId="7" hidden="1">'DBP-1-chlorine dioxide-chlorite'!$P$57</definedName>
    <definedName name="rng_CFE_AVERAGE" localSheetId="3" hidden="1">'1940-III - CFE Turb.'!$G$43</definedName>
    <definedName name="rng_CFE_AVERAGE" localSheetId="9" hidden="1">'1940-VI - Summary'!$J$11</definedName>
    <definedName name="rng_CFE_CntGreaterThan_.3" localSheetId="3" hidden="1">'1940-III - CFE Turb.'!$O$47</definedName>
    <definedName name="rng_CFE_CntGreaterThan_.3" localSheetId="9" hidden="1">'1940-VI - Summary'!$D$9</definedName>
    <definedName name="rng_CFE_CntGreaterThan_1" localSheetId="3" hidden="1">'1940-III - CFE Turb.'!$N$47</definedName>
    <definedName name="rng_CFE_CntGreaterThan_1" localSheetId="9" hidden="1">'1940-VI - Summary'!$D$8</definedName>
    <definedName name="rng_CFE_CountEntries" localSheetId="1" hidden="1">'1940 - Plant Op.'!$AU$16:$AU$46</definedName>
    <definedName name="rng_CFE_EntriesWithoutHrs" localSheetId="3" hidden="1">'1940-III - CFE Turb.'!$Q$43</definedName>
    <definedName name="rng_CFE_EPRD_Formulas" localSheetId="9" hidden="1">'1940-VI - Summary'!$D$8:$D$9,'1940-VI - Summary'!$J$8:$J$11,'1940-VI - Summary'!$D$34,'1940-VI - Summary'!$J$33:$J$34</definedName>
    <definedName name="rng_CFE_MAXIMUM" localSheetId="3" hidden="1">'1940-III - CFE Turb.'!$C$43</definedName>
    <definedName name="rng_CFE_MAXIMUM" localSheetId="9" hidden="1">'1940-VI - Summary'!$J$10</definedName>
    <definedName name="rng_CFE_NumSampReqd" localSheetId="3" hidden="1">'1940-III - CFE Turb.'!$N$43</definedName>
    <definedName name="rng_CFE_NumSampReqd" localSheetId="9" hidden="1">'1940-VI - Summary'!$J$8</definedName>
    <definedName name="rng_CFE_NumSampTaken" localSheetId="3" hidden="1">'1940-III - CFE Turb.'!$K$43</definedName>
    <definedName name="rng_CFE_NumSampTaken" localSheetId="9" hidden="1">'1940-VI - Summary'!$J$9</definedName>
    <definedName name="rng_CFE_NumSampUnderReqd" localSheetId="3" hidden="1">'1940-III - CFE Turb.'!$O$43</definedName>
    <definedName name="rng_CFE_SheetCnt" localSheetId="5" hidden="1">'1940-V - IFE Turb.'!$J$10</definedName>
    <definedName name="rng_CFE_SUM" localSheetId="3" hidden="1">'1940-III - CFE Turb.'!$O$45</definedName>
    <definedName name="rng_chem_DailyData" localSheetId="1" hidden="1">'1940 - Plant Op.'!$N$16:$AS$46</definedName>
    <definedName name="rng_Cl2_NH3_Ratio" localSheetId="6" hidden="1">Chloramination!$E$13:$E$43</definedName>
    <definedName name="rng_col_CalcGiardia" localSheetId="2" hidden="1">'1940-II - Phy. &amp; Chem.'!$AO:$AO</definedName>
    <definedName name="rng_col_CalciumFW" localSheetId="2" hidden="1">'1940-II - Phy. &amp; Chem.'!$W:$W</definedName>
    <definedName name="rng_col_CollDates" localSheetId="8" hidden="1">'Dist Sys Monitoring'!$B:$B</definedName>
    <definedName name="rng_col_DupTimeEntries" localSheetId="4" hidden="1">'1940-IV - EP DI'!$S:$X</definedName>
    <definedName name="rng_col_EntryPtBromate" localSheetId="2" hidden="1">'1940-II - Phy. &amp; Chem.'!$AN:$AN</definedName>
    <definedName name="rng_col_Fluoride" localSheetId="8" hidden="1">'Dist Sys Monitoring'!$M:$M</definedName>
    <definedName name="rng_col_FluorideFW" localSheetId="2" hidden="1">'1940-II - Phy. &amp; Chem.'!$AB:$AB</definedName>
    <definedName name="rng_col_FreeAmmonia" localSheetId="6" hidden="1">Chloramination!$I:$I</definedName>
    <definedName name="rng_col_FreeAmmonia" localSheetId="8" hidden="1">'Dist Sys Monitoring'!$I:$I</definedName>
    <definedName name="rng_col_FreeChlorine" localSheetId="8" hidden="1">'Dist Sys Monitoring'!$E:$E</definedName>
    <definedName name="rng_col_FreeChlorine_1" localSheetId="6" hidden="1">Chloramination!$C:$C</definedName>
    <definedName name="rng_col_FreeChlorine_2" localSheetId="6" hidden="1">Chloramination!$G:$G</definedName>
    <definedName name="rng_col_HiddenFormulas" localSheetId="1" hidden="1">'1940 - Plant Op.'!$AT:$AW</definedName>
    <definedName name="rng_col_HiddenFormulas" localSheetId="3" hidden="1">'1940-III - CFE Turb.'!$N:$Q</definedName>
    <definedName name="rng_col_HiddenFormulas" localSheetId="4" hidden="1">'1940-IV - EP DI'!$N:$Y</definedName>
    <definedName name="rng_col_HiddenFormulas" localSheetId="6" hidden="1">Chloramination!$M:$N</definedName>
    <definedName name="rng_col_HiddenFormulas" localSheetId="8" hidden="1">'Dist Sys Monitoring'!$R:$V</definedName>
    <definedName name="rng_col_HPC" localSheetId="8" hidden="1">'Dist Sys Monitoring'!$L:$L</definedName>
    <definedName name="rng_col_Iron" localSheetId="8" hidden="1">'Dist Sys Monitoring'!$P:$P</definedName>
    <definedName name="rng_col_LocationCode" localSheetId="8" hidden="1">'Dist Sys Monitoring'!$C:$C</definedName>
    <definedName name="rng_col_Manganese" localSheetId="8" hidden="1">'Dist Sys Monitoring'!$Q:$Q</definedName>
    <definedName name="rng_col_MonoChloramine" localSheetId="6" hidden="1">Chloramination!$H:$H</definedName>
    <definedName name="rng_col_MonoChloramine" localSheetId="8" hidden="1">'Dist Sys Monitoring'!$H:$H</definedName>
    <definedName name="rng_col_NitrateFW" localSheetId="2" hidden="1">'1940-II - Phy. &amp; Chem.'!$AE:$AE</definedName>
    <definedName name="rng_col_OrthophosphateFW" localSheetId="2" hidden="1">'1940-II - Phy. &amp; Chem.'!$AH:$AH</definedName>
    <definedName name="rng_col_OrthoPO4" localSheetId="8" hidden="1">'Dist Sys Monitoring'!$N:$N</definedName>
    <definedName name="rng_col_pH_chloramine" localSheetId="6" hidden="1">Chloramination!$J:$J</definedName>
    <definedName name="rng_col_pH_chloramine" localSheetId="8" hidden="1">'Dist Sys Monitoring'!$J:$J</definedName>
    <definedName name="rng_col_pH_chlorine" localSheetId="8" hidden="1">'Dist Sys Monitoring'!$K:$K</definedName>
    <definedName name="rng_col_RawFecalEColiColif" localSheetId="2" hidden="1">'1940-II - Phy. &amp; Chem.'!$AT:$AT</definedName>
    <definedName name="rng_col_RawTotalColif" localSheetId="2" hidden="1">'1940-II - Phy. &amp; Chem.'!$AR:$AR</definedName>
    <definedName name="rng_col_SampAddress" localSheetId="8" hidden="1">'Dist Sys Monitoring'!$D:$D</definedName>
    <definedName name="rng_col_Total_Or_FreeChlorine" localSheetId="8" hidden="1">'Dist Sys Monitoring'!$F:$F</definedName>
    <definedName name="rng_col_TotalChlorine" localSheetId="6" hidden="1">Chloramination!$F:$F</definedName>
    <definedName name="rng_col_TotalChlorine" localSheetId="8" hidden="1">'Dist Sys Monitoring'!$G:$G</definedName>
    <definedName name="rng_col_TotalHardness" localSheetId="8" hidden="1">'Dist Sys Monitoring'!$O:$O</definedName>
    <definedName name="rng_Colif_Raw_AVG" localSheetId="2" hidden="1">'1940-II - Phy. &amp; Chem.'!$AR$45</definedName>
    <definedName name="rng_Colif_Raw_MAX" localSheetId="2" hidden="1">'1940-II - Phy. &amp; Chem.'!$AR$46</definedName>
    <definedName name="rng_CollectionDate" localSheetId="8">'Dist Sys Monitoring'!$B$25:$B$49</definedName>
    <definedName name="rng_Combined_In_Lieu_of_Individual_1" localSheetId="5" hidden="1">'1940-V - IFE Turb.'!$A$16</definedName>
    <definedName name="rng_Combined_In_Lieu_of_Individual_2" localSheetId="5" hidden="1">'1940-V - IFE Turb.'!$C$16</definedName>
    <definedName name="rng_Combined_In_Lieu_of_Individual_3" localSheetId="5" hidden="1">'1940-V - IFE Turb.'!$E$16</definedName>
    <definedName name="rng_Combined_In_Lieu_of_Individual_4" localSheetId="5" hidden="1">'1940-V - IFE Turb.'!$G$16</definedName>
    <definedName name="rng_Combined_In_Lieu_of_Individual_5" localSheetId="5" hidden="1">'1940-V - IFE Turb.'!$I$16</definedName>
    <definedName name="rng_CompletedBy" localSheetId="1" hidden="1">'1940 - Plant Op.'!$AE$54</definedName>
    <definedName name="rng_CompletedBy" localSheetId="2" hidden="1">'1940-II - Phy. &amp; Chem.'!$AC$49</definedName>
    <definedName name="rng_CompletedBy" localSheetId="3" hidden="1">'1940-III - CFE Turb.'!$J$45</definedName>
    <definedName name="rng_CompletedBy" localSheetId="4" hidden="1">'1940-IV - EP DI'!$J$47</definedName>
    <definedName name="rng_CompletedBy" localSheetId="5" hidden="1">'1940-V - IFE Turb.'!$P$44</definedName>
    <definedName name="rng_CompletedBy" localSheetId="6" hidden="1">Chloramination!$H$49</definedName>
    <definedName name="rng_CompletedBy" localSheetId="7" hidden="1">'DBP-1-chlorine dioxide-chlorite'!$L$55</definedName>
    <definedName name="rng_ComplianceCheckRow" localSheetId="5" hidden="1">'1940-V - IFE Turb.'!$A$41:$P$41</definedName>
    <definedName name="rng_ContinuouslyMonitored_1" localSheetId="5" hidden="1">'1940-V - IFE Turb.'!$A$12</definedName>
    <definedName name="rng_ContinuouslyMonitored_2" localSheetId="5" hidden="1">'1940-V - IFE Turb.'!$C$12</definedName>
    <definedName name="rng_ContinuouslyMonitored_3" localSheetId="5" hidden="1">'1940-V - IFE Turb.'!$E$12</definedName>
    <definedName name="rng_ContinuouslyMonitored_4" localSheetId="5" hidden="1">'1940-V - IFE Turb.'!$G$12</definedName>
    <definedName name="rng_ContinuouslyMonitored_5" localSheetId="5" hidden="1">'1940-V - IFE Turb.'!$I$12</definedName>
    <definedName name="rng_CountEntries" localSheetId="3" hidden="1">'1940-III - CFE Turb.'!$P$11:$P$41</definedName>
    <definedName name="rng_CountEntries" localSheetId="4" hidden="1">'1940-IV - EP DI'!$P$13:$P$43</definedName>
    <definedName name="rng_csv_DailyData" localSheetId="1" hidden="1">'1940 - Plant Op.'!$A$16:$AS$46</definedName>
    <definedName name="rng_csv_DailyData" localSheetId="2" hidden="1">'1940-II - Phy. &amp; Chem.'!$A$13:$AV$43</definedName>
    <definedName name="rng_csv_DailyData" localSheetId="3" hidden="1">'1940-III - CFE Turb.'!$A$11:$M$41</definedName>
    <definedName name="rng_csv_DailyData" localSheetId="4" hidden="1">'1940-IV - EP DI'!$A$13:$M$43</definedName>
    <definedName name="rng_csv_DailyData" localSheetId="6" hidden="1">Chloramination!$A$13:$L$43</definedName>
    <definedName name="rng_csv_DailyData" localSheetId="7" hidden="1">'DBP-1-chlorine dioxide-chlorite'!$A$14:$P$44</definedName>
    <definedName name="rng_csv_DailyData" localSheetId="8">'Dist Sys Monitoring'!$A$25:$Q$49</definedName>
    <definedName name="rng_csv_DailyData_1" localSheetId="1" hidden="1">'1940 - Plant Op.'!$A$16:$M$46</definedName>
    <definedName name="rng_csv_DailyData_1_exclude" localSheetId="1" hidden="1">'1940 - Plant Op.'!$M:$AS</definedName>
    <definedName name="rng_csv_DailyData_1_exclude" localSheetId="2" hidden="1">'1940-II - Phy. &amp; Chem.'!$AM:$AN</definedName>
    <definedName name="rng_csv_DailyData_1_exclude" localSheetId="3" hidden="1">'1940-III - CFE Turb.'!$B:$B,'1940-III - CFE Turb.'!$D:$D,'1940-III - CFE Turb.'!$F:$F,'1940-III - CFE Turb.'!$H:$H,'1940-III - CFE Turb.'!$J:$J,'1940-III - CFE Turb.'!$L:$L</definedName>
    <definedName name="rng_csv_DailyData_1_exclude" localSheetId="4" hidden="1">'1940-IV - EP DI'!$B:$B,'1940-IV - EP DI'!$D:$D,'1940-IV - EP DI'!$F:$F,'1940-IV - EP DI'!$H:$H,'1940-IV - EP DI'!$J:$J,'1940-IV - EP DI'!$L:$L</definedName>
    <definedName name="rng_csv_DailyData_1_exclude" localSheetId="7" hidden="1">'DBP-1-chlorine dioxide-chlorite'!$C:$H,'DBP-1-chlorine dioxide-chlorite'!$J:$P</definedName>
    <definedName name="rng_csv_DailyData_2_exclude" localSheetId="1" hidden="1">'1940 - Plant Op.'!$B:$N,'1940 - Plant Op.'!$AC:$AD,'1940 - Plant Op.'!$AS:$AS</definedName>
    <definedName name="rng_csv_DailyData_2_exclude" localSheetId="2" hidden="1">'1940-II - Phy. &amp; Chem.'!$B:$AL,'1940-II - Phy. &amp; Chem.'!$AO:$AV</definedName>
    <definedName name="rng_csv_DailyData_2_exclude" localSheetId="7" hidden="1">'DBP-1-chlorine dioxide-chlorite'!$B:$B,'DBP-1-chlorine dioxide-chlorite'!$I:$P</definedName>
    <definedName name="rng_csv_DailyData_3_exclude" localSheetId="7" hidden="1">'DBP-1-chlorine dioxide-chlorite'!$B:$I,'DBP-1-chlorine dioxide-chlorite'!$P:$P</definedName>
    <definedName name="rng_csv_DailyData_exclude" localSheetId="1" hidden="1">'1940 - Plant Op.'!$M:$N,'1940 - Plant Op.'!$AC:$AD,'1940 - Plant Op.'!$AS:$AS</definedName>
    <definedName name="rng_csv_DailyData_exclude1" localSheetId="4" hidden="1">'1940-IV - EP DI'!$L:$L</definedName>
    <definedName name="rng_csv_DailyData_exclude2" localSheetId="4" hidden="1">'1940-IV - EP DI'!$J:$J,'1940-IV - EP DI'!$L:$L</definedName>
    <definedName name="rng_csv_DailyData_exclude3" localSheetId="4" hidden="1">'1940-IV - EP DI'!$H:$H,'1940-IV - EP DI'!$J:$J,'1940-IV - EP DI'!$L:$L</definedName>
    <definedName name="rng_csv_DailyData_exclude4" localSheetId="4" hidden="1">'1940-IV - EP DI'!$F:$F,'1940-IV - EP DI'!$H:$H,'1940-IV - EP DI'!$J:$J,'1940-IV - EP DI'!$L:$L</definedName>
    <definedName name="rng_csv_DailyData_exclude5" localSheetId="4" hidden="1">'1940-IV - EP DI'!$D:$D,'1940-IV - EP DI'!$F:$F,'1940-IV - EP DI'!$H:$H,'1940-IV - EP DI'!$J:$J,'1940-IV - EP DI'!$L:$L</definedName>
    <definedName name="rng_csv_MonthlyData" localSheetId="1" hidden="1">'1940 - Plant Op.'!$F$52,'1940 - Plant Op.'!$R$52</definedName>
    <definedName name="rng_csv_MonthlyData" localSheetId="2" hidden="1">'1940-II - Phy. &amp; Chem.'!$AE$10,'1940-II - Phy. &amp; Chem.'!$AG$10,'1940-II - Phy. &amp; Chem.'!$AR$10,'1940-II - Phy. &amp; Chem.'!$AT$10,'1940-II - Phy. &amp; Chem.'!$AT$11</definedName>
    <definedName name="rng_csv_MonthlyData" localSheetId="5" hidden="1">'1940-V - IFE Turb.'!$A$41:$P$42</definedName>
    <definedName name="rng_csv_MonthlyData" localSheetId="7" hidden="1">'DBP-1-chlorine dioxide-chlorite'!$C$14:$H$44,'DBP-1-chlorine dioxide-chlorite'!$J$14:$O$44</definedName>
    <definedName name="rng_csv_MonthlyData_All_Qs" localSheetId="5" hidden="1">'1940-V - IFE Turb.'!$A$12:$A$34,'1940-V - IFE Turb.'!$C$12:$C$34,'1940-V - IFE Turb.'!$E$12:$E$34,'1940-V - IFE Turb.'!$G$12:$G$34,'1940-V - IFE Turb.'!$I$12:$I$34</definedName>
    <definedName name="rng_csv_MonthlyData_Minor5Qs" localSheetId="5" hidden="1">'1940-V - IFE Turb.'!$A$14:$I$14,'1940-V - IFE Turb.'!$A$16:$I$16,'1940-V - IFE Turb.'!$A$22:$I$22,'1940-V - IFE Turb.'!$A$24:$I$24,'1940-V - IFE Turb.'!$A$26:$I$26</definedName>
    <definedName name="rng_csv_OtherData" localSheetId="1" hidden="1">'1940 - Plant Op.'!$N$9:$N$9</definedName>
    <definedName name="rng_CT_CntLessThan_1.0" localSheetId="2" hidden="1">'1940-II - Phy. &amp; Chem.'!$AP$48</definedName>
    <definedName name="rng_CT_MINIMUM" localSheetId="9" hidden="1">'1940-VI - Summary'!$D$40</definedName>
    <definedName name="rng_CT_NumRatiosCalc" localSheetId="9" hidden="1">'1940-VI - Summary'!$J$41</definedName>
    <definedName name="rng_CT_NumRatiosReqd" localSheetId="9" hidden="1">'1940-VI - Summary'!$J$40</definedName>
    <definedName name="rng_CT_RatiosLessThan_1" localSheetId="9" hidden="1">'1940-VI - Summary'!$D$41</definedName>
    <definedName name="rng_CTCalc" localSheetId="2" hidden="1">'1940-II - Phy. &amp; Chem.'!$AP$13:$AP$43</definedName>
    <definedName name="rng_CTCalc_MINIMUM" localSheetId="2" hidden="1">'1940-II - Phy. &amp; Chem.'!$AP$47</definedName>
    <definedName name="rng_DailyChloriteAtEntryPt" localSheetId="7" hidden="1">'DBP-1-chlorine dioxide-chlorite'!$I:$I</definedName>
    <definedName name="rng_DailyInputArea" localSheetId="1" hidden="1">'1940 - Plant Op.'!$B$16:$AS$46</definedName>
    <definedName name="rng_DailyInputArea" localSheetId="2" hidden="1">'1940-II - Phy. &amp; Chem.'!$B$13:$AV$43</definedName>
    <definedName name="rng_DailyInputArea" localSheetId="3" hidden="1">'1940-III - CFE Turb.'!$B$11:$M$41</definedName>
    <definedName name="rng_DailyInputArea" localSheetId="4" hidden="1">'1940-IV - EP DI'!$B$13:$M$43</definedName>
    <definedName name="rng_DailyInputArea" localSheetId="6" hidden="1">Chloramination!$B$13:$L$43</definedName>
    <definedName name="rng_DailyInputArea" localSheetId="7" hidden="1">'DBP-1-chlorine dioxide-chlorite'!$B$14:$P$44</definedName>
    <definedName name="rng_DailyInputArea" localSheetId="8">'Dist Sys Monitoring'!$B$25:$Q$49</definedName>
    <definedName name="rng_DataType_DailyData" localSheetId="1" hidden="1">'1940 - Plant Op.'!$A$15:$AS$15</definedName>
    <definedName name="rng_DataType_DailyData" localSheetId="2" hidden="1">'1940-II - Phy. &amp; Chem.'!$A$12:$AV$12</definedName>
    <definedName name="rng_DataType_DailyData" localSheetId="3" hidden="1">'1940-III - CFE Turb.'!$A$10:$C$10,'1940-III - CFE Turb.'!$E$10,'1940-III - CFE Turb.'!$G$10,'1940-III - CFE Turb.'!$I$10,'1940-III - CFE Turb.'!$K$10,'1940-III - CFE Turb.'!$M$10</definedName>
    <definedName name="rng_DataType_DailyData" localSheetId="4" hidden="1">'1940-IV - EP DI'!$A$12:$C$12,'1940-IV - EP DI'!$E$12,'1940-IV - EP DI'!$G$12,'1940-IV - EP DI'!$I$12,'1940-IV - EP DI'!$K$12,'1940-IV - EP DI'!$M$12</definedName>
    <definedName name="rng_DataType_DailyData" localSheetId="5" hidden="1">'1940-V - IFE Turb.'!$A$39:$P$39</definedName>
    <definedName name="rng_DataType_DailyData" localSheetId="6" hidden="1">Chloramination!$A$12:$L$12</definedName>
    <definedName name="rng_DataType_DailyData" localSheetId="7" hidden="1">'DBP-1-chlorine dioxide-chlorite'!$A$13:$P$13</definedName>
    <definedName name="rng_DataType_DailyData" localSheetId="8" hidden="1">'Dist Sys Monitoring'!$A$24:$Q$24</definedName>
    <definedName name="rng_DateBasinLastCleaned" localSheetId="1" hidden="1">'1940 - Plant Op.'!$R$52</definedName>
    <definedName name="rng_DateNumbers" localSheetId="3" hidden="1">'1940-III - CFE Turb.'!$A$11:$A$41</definedName>
    <definedName name="rng_DateNumbers" localSheetId="4" hidden="1">'1940-IV - EP DI'!$A$13:$A$43</definedName>
    <definedName name="rng_DateNumbers" localSheetId="6" hidden="1">Chloramination!$A$13:$A$43</definedName>
    <definedName name="rng_dd_FiltWaterTotColiform" localSheetId="2" hidden="1">'1940-II - Phy. &amp; Chem.'!$AU$13:$AU$43</definedName>
    <definedName name="rng_dd_FinWaterTotColiform" localSheetId="2" hidden="1">'1940-II - Phy. &amp; Chem.'!$AV$13:$AV$43</definedName>
    <definedName name="rng_dd_RawWater_feccolif" localSheetId="2" hidden="1">'1940-II - Phy. &amp; Chem.'!$AS$13:$AS$43</definedName>
    <definedName name="rng_dd_RawWater_totcolif" localSheetId="2" hidden="1">'1940-II - Phy. &amp; Chem.'!$AQ$13:$AQ$43</definedName>
    <definedName name="rng_DisinfectantUsed" localSheetId="4" hidden="1">'1940-IV - EP DI'!$D$9</definedName>
    <definedName name="rng_DisinfectantUsed" localSheetId="9" hidden="1">'1940-VI - Summary'!$D$33</definedName>
    <definedName name="rng_DisinfectantUsed" localSheetId="6" hidden="1">Chloramination!$C$8</definedName>
    <definedName name="rng_DisinfectantUsed" localSheetId="8" hidden="1">'Dist Sys Monitoring'!$D$14</definedName>
    <definedName name="rng_DistCertificateGrade" localSheetId="8" hidden="1">'Dist Sys Monitoring'!$O$5</definedName>
    <definedName name="rng_DistCertificateNumber" localSheetId="8" hidden="1">'Dist Sys Monitoring'!$O$7</definedName>
    <definedName name="rng_DistCompletedBy" localSheetId="8" hidden="1">'Dist Sys Monitoring'!$O$3</definedName>
    <definedName name="rng_DistFacilityClass" localSheetId="8" hidden="1">'Dist Sys Monitoring'!$D$11</definedName>
    <definedName name="rng_DistResDisinfConc_metric_1" hidden="1">'Dist Sys Monitoring'!$R$51</definedName>
    <definedName name="rng_DistResDisinfConc_metric1" localSheetId="9" hidden="1">'1940-VI - Summary'!$J$37</definedName>
    <definedName name="rng_DividerCol1" localSheetId="1" hidden="1">'1940 - Plant Op.'!$M:$M</definedName>
    <definedName name="rng_DividerCol2" localSheetId="1" hidden="1">'1940 - Plant Op.'!$AC:$AC</definedName>
    <definedName name="rng_DosageCol1" localSheetId="1" hidden="1">'1940 - Plant Op.'!$AD:$AD</definedName>
    <definedName name="rng_DosageCol2" localSheetId="1" hidden="1">'1940 - Plant Op.'!$AE:$AE</definedName>
    <definedName name="rng_DosagePtr" localSheetId="11" hidden="1">'Data Validation'!$V$1</definedName>
    <definedName name="rng_DropDowns_horiz" localSheetId="2" hidden="1">'1940-II - Phy. &amp; Chem.'!$AQ$13:$AQ$43,'1940-II - Phy. &amp; Chem.'!$AS$13:$AS$43,'1940-II - Phy. &amp; Chem.'!$AU$13:$AV$43</definedName>
    <definedName name="rng_DropDowns_horiz" localSheetId="4" hidden="1">'1940-IV - EP DI'!$D$9</definedName>
    <definedName name="rng_DropDowns_horiz" localSheetId="5" hidden="1">'1940-V - IFE Turb.'!$A$12:$A$12,'1940-V - IFE Turb.'!$A$18,'1940-V - IFE Turb.'!$A$20,'1940-V - IFE Turb.'!$A$28,'1940-V - IFE Turb.'!$A$30,'1940-V - IFE Turb.'!$A$32,'1940-V - IFE Turb.'!$A$34</definedName>
    <definedName name="rng_DropDowns_horiz" localSheetId="7" hidden="1">'DBP-1-chlorine dioxide-chlorite'!$E$51:$E$52,'DBP-1-chlorine dioxide-chlorite'!$K$51</definedName>
    <definedName name="rng_DropDowns_horiz_2" localSheetId="5" hidden="1">'1940-V - IFE Turb.'!$A$14,'1940-V - IFE Turb.'!$A$16,'1940-V - IFE Turb.'!$A$22,'1940-V - IFE Turb.'!$A$24,'1940-V - IFE Turb.'!$A$26</definedName>
    <definedName name="rng_DropDowns_vert" localSheetId="1" hidden="1">'1940 - Plant Op.'!$N$9:$AS$9</definedName>
    <definedName name="rng_DropDowns_vert" localSheetId="2" hidden="1">'1940-II - Phy. &amp; Chem.'!$AE$10:$AE$11,'1940-II - Phy. &amp; Chem.'!$AG$10:$AG$11,'1940-II - Phy. &amp; Chem.'!$AR$10:$AR$11,'1940-II - Phy. &amp; Chem.'!$AT$10,'1940-II - Phy. &amp; Chem.'!$AT$11</definedName>
    <definedName name="rng_DropDowns_vert_exceptions" localSheetId="2" hidden="1">'1940-II - Phy. &amp; Chem.'!$AQ$10,'1940-II - Phy. &amp; Chem.'!$AS$10</definedName>
    <definedName name="rng_EndCol" localSheetId="1" hidden="1">'1940 - Plant Op.'!$AS:$AS</definedName>
    <definedName name="rng_EntryCount_All_7Qs_1" localSheetId="5" hidden="1">'1940-V - IFE Turb.'!$A$35</definedName>
    <definedName name="rng_EntryCount_All_7Qs_2" localSheetId="5" hidden="1">'1940-V - IFE Turb.'!$C$35</definedName>
    <definedName name="rng_EntryCount_All_7Qs_3" localSheetId="5" hidden="1">'1940-V - IFE Turb.'!$E$35</definedName>
    <definedName name="rng_EntryCount_All_7Qs_4" localSheetId="5" hidden="1">'1940-V - IFE Turb.'!$G$35</definedName>
    <definedName name="rng_EntryCount_All_7Qs_5" localSheetId="5" hidden="1">'1940-V - IFE Turb.'!$I$35</definedName>
    <definedName name="rng_EntryCount_Last_4Qs_1" localSheetId="5" hidden="1">'1940-V - IFE Turb.'!$A$36</definedName>
    <definedName name="rng_EntryCount_Last_4Qs_2" localSheetId="5" hidden="1">'1940-V - IFE Turb.'!$C$36</definedName>
    <definedName name="rng_EntryCount_Last_4Qs_3" localSheetId="5" hidden="1">'1940-V - IFE Turb.'!$E$36</definedName>
    <definedName name="rng_EntryCount_Last_4Qs_4" localSheetId="5" hidden="1">'1940-V - IFE Turb.'!$G$36</definedName>
    <definedName name="rng_EntryCount_Last_4Qs_5" localSheetId="5" hidden="1">'1940-V - IFE Turb.'!$I$36</definedName>
    <definedName name="rng_EntryCount_Yes_Last_4Qs" localSheetId="5" hidden="1">'1940-V - IFE Turb.'!$Q$37</definedName>
    <definedName name="rng_EntryCountFormulas" localSheetId="5" hidden="1">'1940-V - IFE Turb.'!$Q:$Q</definedName>
    <definedName name="rng_EPRD_AVERAGE" localSheetId="4" hidden="1">'1940-IV - EP DI'!$G$45</definedName>
    <definedName name="rng_EPRD_CountEntries" localSheetId="1" hidden="1">'1940 - Plant Op.'!$AT$16:$AT$46</definedName>
    <definedName name="rng_EPRD_EntriesWithoutHrs" localSheetId="4" hidden="1">'1940-IV - EP DI'!$Y$45</definedName>
    <definedName name="rng_EPRD_MINIMUM" localSheetId="4" hidden="1">'1940-IV - EP DI'!$C$45</definedName>
    <definedName name="rng_EPRD_MINIMUM" localSheetId="9" hidden="1">'1940-VI - Summary'!$D$34</definedName>
    <definedName name="rng_EPRD_NumMissingExtraTimes" localSheetId="4" hidden="1">'1940-IV - EP DI'!$R$45</definedName>
    <definedName name="rng_EPRD_NumMissingTimes" localSheetId="4" hidden="1">'1940-IV - EP DI'!$Q$45</definedName>
    <definedName name="rng_EPRD_NumSampReqd" localSheetId="4" hidden="1">'1940-IV - EP DI'!$N$45</definedName>
    <definedName name="rng_EPRD_NumSampReqd" localSheetId="9" hidden="1">'1940-VI - Summary'!$J$33</definedName>
    <definedName name="rng_EPRD_NumSampTaken" localSheetId="4" hidden="1">'1940-IV - EP DI'!$K$45</definedName>
    <definedName name="rng_EPRD_NumSampTaken" localSheetId="9" hidden="1">'1940-VI - Summary'!$J$34</definedName>
    <definedName name="rng_EPRD_NumSampUnderReqd" localSheetId="4" hidden="1">'1940-IV - EP DI'!$O$45</definedName>
    <definedName name="rng_EPRD_SUM" localSheetId="4" hidden="1">'1940-IV - EP DI'!$N$47</definedName>
    <definedName name="rng_Fecal_eColi" localSheetId="2" hidden="1">'1940-II - Phy. &amp; Chem.'!$AT$11</definedName>
    <definedName name="rng_FilteredMGD" localSheetId="1" hidden="1">'1940 - Plant Op.'!$D$16:$D$46</definedName>
    <definedName name="rng_FinishedMGD" localSheetId="1" hidden="1">'1940 - Plant Op.'!$E$16:$E$46</definedName>
    <definedName name="rng_FormHeaderArea" localSheetId="1" hidden="1">'1940 - Plant Op.'!$A$3:$AS$6</definedName>
    <definedName name="rng_FormHeaderArea" localSheetId="2" hidden="1">'1940-II - Phy. &amp; Chem.'!$A$3:$AV$6</definedName>
    <definedName name="rng_FormHeaderArea" localSheetId="3" hidden="1">'1940-III - CFE Turb.'!$A$3:$M$8</definedName>
    <definedName name="rng_FormHeaderArea" localSheetId="4" hidden="1">'1940-IV - EP DI'!$A$2:$M$10</definedName>
    <definedName name="rng_FormHeaderArea" localSheetId="6" hidden="1">Chloramination!$A$3:$L$8</definedName>
    <definedName name="rng_FormHeaderArea" localSheetId="7" hidden="1">'DBP-1-chlorine dioxide-chlorite'!$A$3:$P$10</definedName>
    <definedName name="rng_FormHeaderArea" localSheetId="8" hidden="1">'Dist Sys Monitoring'!$B$2:$Q$14</definedName>
    <definedName name="rng_FormSubHeaderArea" localSheetId="8" hidden="1">'Dist Sys Monitoring'!$B$16:$Q$20</definedName>
    <definedName name="rng_FormTitleArea" localSheetId="1" hidden="1">'1940 - Plant Op.'!$A$1:$AD$1</definedName>
    <definedName name="rng_FormTitleArea" localSheetId="2" hidden="1">'1940-II - Phy. &amp; Chem.'!$A$1:$AV$2</definedName>
    <definedName name="rng_FormTitleArea" localSheetId="3" hidden="1">'1940-III - CFE Turb.'!$A$1:$M$1</definedName>
    <definedName name="rng_FormTitleArea" localSheetId="4" hidden="1">'1940-IV - EP DI'!$A$1:$M$1</definedName>
    <definedName name="rng_FormTitleArea" localSheetId="6" hidden="1">Chloramination!$A$1:$L$1</definedName>
    <definedName name="rng_FormTitleArea" localSheetId="7" hidden="1">'DBP-1-chlorine dioxide-chlorite'!$A$1:$P$1</definedName>
    <definedName name="rng_FormTitleArea" localSheetId="8" hidden="1">'Dist Sys Monitoring'!$B$1:$Q$1</definedName>
    <definedName name="rng_FreeChlorine" localSheetId="8">'Dist Sys Monitoring'!$E$25:$E$49</definedName>
    <definedName name="rng_FullGrid" localSheetId="1" hidden="1">'1940 - Plant Op.'!$A$7:$AS$50</definedName>
    <definedName name="rng_Grab_Samples_Taken_1" localSheetId="5" hidden="1">'1940-V - IFE Turb.'!$A$22</definedName>
    <definedName name="rng_Grab_Samples_Taken_2" localSheetId="5" hidden="1">'1940-V - IFE Turb.'!$C$22</definedName>
    <definedName name="rng_Grab_Samples_Taken_3" localSheetId="5" hidden="1">'1940-V - IFE Turb.'!$E$22</definedName>
    <definedName name="rng_Grab_Samples_Taken_4" localSheetId="5" hidden="1">'1940-V - IFE Turb.'!$G$22</definedName>
    <definedName name="rng_Grab_Samples_Taken_5" localSheetId="5" hidden="1">'1940-V - IFE Turb.'!$I$22</definedName>
    <definedName name="rng_hlnkChloramination" hidden="1">'General Info'!$A$64</definedName>
    <definedName name="rng_hlnkChlorDiox_Chlorite" hidden="1">'General Info'!$A$65</definedName>
    <definedName name="rng_Hours_FilterOp" hidden="1">'1940 - Plant Op.'!$G$16:$G$46</definedName>
    <definedName name="rng_Hours_PlantOp" hidden="1">'1940 - Plant Op.'!$F$16:$F$46</definedName>
    <definedName name="rng_Hours_PlantOp_0_Entries" hidden="1">'1940 - Plant Op.'!$AT$50</definedName>
    <definedName name="rng_HPCCount" localSheetId="8">'Dist Sys Monitoring'!$L$25:$L$49</definedName>
    <definedName name="rng_IFTAnswerArea" localSheetId="5" hidden="1">'1940-V - IFE Turb.'!$A$11:$J$34</definedName>
    <definedName name="rng_InputCells" localSheetId="1" hidden="1">'1940 - Plant Op.'!$B$16:$AS$46,'1940 - Plant Op.'!$R$52</definedName>
    <definedName name="rng_InputCells" localSheetId="2" hidden="1">'1940-II - Phy. &amp; Chem.'!$B$13:$AV$43</definedName>
    <definedName name="rng_InputCells" localSheetId="3" hidden="1">'1940-III - CFE Turb.'!$C$11:$C$41,'1940-III - CFE Turb.'!$E$11:$E$41,'1940-III - CFE Turb.'!$G$11:$G$41,'1940-III - CFE Turb.'!$I$11:$I$41,'1940-III - CFE Turb.'!$K$11:$K$41,'1940-III - CFE Turb.'!$M$11:$M$41</definedName>
    <definedName name="rng_InputCells" localSheetId="4" hidden="1">'1940-IV - EP DI'!$C$13:$C$43,'1940-IV - EP DI'!$E$13:$E$43,'1940-IV - EP DI'!$G$13:$G$43,'1940-IV - EP DI'!$I$13:$I$43,'1940-IV - EP DI'!$K$13:$K$43,'1940-IV - EP DI'!$M$13:$M$43</definedName>
    <definedName name="rng_InputCells" localSheetId="5" hidden="1">'1940-V - IFE Turb.'!$A$41:$P$42</definedName>
    <definedName name="rng_InputCells" localSheetId="6" hidden="1">Chloramination!$B$13:$D$43,Chloramination!$F$13:$L$43</definedName>
    <definedName name="rng_InputCells" localSheetId="7" hidden="1">'DBP-1-chlorine dioxide-chlorite'!$B$14:$O$44,'DBP-1-chlorine dioxide-chlorite'!$E$51:$E$52,'DBP-1-chlorine dioxide-chlorite'!$K$51</definedName>
    <definedName name="rng_InputCells" localSheetId="8" hidden="1">'Dist Sys Monitoring'!rng_InputCells_daily,'Dist Sys Monitoring'!rng_SamplesTaken</definedName>
    <definedName name="rng_InputCells" localSheetId="0" hidden="1">'General Info'!$A$36,'General Info'!$A$47,'General Info'!$E$26,'General Info'!$E$28,'General Info'!$E$30,'General Info'!$G$26,'General Info'!$G$28,'General Info'!$G$30</definedName>
    <definedName name="rng_InputCells_and_RatioCells" localSheetId="6" hidden="1">Chloramination!$B$13:$L$43</definedName>
    <definedName name="rng_InputCells_AUTO_1" localSheetId="0" hidden="1">'General Info'!$E$10,'General Info'!$E$11,'General Info'!$E$12,'General Info'!$E$14,'General Info'!$E$16</definedName>
    <definedName name="rng_InputCells_AUTO_2" localSheetId="0" hidden="1">'General Info'!$E$20,'General Info'!$E$22,'General Info'!$G$20,'General Info'!$G$22,'General Info'!$E$24,'General Info'!$G$24</definedName>
    <definedName name="rng_InputCells_daily" localSheetId="1" hidden="1">'1940 - Plant Op.'!$B$16:$AS$46</definedName>
    <definedName name="rng_InputCells_daily" localSheetId="8">'Dist Sys Monitoring'!$B$25:$Q$49</definedName>
    <definedName name="rng_InputOrLabelCells" localSheetId="4" hidden="1">'1940-IV - EP DI'!$B$13:$B$43,'1940-IV - EP DI'!$D$13:$D$43,'1940-IV - EP DI'!$F$13:$F$43,'1940-IV - EP DI'!$H$13:$H$43,'1940-IV - EP DI'!$J$13:$J$43,'1940-IV - EP DI'!$L$13:$L$43</definedName>
    <definedName name="rng_LabCert_Fecal_eColi" localSheetId="2" hidden="1">'1940-II - Phy. &amp; Chem.'!$AT$10</definedName>
    <definedName name="rng_LabCert_Nitrate" localSheetId="2" hidden="1">'1940-II - Phy. &amp; Chem.'!$AE$10</definedName>
    <definedName name="rng_LabCert_TotColif" localSheetId="2" hidden="1">'1940-II - Phy. &amp; Chem.'!$AR$10</definedName>
    <definedName name="rng_LastRow" localSheetId="5" hidden="1">'1940-V - IFE Turb.'!$42:$42</definedName>
    <definedName name="rng_LastRow" localSheetId="8" hidden="1">'Dist Sys Monitoring'!$50:$50</definedName>
    <definedName name="rng_LastSampleIndex" localSheetId="8">'Dist Sys Monitoring'!$A$49</definedName>
    <definedName name="rng_LessThan_or_GreaterThan" localSheetId="2" hidden="1">'1940-II - Phy. &amp; Chem.'!$AQ$13:$AQ$43,'1940-II - Phy. &amp; Chem.'!$AS$13:$AS$43</definedName>
    <definedName name="rng_LocationCode" localSheetId="8">'Dist Sys Monitoring'!$C$25:$C$49</definedName>
    <definedName name="rng_MaxFilterRate" localSheetId="1" hidden="1">'1940 - Plant Op.'!$H$16:$H$46</definedName>
    <definedName name="rng_MAXIMUM" localSheetId="6" hidden="1">Chloramination!$A$46:$L$46</definedName>
    <definedName name="rng_MAXIMUM" localSheetId="8" hidden="1">'Dist Sys Monitoring'!$A$53:$Q$53</definedName>
    <definedName name="rng_MinAtPOE" localSheetId="2" hidden="1">'1940-II - Phy. &amp; Chem.'!$AK$13:$AK$43</definedName>
    <definedName name="rng_MINIMUM" localSheetId="6" hidden="1">Chloramination!$A$47:$L$47</definedName>
    <definedName name="rng_MINIMUM" localSheetId="8" hidden="1">'Dist Sys Monitoring'!$A$54:$Q$54</definedName>
    <definedName name="rng_MinReqdTestsPerWk" localSheetId="8" hidden="1">'Dist Sys Monitoring'!$D$13</definedName>
    <definedName name="rng_MinSamplesPerDay_eprd" localSheetId="4" hidden="1">'1940-IV - EP DI'!$N$1</definedName>
    <definedName name="rng_MissEntry_ampfcs" localSheetId="6" hidden="1">Chloramination!$M$45</definedName>
    <definedName name="rng_MissEntry_ampfcs" localSheetId="8" hidden="1">'Dist Sys Monitoring'!$U$51</definedName>
    <definedName name="rng_MissEntry_fc" localSheetId="6" hidden="1">Chloramination!$N$45</definedName>
    <definedName name="rng_MissEntry_mrt_tfc" localSheetId="8" hidden="1">'Dist Sys Monitoring'!$V$51</definedName>
    <definedName name="rng_MonitorFailure_1" localSheetId="5" hidden="1">'1940-V - IFE Turb.'!$A$20</definedName>
    <definedName name="rng_MonitorFailure_2" localSheetId="5" hidden="1">'1940-V - IFE Turb.'!$C$20</definedName>
    <definedName name="rng_MonitorFailure_3" localSheetId="5" hidden="1">'1940-V - IFE Turb.'!$E$20</definedName>
    <definedName name="rng_MonitorFailure_4" localSheetId="5" hidden="1">'1940-V - IFE Turb.'!$G$20</definedName>
    <definedName name="rng_MonitorFailure_5" localSheetId="5" hidden="1">'1940-V - IFE Turb.'!$I$20</definedName>
    <definedName name="rng_NumUnitsUsed" localSheetId="1" hidden="1">'1940 - Plant Op.'!$J$16:$J$46</definedName>
    <definedName name="rng_Pct_BackWashWaterUsed" localSheetId="1" hidden="1">'1940 - Plant Op.'!$F$52</definedName>
    <definedName name="rng_Phosphate_Meta_Total" localSheetId="2" hidden="1">'1940-II - Phy. &amp; Chem.'!$AG$10</definedName>
    <definedName name="rng_PoundsCol1" localSheetId="1" hidden="1">'1940 - Plant Op.'!$N:$N</definedName>
    <definedName name="rng_PoundsCol2" localSheetId="1" hidden="1">'1940 - Plant Op.'!$O:$O</definedName>
    <definedName name="rng_PoundsPtr" localSheetId="11" hidden="1">'Data Validation'!$O$1</definedName>
    <definedName name="rng_Q1_No" localSheetId="9" hidden="1">'1940-VI - Summary'!$J$14</definedName>
    <definedName name="rng_Q1_Yes" localSheetId="9" hidden="1">'1940-VI - Summary'!$H$14</definedName>
    <definedName name="rng_Q1a_No" localSheetId="9" hidden="1">'1940-VI - Summary'!$J$15</definedName>
    <definedName name="rng_Q1a_Yes" localSheetId="9" hidden="1">'1940-VI - Summary'!$H$15</definedName>
    <definedName name="rng_Q1b_No" localSheetId="9" hidden="1">'1940-VI - Summary'!$J$16</definedName>
    <definedName name="rng_Q1b_Yes" localSheetId="9" hidden="1">'1940-VI - Summary'!$H$16</definedName>
    <definedName name="rng_Q2_No" localSheetId="9" hidden="1">'1940-VI - Summary'!$J$17</definedName>
    <definedName name="rng_Q2_Yes" localSheetId="9" hidden="1">'1940-VI - Summary'!$H$17</definedName>
    <definedName name="rng_Q3_No" localSheetId="9" hidden="1">'1940-VI - Summary'!$J$18</definedName>
    <definedName name="rng_Q3_Yes" localSheetId="9" hidden="1">'1940-VI - Summary'!$H$18</definedName>
    <definedName name="rng_Q3a_No" localSheetId="9" hidden="1">'1940-VI - Summary'!$J$19</definedName>
    <definedName name="rng_Q3a_Yes" localSheetId="9" hidden="1">'1940-VI - Summary'!$H$19</definedName>
    <definedName name="rng_Q3b1_No" localSheetId="9" hidden="1">'1940-VI - Summary'!$J$20</definedName>
    <definedName name="rng_Q3b1_Yes" localSheetId="9" hidden="1">'1940-VI - Summary'!$H$20</definedName>
    <definedName name="rng_Q3b2_No" localSheetId="9" hidden="1">'1940-VI - Summary'!$J$21</definedName>
    <definedName name="rng_Q3b2_Yes" localSheetId="9" hidden="1">'1940-VI - Summary'!$H$21</definedName>
    <definedName name="rng_Q4_No" localSheetId="9" hidden="1">'1940-VI - Summary'!$J$23</definedName>
    <definedName name="rng_Q4_Yes" localSheetId="9" hidden="1">'1940-VI - Summary'!$H$23</definedName>
    <definedName name="rng_Q5_No" localSheetId="9" hidden="1">'1940-VI - Summary'!$J$26</definedName>
    <definedName name="rng_Q5_Yes" localSheetId="9" hidden="1">'1940-VI - Summary'!$H$26</definedName>
    <definedName name="rng_Q6_No" localSheetId="9" hidden="1">'1940-VI - Summary'!$J$28</definedName>
    <definedName name="rng_Q6_Yes" localSheetId="9" hidden="1">'1940-VI - Summary'!$H$28</definedName>
    <definedName name="rng_Q7_No" localSheetId="9" hidden="1">'1940-VI - Summary'!$J$30</definedName>
    <definedName name="rng_Q7_Yes" localSheetId="9" hidden="1">'1940-VI - Summary'!$H$30</definedName>
    <definedName name="rng_RawMGD_PumpedSource" localSheetId="1" hidden="1">'1940 - Plant Op.'!$B$16:$B$46</definedName>
    <definedName name="rng_RawMGD_Treated" localSheetId="1" hidden="1">'1940 - Plant Op.'!$C$16:$C$46</definedName>
    <definedName name="rng_Remarks_Distribution" localSheetId="0" hidden="1">'General Info'!$A$47:$G$54</definedName>
    <definedName name="rng_Remarks_PlantOps" localSheetId="0" hidden="1">'General Info'!$A$36:$G$43</definedName>
    <definedName name="rng_ReqdMinusActualSamples" localSheetId="3" hidden="1">'1940-III - CFE Turb.'!$O$11:$O$41</definedName>
    <definedName name="rng_ReqdMinusActualSamples" localSheetId="4" hidden="1">'1940-IV - EP DI'!$O$13:$O$43</definedName>
    <definedName name="rng_ResDisinfectant_AVERAGE" localSheetId="8" hidden="1">'Dist Sys Monitoring'!$E$52</definedName>
    <definedName name="rng_ResDisinfectant_MAXIMUM" localSheetId="8" hidden="1">'Dist Sys Monitoring'!$E$53</definedName>
    <definedName name="rng_ResDisinfectant_MINIMUM" localSheetId="8" hidden="1">'Dist Sys Monitoring'!$E$54</definedName>
    <definedName name="rng_ResultsRecorded_1" localSheetId="5" hidden="1">'1940-V - IFE Turb.'!$A$18</definedName>
    <definedName name="rng_ResultsRecorded_2" localSheetId="5" hidden="1">'1940-V - IFE Turb.'!$C$18</definedName>
    <definedName name="rng_ResultsRecorded_3" localSheetId="5" hidden="1">'1940-V - IFE Turb.'!$E$18</definedName>
    <definedName name="rng_ResultsRecorded_4" localSheetId="5" hidden="1">'1940-V - IFE Turb.'!$G$18</definedName>
    <definedName name="rng_ResultsRecorded_5" localSheetId="5" hidden="1">'1940-V - IFE Turb.'!$I$18</definedName>
    <definedName name="rng_Resume_Monitoring_Within_14d_1" localSheetId="5" hidden="1">'1940-V - IFE Turb.'!$A$24</definedName>
    <definedName name="rng_Resume_Monitoring_Within_14d_2" localSheetId="5" hidden="1">'1940-V - IFE Turb.'!$C$24</definedName>
    <definedName name="rng_Resume_Monitoring_Within_14d_3" localSheetId="5" hidden="1">'1940-V - IFE Turb.'!$E$24</definedName>
    <definedName name="rng_Resume_Monitoring_Within_14d_4" localSheetId="5" hidden="1">'1940-V - IFE Turb.'!$G$24</definedName>
    <definedName name="rng_Resume_Monitoring_Within_14d_5" localSheetId="5" hidden="1">'1940-V - IFE Turb.'!$I$24</definedName>
    <definedName name="rng_Resume_Monitoring_Within_5wd_1" localSheetId="5" hidden="1">'1940-V - IFE Turb.'!$A$26</definedName>
    <definedName name="rng_Resume_Monitoring_Within_5wd_2" localSheetId="5" hidden="1">'1940-V - IFE Turb.'!$C$26</definedName>
    <definedName name="rng_Resume_Monitoring_Within_5wd_3" localSheetId="5" hidden="1">'1940-V - IFE Turb.'!$E$26</definedName>
    <definedName name="rng_Resume_Monitoring_Within_5wd_4" localSheetId="5" hidden="1">'1940-V - IFE Turb.'!$G$26</definedName>
    <definedName name="rng_Resume_Monitoring_Within_5wd_5" localSheetId="5" hidden="1">'1940-V - IFE Turb.'!$I$26</definedName>
    <definedName name="rng_SampleDataRow1" localSheetId="5" hidden="1">'1940-V - IFE Turb.'!$40:$40</definedName>
    <definedName name="rng_SampleDataRow1" localSheetId="8" hidden="1">'Dist Sys Monitoring'!$A$25:$Q$25</definedName>
    <definedName name="rng_SamplePoint" localSheetId="3" hidden="1">'1940-III - CFE Turb.'!$J$7</definedName>
    <definedName name="rng_SamplePoint" localSheetId="4" hidden="1">'1940-IV - EP DI'!$J$7</definedName>
    <definedName name="rng_SamplePoint" localSheetId="6" hidden="1">Chloramination!$H$7</definedName>
    <definedName name="rng_SamplePointKey" localSheetId="3" hidden="1">'1940-III - CFE Turb.'!$J$8</definedName>
    <definedName name="rng_SamplePointKey" localSheetId="4" hidden="1">'1940-IV - EP DI'!$J$8</definedName>
    <definedName name="rng_SamplePointKey" localSheetId="6" hidden="1">Chloramination!$H$8</definedName>
    <definedName name="rng_SamplesTaken" localSheetId="8" hidden="1">'Dist Sys Monitoring'!$D$16</definedName>
    <definedName name="rng_SampPtHeaderRows" localSheetId="5" hidden="1">'1940-V - IFE Turb.'!$10:$11</definedName>
    <definedName name="rng_ShowIfAmmoniaNotUsed" localSheetId="8" hidden="1">'Dist Sys Monitoring'!$E:$E,'Dist Sys Monitoring'!$K:$K</definedName>
    <definedName name="rng_ShowIfAmmoniaUsed" localSheetId="8" hidden="1">'Dist Sys Monitoring'!$F:$J</definedName>
    <definedName name="rng_SortDirection" localSheetId="8" hidden="1">'Dist Sys Monitoring'!$A$51</definedName>
    <definedName name="rng_SpacerRow" localSheetId="1" hidden="1">'1940 - Plant Op.'!$A$15:$AS$15</definedName>
    <definedName name="rng_SpacerRow" localSheetId="2" hidden="1">'1940-II - Phy. &amp; Chem.'!$A$12:$AV$12</definedName>
    <definedName name="rng_SummaryFormulas" localSheetId="1" hidden="1">'1940 - Plant Op.'!$B$47:$AS$50</definedName>
    <definedName name="rng_Temp_RawWater" localSheetId="2" hidden="1">'1940-II - Phy. &amp; Chem.'!$B$13:$B$43</definedName>
    <definedName name="rng_Total_Or_FreeChlorine" localSheetId="8">'Dist Sys Monitoring'!$F$25:$F$49</definedName>
    <definedName name="rng_TotalChlorine" localSheetId="8" hidden="1">'Dist Sys Monitoring'!$G$25:$G$26</definedName>
    <definedName name="rng_Totals" localSheetId="1" hidden="1">'1940 - Plant Op.'!$A$47:$AS$47</definedName>
    <definedName name="rng_Totals" localSheetId="2" hidden="1">'1940-II - Phy. &amp; Chem.'!$B$44:$AV$44</definedName>
    <definedName name="rng_TOTALS" localSheetId="6" hidden="1">Chloramination!$A$44:$L$44</definedName>
    <definedName name="rng_Totals" localSheetId="7" hidden="1">'DBP-1-chlorine dioxide-chlorite'!$A$45:$P$45</definedName>
    <definedName name="rng_TOTALS" localSheetId="8" hidden="1">'Dist Sys Monitoring'!$B$51,'Dist Sys Monitoring'!$F$51:$Q$51</definedName>
    <definedName name="rng_TotMissedHrsCnt_FilterOp" localSheetId="1" hidden="1">'1940 - Plant Op.'!$AW$47</definedName>
    <definedName name="rng_TotMissedHrsCnt_PlantOp" localSheetId="1" hidden="1">'1940 - Plant Op.'!$AV$47</definedName>
    <definedName name="rng_Turb_Above_0_5_Within_Month_1" localSheetId="5" hidden="1">'1940-V - IFE Turb.'!$A$30</definedName>
    <definedName name="rng_Turb_Above_0_5_Within_Month_2" localSheetId="5" hidden="1">'1940-V - IFE Turb.'!$C$30</definedName>
    <definedName name="rng_Turb_Above_0_5_Within_Month_3" localSheetId="5" hidden="1">'1940-V - IFE Turb.'!$E$30</definedName>
    <definedName name="rng_Turb_Above_0_5_Within_Month_4" localSheetId="5" hidden="1">'1940-V - IFE Turb.'!$G$30</definedName>
    <definedName name="rng_Turb_Above_0_5_Within_Month_5" localSheetId="5" hidden="1">'1940-V - IFE Turb.'!$I$30</definedName>
    <definedName name="rng_Turb_Above_1_0_Within_3_Months_1" localSheetId="5" hidden="1">'1940-V - IFE Turb.'!$A$32</definedName>
    <definedName name="rng_Turb_Above_1_0_Within_3_Months_2" localSheetId="5" hidden="1">'1940-V - IFE Turb.'!$C$32</definedName>
    <definedName name="rng_Turb_Above_1_0_Within_3_Months_3" localSheetId="5" hidden="1">'1940-V - IFE Turb.'!$E$32</definedName>
    <definedName name="rng_Turb_Above_1_0_Within_3_Months_4" localSheetId="5" hidden="1">'1940-V - IFE Turb.'!$G$32</definedName>
    <definedName name="rng_Turb_Above_1_0_Within_3_Months_5" localSheetId="5" hidden="1">'1940-V - IFE Turb.'!$I$32</definedName>
    <definedName name="rng_Turb_Above_1_0_Within_Month_1" localSheetId="5" hidden="1">'1940-V - IFE Turb.'!$A$28</definedName>
    <definedName name="rng_Turb_Above_1_0_Within_Month_2" localSheetId="5" hidden="1">'1940-V - IFE Turb.'!$C$28</definedName>
    <definedName name="rng_Turb_Above_1_0_Within_Month_3" localSheetId="5" hidden="1">'1940-V - IFE Turb.'!$E$28</definedName>
    <definedName name="rng_Turb_Above_1_0_Within_Month_4" localSheetId="5" hidden="1">'1940-V - IFE Turb.'!$G$28</definedName>
    <definedName name="rng_Turb_Above_1_0_Within_Month_5" localSheetId="5" hidden="1">'1940-V - IFE Turb.'!$I$28</definedName>
    <definedName name="rng_Turb_Above_2_0_Within_3_Months_1" localSheetId="5" hidden="1">'1940-V - IFE Turb.'!$A$34</definedName>
    <definedName name="rng_Turb_Above_2_0_Within_3_Months_2" localSheetId="5" hidden="1">'1940-V - IFE Turb.'!$C$34</definedName>
    <definedName name="rng_Turb_Above_2_0_Within_3_Months_3" localSheetId="5" hidden="1">'1940-V - IFE Turb.'!$E$34</definedName>
    <definedName name="rng_Turb_Above_2_0_Within_3_Months_4" localSheetId="5" hidden="1">'1940-V - IFE Turb.'!$G$34</definedName>
    <definedName name="rng_Turb_Above_2_0_Within_3_Months_5" localSheetId="5" hidden="1">'1940-V - IFE Turb.'!$I$34</definedName>
    <definedName name="rng_Turb_Raw_AVG" localSheetId="2" hidden="1">'1940-II - Phy. &amp; Chem.'!$C$45</definedName>
    <definedName name="rng_Turb_Raw_MAX" localSheetId="2" hidden="1">'1940-II - Phy. &amp; Chem.'!$C$46</definedName>
    <definedName name="rng_Turb_Settled_AVG" localSheetId="2" hidden="1">'1940-II - Phy. &amp; Chem.'!$D$45</definedName>
    <definedName name="rng_Turb_Settled_MAX" localSheetId="2" hidden="1">'1940-II - Phy. &amp; Chem.'!$D$46</definedName>
    <definedName name="rng_Turbidity" localSheetId="5" hidden="1">'1940-V - IFE Turb.'!$L$41:$L$42</definedName>
    <definedName name="rng_TurbNumTestsFinWater" localSheetId="2" hidden="1">'1940-II - Phy. &amp; Chem.'!$E$13:$E$43</definedName>
    <definedName name="rng_VertHeaders" localSheetId="1" hidden="1">'1940 - Plant Op.'!$B$8:$AS$8</definedName>
    <definedName name="rng_VertHeaders" localSheetId="2" hidden="1">'1940-II - Phy. &amp; Chem.'!$B$9:$AP$9,'1940-II - Phy. &amp; Chem.'!$AR$9,'1940-II - Phy. &amp; Chem.'!$AT$9:$AV$9</definedName>
    <definedName name="rng_VertHeaders_exceptions" localSheetId="2" hidden="1">'1940-II - Phy. &amp; Chem.'!$AQ$9,'1940-II - Phy. &amp; Chem.'!$AS$9</definedName>
    <definedName name="rngCheckMarkText" localSheetId="5" hidden="1">'1940-V - IFE Turb.'!$M$10</definedName>
    <definedName name="set_AllEventsOn" hidden="1">TRUE</definedName>
    <definedName name="set_AllowNormalOperations" hidden="1">TRUE</definedName>
    <definedName name="set_AllowSubmitAndCreate" hidden="1">TRUE</definedName>
    <definedName name="set_AutoEmailSubmission_co" hidden="1">TRUE</definedName>
    <definedName name="set_AutoEmailSubmission_ro" hidden="1">TRUE</definedName>
    <definedName name="set_CertificationCheck" hidden="1">TRUE</definedName>
    <definedName name="set_ChemCalculationsOn" hidden="1">TRUE</definedName>
    <definedName name="set_ConfigurationComplete" hidden="1">FALSE</definedName>
    <definedName name="set_CurrentOrPriorMOR" hidden="1">"PRIOR"</definedName>
    <definedName name="set_DateTimeStamp_submit" hidden="1">43565.4680555555</definedName>
    <definedName name="set_EmailAddress_co" hidden="1">"water.emor.pws@lists.ncmail.net"</definedName>
    <definedName name="set_EmailAddress_ro" hidden="1">"water.emor.pws.rro@lists.ncmail.net"</definedName>
    <definedName name="set_HasUPSamplePoint" hidden="1">FALSE</definedName>
    <definedName name="set_LessThan10kPeople" hidden="1">FALSE</definedName>
    <definedName name="set_MinSamplesPerDay_eprd" hidden="1">0</definedName>
    <definedName name="set_MinSamplesPerWeek_distclass" hidden="1">5</definedName>
    <definedName name="set_MORUploadLink" hidden="1">"http://xapps.ncdenr.org/eh/mor"</definedName>
    <definedName name="set_MultipleCFEs" hidden="1">FALSE</definedName>
    <definedName name="set_MultipleEPRDs" hidden="1">FALSE</definedName>
    <definedName name="set_RAASelected" hidden="1">FALSE</definedName>
    <definedName name="set_SuppressDISTDeleteAlert" hidden="1">FALSE</definedName>
    <definedName name="SP_ID_1_cfe" hidden="1">"EP1"</definedName>
    <definedName name="SP_ID_1_eprd" hidden="1">"EP1"</definedName>
    <definedName name="SP_ID_2_cfe" hidden="1">""</definedName>
    <definedName name="SP_ID_2_eprd" hidden="1">""</definedName>
    <definedName name="SP_ID_3_cfe" hidden="1">""</definedName>
    <definedName name="SP_ID_3_eprd" hidden="1">""</definedName>
    <definedName name="SP_ID_4_cfe" hidden="1">""</definedName>
    <definedName name="SP_ID_4_eprd" hidden="1">""</definedName>
    <definedName name="SP_ID_5_cfe" hidden="1">""</definedName>
    <definedName name="SP_ID_5_eprd" hidden="1">""</definedName>
    <definedName name="SP_Key_1_cfe" hidden="1">71879</definedName>
    <definedName name="SP_Key_1_eprd" hidden="1">71879</definedName>
    <definedName name="SP_Key_2_cfe" hidden="1">""</definedName>
    <definedName name="SP_Key_2_eprd" hidden="1">""</definedName>
    <definedName name="SP_Key_3_cfe" hidden="1">""</definedName>
    <definedName name="SP_Key_3_eprd" hidden="1">""</definedName>
    <definedName name="SP_Key_4_cfe" hidden="1">""</definedName>
    <definedName name="SP_Key_4_eprd" hidden="1">""</definedName>
    <definedName name="SP_Key_5_cfe" hidden="1">""</definedName>
    <definedName name="SP_Key_5_eprd" hidden="1">""</definedName>
    <definedName name="TINWSF_IS_NUMBER" hidden="1">10200</definedName>
    <definedName name="TINWSF_IS_NUMBER_DIST" hidden="1">56710</definedName>
    <definedName name="val_AmmoniaType" hidden="1">OFFSET(ptr_AmmoniaType,1,0,COUNTA(ptr_AmmoniaType)-1,1)</definedName>
    <definedName name="val_ChemCalcBasis" hidden="1">OFFSET(ptr_ChemCalcBasis,1,0,COUNTA(ptr_ChemCalcBasis)-1,1)</definedName>
    <definedName name="val_ChemicalCategories" hidden="1">OFFSET(ptr_ChemicalCategories,1,0,COUNTA('Drop Down Lists'!$C:$C)-1,1)</definedName>
    <definedName name="val_ColiformFiltered_Finished" hidden="1">OFFSET(ptr_ColiformFiltered_Finished_2,1,0,COUNTA(ptr_ColiformFiltered_Finished_2)-1,1)</definedName>
    <definedName name="val_ColiformFiltered_Finished_2" hidden="1">OFFSET(ptr_ColiformFiltered_Finished_2,1,0,COUNTA(ptr_ColiformFiltered_Finished_2)-1,1)</definedName>
    <definedName name="val_CorrosionInhibitor" hidden="1">OFFSET(ptr_CorrosionInhibitor,1,0,COUNTA('Drop Down Lists'!$O:$O)-1,1)</definedName>
    <definedName name="val_CurrentMonDates" hidden="1">OFFSET(ptr_CurrentMonDates,1,0,COUNTA(ptr_CurrentMonDates)-1,1)</definedName>
    <definedName name="val_CurrentMonthDates" hidden="1">OFFSET(ptr_CurrentMonthDates,1,0,COUNTA(ptr_CurrentMonthDates)-1,1)</definedName>
    <definedName name="val_DisinfectantResidual" hidden="1">OFFSET(ptr_DisinfectantResidual,1,0,COUNTA(ptr_DisinfectantResidual)-1,1)</definedName>
    <definedName name="val_Fecal_eColi" hidden="1">OFFSET('Drop Down Lists'!ptr_Fecal_eColi,1,0,COUNTA('Drop Down Lists'!ptr_Fecal_eColi)-1,1)</definedName>
    <definedName name="val_Fluoride" hidden="1">OFFSET(ptr_Fluoride,1,0,COUNTA('Drop Down Lists'!$W:$W)-1,1)</definedName>
    <definedName name="val_LessThan_or_GreaterThan" hidden="1">OFFSET(ptr_LessThan_or_GreaterThan,1,0,COUNTA(ptr_LessThan_or_GreaterThan)-1,1)</definedName>
    <definedName name="val_MethodCalculation" hidden="1">OFFSET(ptr_MethodCalculation,1,0,COUNTA(ptr_MethodCalculation)-1,1)</definedName>
    <definedName name="val_ND_or_LessThan1" hidden="1">OFFSET(ptr_ND_or_LessThan1,1,0,COUNTA(ptr_ND_or_LessThan1)-1,1)</definedName>
    <definedName name="val_Nitrate_FinishedWater" hidden="1">OFFSET(ptr_Nitrate_FinishedWater,1,0,COUNTA('Drop Down Lists'!$X:$X)-1,1)</definedName>
    <definedName name="val_NotApplicable" hidden="1">OFFSET(ptr_NotApplicable,1,0,COUNTA(ptr_NotApplicable)-1,1)</definedName>
    <definedName name="val_NumSamples" hidden="1">OFFSET(ptr_NumSamples,1,0,COUNTA(ptr_NumSamples)-1,1)</definedName>
    <definedName name="val_pHAdjustment" hidden="1">OFFSET(ptr_pHAdjustment,1,0,COUNTA('Drop Down Lists'!$Q:$Q)-1,1)</definedName>
    <definedName name="val_Phosphate_FinishedWater" hidden="1">OFFSET(ptr_Phosphate_FinishedWater,1,0,COUNTA('Drop Down Lists'!$Y:$Y)-1,1)</definedName>
    <definedName name="val_Pre_PostAlkali" hidden="1">OFFSET(ptr_Pre_PostAlkali,1,0,COUNTA('Drop Down Lists'!$I:$I)-1,1)</definedName>
    <definedName name="val_Pre_PostDisinfectant" hidden="1">OFFSET(ptr_Pre_PostDisinfectant,1,0,COUNTA('Drop Down Lists'!$K:$K)-1,1)</definedName>
    <definedName name="val_PreTreatment" hidden="1">OFFSET(ptr_PreTreatment,1,0,COUNTA(ptr_PreTreatment)-1,1)</definedName>
    <definedName name="val_Pri_SecOxidant" hidden="1">OFFSET(ptr_Pri_SecOxidant,1,0,COUNTA('Drop Down Lists'!$S:$S)-1,1)</definedName>
    <definedName name="val_PrimaryCoag" hidden="1">OFFSET(ptr_PrimaryCoag,1,0,COUNTA('Drop Down Lists'!$G:$G)-1,1)</definedName>
    <definedName name="val_SamplePoint_rept" hidden="1">OFFSET(ptr_SamplePoint_rept,1,0,COUNTA(ptr_SamplePoint_rept)-1,1)</definedName>
    <definedName name="val_SamplePoint_rout" hidden="1">OFFSET(ptr_SamplePoint_rout,1,0,COUNTA(ptr_SamplePoint_rout)-1,1)</definedName>
    <definedName name="val_SampleType" hidden="1">OFFSET(ptr_SampleType,1,0,COUNTA(ptr_SampleType)-1,1)</definedName>
    <definedName name="val_TOC_ComplianceMethod" hidden="1">OFFSET(ptr_TOC_ComplianceMethod,1,0,COUNTA(ptr_TOC_ComplianceMethod)-1,1)</definedName>
    <definedName name="val_Tot_FecalColiforms" hidden="1">OFFSET(ptr_Tot_FecalColiforms,1,0,COUNTA('Drop Down Lists'!$AA:$AA)-1,1)</definedName>
    <definedName name="val_Yes_No" hidden="1">OFFSET(ptr_Yes_No,1,0,COUNTA(ptr_Yes_No)-1,1)</definedName>
    <definedName name="VC_1" hidden="1">'1940-II - Phy. &amp; Chem.'!$AQ$13:$AQ$43,'1940-II - Phy. &amp; Chem.'!$AS$13:$AS$43,'1940-II - Phy. &amp; Chem.'!$AU$13:$AV$43</definedName>
    <definedName name="Version_complete" hidden="1">'General Info'!$A$72</definedName>
    <definedName name="Version_csv" hidden="1">"V02"</definedName>
    <definedName name="Version_main" hidden="1">".11"</definedName>
    <definedName name="Version_update" hidden="1">"-01"</definedName>
    <definedName name="wks1940_1_PlantOp_1" localSheetId="11" hidden="1">'Data Validation'!$A$1</definedName>
    <definedName name="wks1940_1_PlantOp_1_dosage" localSheetId="11" hidden="1">'Data Validation'!$V$1</definedName>
    <definedName name="wks1940_1_PlantOp_1_pounds" localSheetId="11" hidden="1">'Data Validation'!$O$1</definedName>
    <definedName name="wks1940_1_PlantOp_2" localSheetId="11" hidden="1">'Data Validation'!$A$100</definedName>
    <definedName name="wks1940_1_PlantOp_3" localSheetId="11" hidden="1">'Data Validation'!$A$109</definedName>
    <definedName name="wks1940_1_PlantOp_4" localSheetId="11" hidden="1">'Data Validation'!$A$118</definedName>
    <definedName name="wks1940_1_PlantOp_5" localSheetId="11" hidden="1">'Data Validation'!$A$127</definedName>
    <definedName name="wks1940_2_Phy_Chem_1" localSheetId="11" hidden="1">'Data Validation'!$A$10</definedName>
    <definedName name="wks1940_2_Phy_Chem_2" localSheetId="11" hidden="1">'Data Validation'!$A$136</definedName>
    <definedName name="wks1940_2_Phy_Chem_3" localSheetId="11" hidden="1">'Data Validation'!$A$145</definedName>
    <definedName name="wks1940_3_CFE_Turb_1" localSheetId="11" hidden="1">'Data Validation'!$A$19</definedName>
    <definedName name="wks1940_4_EP_DI_1" localSheetId="11" hidden="1">'Data Validation'!$A$28</definedName>
    <definedName name="wks1940_5_IFE_Turb_1" localSheetId="11" hidden="1">'Data Validation'!$A$37</definedName>
    <definedName name="wksChloramination_1" localSheetId="11" hidden="1">'Data Validation'!$A$46</definedName>
    <definedName name="wksDBAS_3762_1" localSheetId="11" hidden="1">'Data Validation'!$A$73</definedName>
    <definedName name="wksDBP_1_ChlorDiox_Chlorite_1" localSheetId="11" hidden="1">'Data Validation'!$A$64</definedName>
    <definedName name="wksDBP_3_TOC_1" localSheetId="11" hidden="1">'Data Validation'!$A$55</definedName>
    <definedName name="wksDBP_3_TOC_2" localSheetId="11" hidden="1">'Data Validation'!$A$91</definedName>
    <definedName name="wksDistSysMonitor_1" localSheetId="11" hidden="1">'Data Validation'!$A$82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13" i="3" l="1"/>
  <c r="S13" i="3"/>
  <c r="T13" i="3"/>
  <c r="W13" i="3"/>
  <c r="X13" i="3"/>
  <c r="Y13" i="3"/>
  <c r="AB13" i="3"/>
  <c r="AC13" i="3"/>
  <c r="AD13" i="3"/>
  <c r="R14" i="3"/>
  <c r="S14" i="3"/>
  <c r="T14" i="3"/>
  <c r="W14" i="3"/>
  <c r="X14" i="3"/>
  <c r="Y14" i="3"/>
  <c r="AB14" i="3"/>
  <c r="AC14" i="3"/>
  <c r="AD14" i="3"/>
  <c r="R15" i="3"/>
  <c r="S15" i="3"/>
  <c r="T15" i="3"/>
  <c r="W15" i="3"/>
  <c r="X15" i="3"/>
  <c r="Y15" i="3"/>
  <c r="AB15" i="3"/>
  <c r="AC15" i="3"/>
  <c r="AD15" i="3"/>
  <c r="R16" i="3"/>
  <c r="S16" i="3"/>
  <c r="T16" i="3"/>
  <c r="W16" i="3"/>
  <c r="X16" i="3"/>
  <c r="Y16" i="3"/>
  <c r="AB16" i="3"/>
  <c r="AC16" i="3"/>
  <c r="AD16" i="3"/>
  <c r="R17" i="3"/>
  <c r="S17" i="3"/>
  <c r="T17" i="3"/>
  <c r="W17" i="3"/>
  <c r="X17" i="3"/>
  <c r="Y17" i="3"/>
  <c r="AB17" i="3"/>
  <c r="AC17" i="3"/>
  <c r="AD17" i="3"/>
  <c r="R18" i="3"/>
  <c r="S18" i="3"/>
  <c r="T18" i="3"/>
  <c r="W18" i="3"/>
  <c r="X18" i="3"/>
  <c r="Y18" i="3"/>
  <c r="AB18" i="3"/>
  <c r="AC18" i="3"/>
  <c r="AD18" i="3"/>
  <c r="R19" i="3"/>
  <c r="S19" i="3"/>
  <c r="T19" i="3"/>
  <c r="W19" i="3"/>
  <c r="X19" i="3"/>
  <c r="Y19" i="3"/>
  <c r="AB19" i="3"/>
  <c r="AC19" i="3"/>
  <c r="AD19" i="3"/>
  <c r="R20" i="3"/>
  <c r="S20" i="3"/>
  <c r="T20" i="3"/>
  <c r="W20" i="3"/>
  <c r="X20" i="3"/>
  <c r="Y20" i="3"/>
  <c r="AB20" i="3"/>
  <c r="AC20" i="3"/>
  <c r="AD20" i="3"/>
  <c r="R21" i="3"/>
  <c r="S21" i="3"/>
  <c r="T21" i="3"/>
  <c r="W21" i="3"/>
  <c r="X21" i="3"/>
  <c r="Y21" i="3"/>
  <c r="AB21" i="3"/>
  <c r="AC21" i="3"/>
  <c r="AD21" i="3"/>
  <c r="R22" i="3"/>
  <c r="S22" i="3"/>
  <c r="T22" i="3"/>
  <c r="W22" i="3"/>
  <c r="X22" i="3"/>
  <c r="Y22" i="3"/>
  <c r="AB22" i="3"/>
  <c r="AC22" i="3"/>
  <c r="AD22" i="3"/>
  <c r="R23" i="3"/>
  <c r="S23" i="3"/>
  <c r="T23" i="3"/>
  <c r="W23" i="3"/>
  <c r="X23" i="3"/>
  <c r="Y23" i="3"/>
  <c r="AB23" i="3"/>
  <c r="AC23" i="3"/>
  <c r="AD23" i="3"/>
  <c r="R24" i="3"/>
  <c r="S24" i="3"/>
  <c r="T24" i="3"/>
  <c r="W24" i="3"/>
  <c r="X24" i="3"/>
  <c r="Y24" i="3"/>
  <c r="AB24" i="3"/>
  <c r="AC24" i="3"/>
  <c r="AD24" i="3"/>
  <c r="R25" i="3"/>
  <c r="S25" i="3"/>
  <c r="T25" i="3"/>
  <c r="W25" i="3"/>
  <c r="X25" i="3"/>
  <c r="Y25" i="3"/>
  <c r="AB25" i="3"/>
  <c r="AC25" i="3"/>
  <c r="AD25" i="3"/>
  <c r="R26" i="3"/>
  <c r="S26" i="3"/>
  <c r="T26" i="3"/>
  <c r="W26" i="3"/>
  <c r="X26" i="3"/>
  <c r="Y26" i="3"/>
  <c r="AB26" i="3"/>
  <c r="AC26" i="3"/>
  <c r="AD26" i="3"/>
  <c r="R27" i="3"/>
  <c r="S27" i="3"/>
  <c r="T27" i="3"/>
  <c r="W27" i="3"/>
  <c r="X27" i="3"/>
  <c r="Y27" i="3"/>
  <c r="AB27" i="3"/>
  <c r="AC27" i="3"/>
  <c r="AD27" i="3"/>
  <c r="R28" i="3"/>
  <c r="S28" i="3"/>
  <c r="T28" i="3"/>
  <c r="W28" i="3"/>
  <c r="X28" i="3"/>
  <c r="Y28" i="3"/>
  <c r="AB28" i="3"/>
  <c r="AC28" i="3"/>
  <c r="AD28" i="3"/>
  <c r="R29" i="3"/>
  <c r="S29" i="3"/>
  <c r="T29" i="3"/>
  <c r="W29" i="3"/>
  <c r="X29" i="3"/>
  <c r="Y29" i="3"/>
  <c r="AB29" i="3"/>
  <c r="AC29" i="3"/>
  <c r="AD29" i="3"/>
  <c r="R30" i="3"/>
  <c r="S30" i="3"/>
  <c r="T30" i="3"/>
  <c r="W30" i="3"/>
  <c r="X30" i="3"/>
  <c r="Y30" i="3"/>
  <c r="AB30" i="3"/>
  <c r="AC30" i="3"/>
  <c r="AD30" i="3"/>
  <c r="R31" i="3"/>
  <c r="S31" i="3"/>
  <c r="T31" i="3"/>
  <c r="W31" i="3"/>
  <c r="X31" i="3"/>
  <c r="Y31" i="3"/>
  <c r="AB31" i="3"/>
  <c r="AC31" i="3"/>
  <c r="AD31" i="3"/>
  <c r="R32" i="3"/>
  <c r="S32" i="3"/>
  <c r="T32" i="3"/>
  <c r="W32" i="3"/>
  <c r="X32" i="3"/>
  <c r="Y32" i="3"/>
  <c r="AB32" i="3"/>
  <c r="AC32" i="3"/>
  <c r="AD32" i="3"/>
  <c r="R33" i="3"/>
  <c r="S33" i="3"/>
  <c r="T33" i="3"/>
  <c r="W33" i="3"/>
  <c r="X33" i="3"/>
  <c r="Y33" i="3"/>
  <c r="AB33" i="3"/>
  <c r="AC33" i="3"/>
  <c r="AD33" i="3"/>
  <c r="R34" i="3"/>
  <c r="S34" i="3"/>
  <c r="T34" i="3"/>
  <c r="W34" i="3"/>
  <c r="X34" i="3"/>
  <c r="Y34" i="3"/>
  <c r="AB34" i="3"/>
  <c r="AC34" i="3"/>
  <c r="AD34" i="3"/>
  <c r="R35" i="3"/>
  <c r="S35" i="3"/>
  <c r="T35" i="3"/>
  <c r="W35" i="3"/>
  <c r="X35" i="3"/>
  <c r="Y35" i="3"/>
  <c r="AB35" i="3"/>
  <c r="AC35" i="3"/>
  <c r="AD35" i="3"/>
  <c r="R36" i="3"/>
  <c r="S36" i="3"/>
  <c r="T36" i="3"/>
  <c r="W36" i="3"/>
  <c r="X36" i="3"/>
  <c r="Y36" i="3"/>
  <c r="AB36" i="3"/>
  <c r="AC36" i="3"/>
  <c r="AD36" i="3"/>
  <c r="R37" i="3"/>
  <c r="S37" i="3"/>
  <c r="T37" i="3"/>
  <c r="W37" i="3"/>
  <c r="X37" i="3"/>
  <c r="Y37" i="3"/>
  <c r="AB37" i="3"/>
  <c r="AC37" i="3"/>
  <c r="AD37" i="3"/>
  <c r="R38" i="3"/>
  <c r="S38" i="3"/>
  <c r="T38" i="3"/>
  <c r="W38" i="3"/>
  <c r="X38" i="3"/>
  <c r="Y38" i="3"/>
  <c r="AB38" i="3"/>
  <c r="AC38" i="3"/>
  <c r="AD38" i="3"/>
  <c r="R39" i="3"/>
  <c r="S39" i="3"/>
  <c r="T39" i="3"/>
  <c r="W39" i="3"/>
  <c r="X39" i="3"/>
  <c r="Y39" i="3"/>
  <c r="AB39" i="3"/>
  <c r="AC39" i="3"/>
  <c r="AD39" i="3"/>
  <c r="R40" i="3"/>
  <c r="S40" i="3"/>
  <c r="T40" i="3"/>
  <c r="W40" i="3"/>
  <c r="X40" i="3"/>
  <c r="Y40" i="3"/>
  <c r="AB40" i="3"/>
  <c r="AC40" i="3"/>
  <c r="AD40" i="3"/>
  <c r="R41" i="3"/>
  <c r="S41" i="3"/>
  <c r="T41" i="3"/>
  <c r="W41" i="3"/>
  <c r="X41" i="3"/>
  <c r="Y41" i="3"/>
  <c r="AB41" i="3"/>
  <c r="AC41" i="3"/>
  <c r="AD41" i="3"/>
  <c r="R42" i="3"/>
  <c r="S42" i="3"/>
  <c r="T42" i="3"/>
  <c r="W42" i="3"/>
  <c r="X42" i="3"/>
  <c r="Y42" i="3"/>
  <c r="AB42" i="3"/>
  <c r="AC42" i="3"/>
  <c r="AD42" i="3"/>
  <c r="R43" i="3"/>
  <c r="S43" i="3"/>
  <c r="T43" i="3"/>
  <c r="W43" i="3"/>
  <c r="X43" i="3"/>
  <c r="Y43" i="3"/>
  <c r="AB43" i="3"/>
  <c r="AC43" i="3"/>
  <c r="AD43" i="3"/>
  <c r="AJ15" i="3"/>
  <c r="AK15" i="3"/>
  <c r="AJ16" i="3"/>
  <c r="AK16" i="3"/>
  <c r="AJ17" i="3"/>
  <c r="AK17" i="3"/>
  <c r="AJ18" i="3"/>
  <c r="AK18" i="3"/>
  <c r="AF19" i="3"/>
  <c r="AG19" i="3"/>
  <c r="AH19" i="3"/>
  <c r="AJ19" i="3"/>
  <c r="AK19" i="3"/>
  <c r="AJ20" i="3"/>
  <c r="AK20" i="3"/>
  <c r="AJ21" i="3"/>
  <c r="AK21" i="3"/>
  <c r="AJ22" i="3"/>
  <c r="AK22" i="3"/>
  <c r="AJ23" i="3"/>
  <c r="AK23" i="3"/>
  <c r="AJ24" i="3"/>
  <c r="AK24" i="3"/>
  <c r="AM24" i="3"/>
  <c r="AE25" i="3"/>
  <c r="AJ25" i="3"/>
  <c r="AK25" i="3"/>
  <c r="AE26" i="3"/>
  <c r="AF26" i="3"/>
  <c r="AG26" i="3"/>
  <c r="AH26" i="3"/>
  <c r="AJ26" i="3"/>
  <c r="AK26" i="3"/>
  <c r="AJ27" i="3"/>
  <c r="AK27" i="3"/>
  <c r="AJ28" i="3"/>
  <c r="AK28" i="3"/>
  <c r="AJ29" i="3"/>
  <c r="AK29" i="3"/>
  <c r="AJ30" i="3"/>
  <c r="AK30" i="3"/>
  <c r="AF31" i="3"/>
  <c r="AG31" i="3"/>
  <c r="AH31" i="3"/>
  <c r="AJ31" i="3"/>
  <c r="AK31" i="3"/>
  <c r="AE32" i="3"/>
  <c r="AJ32" i="3"/>
  <c r="AK32" i="3"/>
  <c r="AE33" i="3"/>
  <c r="AJ33" i="3"/>
  <c r="AK33" i="3"/>
  <c r="AJ34" i="3"/>
  <c r="AK34" i="3"/>
  <c r="AJ35" i="3"/>
  <c r="AK35" i="3"/>
  <c r="AJ36" i="3"/>
  <c r="AK36" i="3"/>
  <c r="AJ37" i="3"/>
  <c r="AK37" i="3"/>
  <c r="AF38" i="3"/>
  <c r="AG38" i="3"/>
  <c r="AH38" i="3"/>
  <c r="AJ38" i="3"/>
  <c r="AK38" i="3"/>
  <c r="AJ39" i="3"/>
  <c r="AK39" i="3"/>
  <c r="AE40" i="3"/>
  <c r="AJ40" i="3"/>
  <c r="AK40" i="3"/>
  <c r="AE41" i="3"/>
  <c r="AJ41" i="3"/>
  <c r="AK41" i="3"/>
  <c r="AJ42" i="3"/>
  <c r="AK42" i="3"/>
  <c r="AJ43" i="3"/>
  <c r="AK43" i="3"/>
  <c r="AJ13" i="3"/>
  <c r="AK13" i="3"/>
  <c r="AJ14" i="3"/>
  <c r="AK14" i="3"/>
  <c r="AK44" i="2" l="1"/>
  <c r="AL44" i="2"/>
  <c r="AM44" i="2"/>
  <c r="AN44" i="2"/>
  <c r="AO44" i="2"/>
  <c r="AP44" i="2"/>
  <c r="AQ44" i="2"/>
  <c r="AK45" i="2"/>
  <c r="AL45" i="2"/>
  <c r="AM45" i="2"/>
  <c r="AN45" i="2"/>
  <c r="AO45" i="2"/>
  <c r="AP45" i="2"/>
  <c r="AQ45" i="2"/>
  <c r="AK46" i="2"/>
  <c r="AL46" i="2"/>
  <c r="AM46" i="2"/>
  <c r="AN46" i="2"/>
  <c r="AO46" i="2"/>
  <c r="AP46" i="2"/>
  <c r="AQ46" i="2"/>
  <c r="B41" i="3" l="1"/>
  <c r="C41" i="3"/>
  <c r="D41" i="3"/>
  <c r="E41" i="3"/>
  <c r="F41" i="3"/>
  <c r="G41" i="3"/>
  <c r="H41" i="3"/>
  <c r="I41" i="3"/>
  <c r="J41" i="3"/>
  <c r="K41" i="3"/>
  <c r="L41" i="3"/>
  <c r="M41" i="3"/>
  <c r="N41" i="3"/>
  <c r="O41" i="3"/>
  <c r="P41" i="3"/>
  <c r="Q41" i="3"/>
  <c r="B42" i="3"/>
  <c r="C42" i="3"/>
  <c r="D42" i="3"/>
  <c r="E42" i="3"/>
  <c r="F42" i="3"/>
  <c r="G42" i="3"/>
  <c r="H42" i="3"/>
  <c r="I42" i="3"/>
  <c r="J42" i="3"/>
  <c r="K42" i="3"/>
  <c r="L42" i="3"/>
  <c r="M42" i="3"/>
  <c r="N42" i="3"/>
  <c r="O42" i="3"/>
  <c r="P42" i="3"/>
  <c r="Q42" i="3"/>
  <c r="B43" i="3"/>
  <c r="C43" i="3"/>
  <c r="D43" i="3"/>
  <c r="E43" i="3"/>
  <c r="F43" i="3"/>
  <c r="G43" i="3"/>
  <c r="H43" i="3"/>
  <c r="I43" i="3"/>
  <c r="J43" i="3"/>
  <c r="K43" i="3"/>
  <c r="L43" i="3"/>
  <c r="M43" i="3"/>
  <c r="N43" i="3"/>
  <c r="O43" i="3"/>
  <c r="P43" i="3"/>
  <c r="Q43" i="3"/>
  <c r="CF42" i="15"/>
  <c r="CG42" i="15"/>
  <c r="CH42" i="15"/>
  <c r="CI42" i="15"/>
  <c r="CF43" i="15"/>
  <c r="CG43" i="15"/>
  <c r="CH43" i="15"/>
  <c r="CI43" i="15"/>
  <c r="CF44" i="15"/>
  <c r="CG44" i="15"/>
  <c r="CH44" i="15"/>
  <c r="CI44" i="15"/>
  <c r="CF45" i="15"/>
  <c r="CG45" i="15"/>
  <c r="CH45" i="15"/>
  <c r="CI45" i="15"/>
  <c r="AJ44" i="2" l="1"/>
  <c r="AJ45" i="2"/>
  <c r="AJ46" i="2"/>
  <c r="AI44" i="2"/>
  <c r="AI45" i="2"/>
  <c r="AI46" i="2"/>
  <c r="AH44" i="2"/>
  <c r="AH45" i="2"/>
  <c r="AH46" i="2"/>
  <c r="AG44" i="2"/>
  <c r="AG45" i="2"/>
  <c r="AG46" i="2"/>
  <c r="AF44" i="2"/>
  <c r="AF45" i="2"/>
  <c r="AF46" i="2"/>
  <c r="AE44" i="2"/>
  <c r="AE45" i="2"/>
  <c r="AE46" i="2"/>
  <c r="T44" i="2"/>
  <c r="T45" i="2"/>
  <c r="T46" i="2"/>
  <c r="L44" i="2"/>
  <c r="L45" i="2"/>
  <c r="L46" i="2"/>
  <c r="K44" i="2"/>
  <c r="K45" i="2"/>
  <c r="K46" i="2"/>
  <c r="J44" i="2"/>
  <c r="AV35" i="15" s="1"/>
  <c r="H44" i="2" s="1"/>
  <c r="J45" i="2"/>
  <c r="AV36" i="15" s="1"/>
  <c r="H45" i="2" s="1"/>
  <c r="J46" i="2"/>
  <c r="AV37" i="15" s="1"/>
  <c r="H46" i="2" s="1"/>
  <c r="I44" i="2"/>
  <c r="I45" i="2"/>
  <c r="I46" i="2"/>
  <c r="G44" i="2"/>
  <c r="G45" i="2"/>
  <c r="G46" i="2"/>
  <c r="F44" i="2"/>
  <c r="F45" i="2"/>
  <c r="F46" i="2"/>
  <c r="E44" i="2"/>
  <c r="E45" i="2"/>
  <c r="E46" i="2"/>
  <c r="D44" i="2"/>
  <c r="D45" i="2"/>
  <c r="D46" i="2"/>
  <c r="C44" i="2"/>
  <c r="C45" i="2"/>
  <c r="C46" i="2"/>
  <c r="B44" i="2"/>
  <c r="B45" i="2"/>
  <c r="B46" i="2"/>
  <c r="AR13" i="3" l="1"/>
  <c r="AR14" i="3"/>
  <c r="AR15" i="3"/>
  <c r="AR16" i="3"/>
  <c r="AR17" i="3"/>
  <c r="AR18" i="3"/>
  <c r="AR19" i="3"/>
  <c r="AR20" i="3"/>
  <c r="AR21" i="3"/>
  <c r="AR22" i="3"/>
  <c r="AR23" i="3"/>
  <c r="AR24" i="3"/>
  <c r="AR25" i="3"/>
  <c r="AR26" i="3"/>
  <c r="AR27" i="3"/>
  <c r="AR28" i="3"/>
  <c r="AR29" i="3"/>
  <c r="AR30" i="3"/>
  <c r="AR31" i="3"/>
  <c r="AR32" i="3"/>
  <c r="AR33" i="3"/>
  <c r="AR34" i="3"/>
  <c r="AR35" i="3"/>
  <c r="AR36" i="3"/>
  <c r="AR37" i="3"/>
  <c r="AR38" i="3"/>
  <c r="AR39" i="3"/>
  <c r="AR40" i="3"/>
  <c r="AR41" i="3"/>
  <c r="AR42" i="3"/>
  <c r="AR43" i="3"/>
  <c r="AT14" i="3"/>
  <c r="AT15" i="3"/>
  <c r="AT16" i="3"/>
  <c r="AT17" i="3"/>
  <c r="AT18" i="3"/>
  <c r="AT19" i="3"/>
  <c r="AT20" i="3"/>
  <c r="AT21" i="3"/>
  <c r="AT22" i="3"/>
  <c r="AT23" i="3"/>
  <c r="AT24" i="3"/>
  <c r="AT25" i="3"/>
  <c r="AT26" i="3"/>
  <c r="AT27" i="3"/>
  <c r="AT28" i="3"/>
  <c r="AT29" i="3"/>
  <c r="AT30" i="3"/>
  <c r="AT31" i="3"/>
  <c r="AT32" i="3"/>
  <c r="AT33" i="3"/>
  <c r="AT34" i="3"/>
  <c r="AT35" i="3"/>
  <c r="AT36" i="3"/>
  <c r="AT37" i="3"/>
  <c r="AT38" i="3"/>
  <c r="AT39" i="3"/>
  <c r="AT40" i="3"/>
  <c r="AT41" i="3"/>
  <c r="AT42" i="3"/>
  <c r="AT43" i="3"/>
  <c r="AT13" i="3"/>
  <c r="C26" i="11"/>
  <c r="C27" i="11"/>
  <c r="C28" i="11"/>
  <c r="C29" i="11"/>
  <c r="C30" i="11"/>
  <c r="C31" i="11"/>
  <c r="C32" i="11"/>
  <c r="C33" i="11"/>
  <c r="C34" i="11"/>
  <c r="C35" i="11"/>
  <c r="C36" i="11"/>
  <c r="C37" i="11"/>
  <c r="C38" i="11"/>
  <c r="C39" i="11"/>
  <c r="C40" i="11"/>
  <c r="C41" i="11"/>
  <c r="C42" i="11"/>
  <c r="C43" i="11"/>
  <c r="C44" i="11"/>
  <c r="C45" i="11"/>
  <c r="C46" i="11"/>
  <c r="C47" i="11"/>
  <c r="C48" i="11"/>
  <c r="C49" i="11"/>
  <c r="DG45" i="15"/>
  <c r="E27" i="11"/>
  <c r="R27" i="11" s="1"/>
  <c r="E28" i="11"/>
  <c r="R28" i="11" s="1"/>
  <c r="E29" i="11"/>
  <c r="T29" i="11" s="1"/>
  <c r="E30" i="11"/>
  <c r="T30" i="11" s="1"/>
  <c r="E31" i="11"/>
  <c r="T31" i="11" s="1"/>
  <c r="E32" i="11"/>
  <c r="R32" i="11" s="1"/>
  <c r="E33" i="11"/>
  <c r="T33" i="11" s="1"/>
  <c r="E34" i="11"/>
  <c r="T34" i="11" s="1"/>
  <c r="E35" i="11"/>
  <c r="T35" i="11" s="1"/>
  <c r="E36" i="11"/>
  <c r="T36" i="11" s="1"/>
  <c r="E37" i="11"/>
  <c r="T37" i="11" s="1"/>
  <c r="E38" i="11"/>
  <c r="T38" i="11" s="1"/>
  <c r="E39" i="11"/>
  <c r="R39" i="11" s="1"/>
  <c r="E40" i="11"/>
  <c r="T40" i="11" s="1"/>
  <c r="E41" i="11"/>
  <c r="T41" i="11" s="1"/>
  <c r="E42" i="11"/>
  <c r="R42" i="11" s="1"/>
  <c r="E43" i="11"/>
  <c r="T43" i="11" s="1"/>
  <c r="E44" i="11"/>
  <c r="T44" i="11" s="1"/>
  <c r="E45" i="11"/>
  <c r="E46" i="11"/>
  <c r="R46" i="11" s="1"/>
  <c r="E47" i="11"/>
  <c r="R47" i="11" s="1"/>
  <c r="E48" i="11"/>
  <c r="R48" i="11" s="1"/>
  <c r="E49" i="11"/>
  <c r="T49" i="11" s="1"/>
  <c r="E26" i="11"/>
  <c r="B27" i="11"/>
  <c r="V27" i="11" s="1"/>
  <c r="B28" i="11"/>
  <c r="V28" i="11" s="1"/>
  <c r="B29" i="11"/>
  <c r="B30" i="11"/>
  <c r="B31" i="11"/>
  <c r="V31" i="11" s="1"/>
  <c r="B32" i="11"/>
  <c r="V32" i="11" s="1"/>
  <c r="B33" i="11"/>
  <c r="B34" i="11"/>
  <c r="B35" i="11"/>
  <c r="V35" i="11" s="1"/>
  <c r="B36" i="11"/>
  <c r="V36" i="11" s="1"/>
  <c r="B37" i="11"/>
  <c r="B38" i="11"/>
  <c r="B39" i="11"/>
  <c r="V39" i="11" s="1"/>
  <c r="B40" i="11"/>
  <c r="V40" i="11" s="1"/>
  <c r="B41" i="11"/>
  <c r="B42" i="11"/>
  <c r="B43" i="11"/>
  <c r="V43" i="11" s="1"/>
  <c r="B44" i="11"/>
  <c r="V44" i="11" s="1"/>
  <c r="B45" i="11"/>
  <c r="B46" i="11"/>
  <c r="B47" i="11"/>
  <c r="B48" i="11"/>
  <c r="V48" i="11" s="1"/>
  <c r="B49" i="11"/>
  <c r="V49" i="11" s="1"/>
  <c r="B26" i="11"/>
  <c r="U49" i="11"/>
  <c r="S49" i="11"/>
  <c r="U48" i="11"/>
  <c r="S48" i="11"/>
  <c r="U47" i="11"/>
  <c r="S47" i="11"/>
  <c r="U46" i="11"/>
  <c r="S46" i="11"/>
  <c r="U45" i="11"/>
  <c r="S45" i="11"/>
  <c r="U44" i="11"/>
  <c r="S44" i="11"/>
  <c r="U43" i="11"/>
  <c r="S43" i="11"/>
  <c r="U42" i="11"/>
  <c r="S42" i="11"/>
  <c r="U41" i="11"/>
  <c r="S41" i="11"/>
  <c r="U40" i="11"/>
  <c r="S40" i="11"/>
  <c r="R40" i="11"/>
  <c r="U39" i="11"/>
  <c r="S39" i="11"/>
  <c r="U38" i="11"/>
  <c r="S38" i="11"/>
  <c r="V37" i="11"/>
  <c r="U37" i="11"/>
  <c r="S37" i="11"/>
  <c r="U36" i="11"/>
  <c r="S36" i="11"/>
  <c r="R36" i="11"/>
  <c r="U35" i="11"/>
  <c r="S35" i="11"/>
  <c r="U34" i="11"/>
  <c r="S34" i="11"/>
  <c r="U33" i="11"/>
  <c r="S33" i="11"/>
  <c r="R33" i="11"/>
  <c r="U32" i="11"/>
  <c r="T32" i="11"/>
  <c r="S32" i="11"/>
  <c r="U31" i="11"/>
  <c r="S31" i="11"/>
  <c r="U30" i="11"/>
  <c r="S30" i="11"/>
  <c r="U29" i="11"/>
  <c r="S29" i="11"/>
  <c r="R29" i="11"/>
  <c r="U28" i="11"/>
  <c r="T28" i="11"/>
  <c r="S28" i="11"/>
  <c r="U27" i="11"/>
  <c r="T27" i="11"/>
  <c r="S27" i="11"/>
  <c r="R37" i="11" l="1"/>
  <c r="T48" i="11"/>
  <c r="R35" i="11"/>
  <c r="R44" i="11"/>
  <c r="T47" i="11"/>
  <c r="T39" i="11"/>
  <c r="R43" i="11"/>
  <c r="R31" i="11"/>
  <c r="R38" i="11"/>
  <c r="V47" i="11"/>
  <c r="V33" i="11"/>
  <c r="V29" i="11"/>
  <c r="V45" i="11"/>
  <c r="V41" i="11"/>
  <c r="T45" i="11"/>
  <c r="T46" i="11"/>
  <c r="R49" i="11"/>
  <c r="R41" i="11"/>
  <c r="R45" i="11"/>
  <c r="R34" i="11"/>
  <c r="T42" i="11"/>
  <c r="R30" i="11"/>
  <c r="V30" i="11"/>
  <c r="V46" i="11"/>
  <c r="V42" i="11"/>
  <c r="V38" i="11"/>
  <c r="V34" i="11"/>
  <c r="CC12" i="15"/>
  <c r="U14" i="3" s="1"/>
  <c r="CD12" i="15"/>
  <c r="V14" i="3" s="1"/>
  <c r="CC13" i="15"/>
  <c r="U15" i="3" s="1"/>
  <c r="CD13" i="15"/>
  <c r="V15" i="3" s="1"/>
  <c r="CC14" i="15"/>
  <c r="U16" i="3" s="1"/>
  <c r="CD14" i="15"/>
  <c r="V16" i="3" s="1"/>
  <c r="CC15" i="15"/>
  <c r="U17" i="3" s="1"/>
  <c r="CD15" i="15"/>
  <c r="V17" i="3" s="1"/>
  <c r="CC16" i="15"/>
  <c r="U18" i="3" s="1"/>
  <c r="CD16" i="15"/>
  <c r="V18" i="3" s="1"/>
  <c r="CC17" i="15"/>
  <c r="U19" i="3" s="1"/>
  <c r="CD17" i="15"/>
  <c r="V19" i="3" s="1"/>
  <c r="CC18" i="15"/>
  <c r="U20" i="3" s="1"/>
  <c r="CD18" i="15"/>
  <c r="V20" i="3" s="1"/>
  <c r="CC19" i="15"/>
  <c r="U21" i="3" s="1"/>
  <c r="CD19" i="15"/>
  <c r="V21" i="3" s="1"/>
  <c r="CC20" i="15"/>
  <c r="U22" i="3" s="1"/>
  <c r="CD20" i="15"/>
  <c r="V22" i="3" s="1"/>
  <c r="CC21" i="15"/>
  <c r="U23" i="3" s="1"/>
  <c r="CD21" i="15"/>
  <c r="V23" i="3" s="1"/>
  <c r="CC22" i="15"/>
  <c r="U24" i="3" s="1"/>
  <c r="CD22" i="15"/>
  <c r="V24" i="3" s="1"/>
  <c r="CC23" i="15"/>
  <c r="U25" i="3" s="1"/>
  <c r="CD23" i="15"/>
  <c r="V25" i="3" s="1"/>
  <c r="CC24" i="15"/>
  <c r="U26" i="3" s="1"/>
  <c r="CD24" i="15"/>
  <c r="V26" i="3" s="1"/>
  <c r="CC25" i="15"/>
  <c r="U27" i="3" s="1"/>
  <c r="CD25" i="15"/>
  <c r="V27" i="3" s="1"/>
  <c r="CC26" i="15"/>
  <c r="U28" i="3" s="1"/>
  <c r="CD26" i="15"/>
  <c r="V28" i="3" s="1"/>
  <c r="CC27" i="15"/>
  <c r="U29" i="3" s="1"/>
  <c r="CD27" i="15"/>
  <c r="V29" i="3" s="1"/>
  <c r="CC28" i="15"/>
  <c r="U30" i="3" s="1"/>
  <c r="CD28" i="15"/>
  <c r="V30" i="3" s="1"/>
  <c r="CC29" i="15"/>
  <c r="U31" i="3" s="1"/>
  <c r="CD29" i="15"/>
  <c r="V31" i="3" s="1"/>
  <c r="CC30" i="15"/>
  <c r="U32" i="3" s="1"/>
  <c r="CD30" i="15"/>
  <c r="V32" i="3" s="1"/>
  <c r="CC31" i="15"/>
  <c r="U33" i="3" s="1"/>
  <c r="CD31" i="15"/>
  <c r="V33" i="3" s="1"/>
  <c r="CC32" i="15"/>
  <c r="U34" i="3" s="1"/>
  <c r="CD32" i="15"/>
  <c r="V34" i="3" s="1"/>
  <c r="CC33" i="15"/>
  <c r="U35" i="3" s="1"/>
  <c r="CD33" i="15"/>
  <c r="V35" i="3" s="1"/>
  <c r="CC34" i="15"/>
  <c r="U36" i="3" s="1"/>
  <c r="CD34" i="15"/>
  <c r="V36" i="3" s="1"/>
  <c r="CC35" i="15"/>
  <c r="U37" i="3" s="1"/>
  <c r="CD35" i="15"/>
  <c r="V37" i="3" s="1"/>
  <c r="CC36" i="15"/>
  <c r="U38" i="3" s="1"/>
  <c r="CD36" i="15"/>
  <c r="V38" i="3" s="1"/>
  <c r="CC37" i="15"/>
  <c r="U39" i="3" s="1"/>
  <c r="CD37" i="15"/>
  <c r="V39" i="3" s="1"/>
  <c r="CC38" i="15"/>
  <c r="U40" i="3" s="1"/>
  <c r="CD38" i="15"/>
  <c r="V40" i="3" s="1"/>
  <c r="CC39" i="15"/>
  <c r="U41" i="3" s="1"/>
  <c r="CD39" i="15"/>
  <c r="V41" i="3" s="1"/>
  <c r="CC40" i="15"/>
  <c r="U42" i="3" s="1"/>
  <c r="CD40" i="15"/>
  <c r="V42" i="3" s="1"/>
  <c r="CC41" i="15"/>
  <c r="U43" i="3" s="1"/>
  <c r="CD41" i="15"/>
  <c r="V43" i="3" s="1"/>
  <c r="CD11" i="15"/>
  <c r="V13" i="3" s="1"/>
  <c r="CC11" i="15"/>
  <c r="U13" i="3" s="1"/>
  <c r="E41" i="7" l="1"/>
  <c r="E42" i="7"/>
  <c r="E43" i="7"/>
  <c r="O18" i="3" l="1"/>
  <c r="J40" i="7" l="1"/>
  <c r="I40" i="7"/>
  <c r="H40" i="7"/>
  <c r="G40" i="7"/>
  <c r="F40" i="7"/>
  <c r="C40" i="7"/>
  <c r="J39" i="7"/>
  <c r="I39" i="7"/>
  <c r="H39" i="7"/>
  <c r="G39" i="7"/>
  <c r="F39" i="7"/>
  <c r="C39" i="7"/>
  <c r="J38" i="7"/>
  <c r="I38" i="7"/>
  <c r="H38" i="7"/>
  <c r="G38" i="7"/>
  <c r="F38" i="7"/>
  <c r="C38" i="7"/>
  <c r="J37" i="7"/>
  <c r="I37" i="7"/>
  <c r="H37" i="7"/>
  <c r="G37" i="7"/>
  <c r="F37" i="7"/>
  <c r="C37" i="7"/>
  <c r="J36" i="7"/>
  <c r="I36" i="7"/>
  <c r="H36" i="7"/>
  <c r="G36" i="7"/>
  <c r="F36" i="7"/>
  <c r="C36" i="7"/>
  <c r="J35" i="7"/>
  <c r="I35" i="7"/>
  <c r="H35" i="7"/>
  <c r="G35" i="7"/>
  <c r="F35" i="7"/>
  <c r="C35" i="7"/>
  <c r="J34" i="7"/>
  <c r="I34" i="7"/>
  <c r="H34" i="7"/>
  <c r="G34" i="7"/>
  <c r="F34" i="7"/>
  <c r="C34" i="7"/>
  <c r="J33" i="7"/>
  <c r="I33" i="7"/>
  <c r="H33" i="7"/>
  <c r="G33" i="7"/>
  <c r="F33" i="7"/>
  <c r="C33" i="7"/>
  <c r="J32" i="7"/>
  <c r="I32" i="7"/>
  <c r="H32" i="7"/>
  <c r="G32" i="7"/>
  <c r="F32" i="7"/>
  <c r="C32" i="7"/>
  <c r="J31" i="7"/>
  <c r="I31" i="7"/>
  <c r="H31" i="7"/>
  <c r="G31" i="7"/>
  <c r="F31" i="7"/>
  <c r="C31" i="7"/>
  <c r="J30" i="7"/>
  <c r="I30" i="7"/>
  <c r="H30" i="7"/>
  <c r="G30" i="7"/>
  <c r="F30" i="7"/>
  <c r="C30" i="7"/>
  <c r="J29" i="7"/>
  <c r="I29" i="7"/>
  <c r="H29" i="7"/>
  <c r="G29" i="7"/>
  <c r="F29" i="7"/>
  <c r="C29" i="7"/>
  <c r="J28" i="7"/>
  <c r="I28" i="7"/>
  <c r="H28" i="7"/>
  <c r="G28" i="7"/>
  <c r="F28" i="7"/>
  <c r="C28" i="7"/>
  <c r="J27" i="7"/>
  <c r="I27" i="7"/>
  <c r="H27" i="7"/>
  <c r="G27" i="7"/>
  <c r="F27" i="7"/>
  <c r="C27" i="7"/>
  <c r="J26" i="7"/>
  <c r="I26" i="7"/>
  <c r="H26" i="7"/>
  <c r="G26" i="7"/>
  <c r="F26" i="7"/>
  <c r="C26" i="7"/>
  <c r="J25" i="7"/>
  <c r="I25" i="7"/>
  <c r="H25" i="7"/>
  <c r="G25" i="7"/>
  <c r="F25" i="7"/>
  <c r="C25" i="7"/>
  <c r="J24" i="7"/>
  <c r="I24" i="7"/>
  <c r="H24" i="7"/>
  <c r="G24" i="7"/>
  <c r="F24" i="7"/>
  <c r="C24" i="7"/>
  <c r="J23" i="7"/>
  <c r="I23" i="7"/>
  <c r="H23" i="7"/>
  <c r="G23" i="7"/>
  <c r="F23" i="7"/>
  <c r="C23" i="7"/>
  <c r="J22" i="7"/>
  <c r="I22" i="7"/>
  <c r="H22" i="7"/>
  <c r="G22" i="7"/>
  <c r="F22" i="7"/>
  <c r="C22" i="7"/>
  <c r="J21" i="7"/>
  <c r="I21" i="7"/>
  <c r="H21" i="7"/>
  <c r="G21" i="7"/>
  <c r="F21" i="7"/>
  <c r="C21" i="7"/>
  <c r="J20" i="7"/>
  <c r="I20" i="7"/>
  <c r="H20" i="7"/>
  <c r="G20" i="7"/>
  <c r="F20" i="7"/>
  <c r="C20" i="7"/>
  <c r="J19" i="7"/>
  <c r="I19" i="7"/>
  <c r="H19" i="7"/>
  <c r="G19" i="7"/>
  <c r="F19" i="7"/>
  <c r="C19" i="7"/>
  <c r="J18" i="7"/>
  <c r="I18" i="7"/>
  <c r="H18" i="7"/>
  <c r="G18" i="7"/>
  <c r="F18" i="7"/>
  <c r="C18" i="7"/>
  <c r="J17" i="7"/>
  <c r="I17" i="7"/>
  <c r="H17" i="7"/>
  <c r="G17" i="7"/>
  <c r="F17" i="7"/>
  <c r="C17" i="7"/>
  <c r="J16" i="7"/>
  <c r="I16" i="7"/>
  <c r="H16" i="7"/>
  <c r="G16" i="7"/>
  <c r="F16" i="7"/>
  <c r="C16" i="7"/>
  <c r="J15" i="7"/>
  <c r="I15" i="7"/>
  <c r="H15" i="7"/>
  <c r="G15" i="7"/>
  <c r="F15" i="7"/>
  <c r="C15" i="7"/>
  <c r="J14" i="7"/>
  <c r="I14" i="7"/>
  <c r="H14" i="7"/>
  <c r="G14" i="7"/>
  <c r="F14" i="7"/>
  <c r="C14" i="7"/>
  <c r="J13" i="7"/>
  <c r="I13" i="7"/>
  <c r="H13" i="7"/>
  <c r="G13" i="7"/>
  <c r="F13" i="7"/>
  <c r="C13" i="7"/>
  <c r="Q40" i="3"/>
  <c r="P40" i="3"/>
  <c r="O40" i="3"/>
  <c r="N40" i="3"/>
  <c r="M40" i="3"/>
  <c r="L40" i="3"/>
  <c r="K40" i="3"/>
  <c r="J40" i="3"/>
  <c r="I40" i="3"/>
  <c r="H40" i="3"/>
  <c r="G40" i="3"/>
  <c r="F40" i="3"/>
  <c r="E40" i="3"/>
  <c r="D40" i="3"/>
  <c r="C40" i="3"/>
  <c r="B40" i="3"/>
  <c r="Q39" i="3"/>
  <c r="P39" i="3"/>
  <c r="O39" i="3"/>
  <c r="N39" i="3"/>
  <c r="M39" i="3"/>
  <c r="L39" i="3"/>
  <c r="K39" i="3"/>
  <c r="J39" i="3"/>
  <c r="I39" i="3"/>
  <c r="H39" i="3"/>
  <c r="G39" i="3"/>
  <c r="F39" i="3"/>
  <c r="E39" i="3"/>
  <c r="D39" i="3"/>
  <c r="C39" i="3"/>
  <c r="B39" i="3"/>
  <c r="Q38" i="3"/>
  <c r="P38" i="3"/>
  <c r="O38" i="3"/>
  <c r="N38" i="3"/>
  <c r="M38" i="3"/>
  <c r="L38" i="3"/>
  <c r="K38" i="3"/>
  <c r="J38" i="3"/>
  <c r="I38" i="3"/>
  <c r="H38" i="3"/>
  <c r="G38" i="3"/>
  <c r="F38" i="3"/>
  <c r="E38" i="3"/>
  <c r="D38" i="3"/>
  <c r="C38" i="3"/>
  <c r="B38" i="3"/>
  <c r="Q37" i="3"/>
  <c r="P37" i="3"/>
  <c r="O37" i="3"/>
  <c r="N37" i="3"/>
  <c r="M37" i="3"/>
  <c r="L37" i="3"/>
  <c r="K37" i="3"/>
  <c r="J37" i="3"/>
  <c r="I37" i="3"/>
  <c r="H37" i="3"/>
  <c r="G37" i="3"/>
  <c r="F37" i="3"/>
  <c r="E37" i="3"/>
  <c r="D37" i="3"/>
  <c r="C37" i="3"/>
  <c r="B37" i="3"/>
  <c r="Q36" i="3"/>
  <c r="P36" i="3"/>
  <c r="O36" i="3"/>
  <c r="N36" i="3"/>
  <c r="M36" i="3"/>
  <c r="L36" i="3"/>
  <c r="K36" i="3"/>
  <c r="J36" i="3"/>
  <c r="I36" i="3"/>
  <c r="H36" i="3"/>
  <c r="G36" i="3"/>
  <c r="F36" i="3"/>
  <c r="E36" i="3"/>
  <c r="D36" i="3"/>
  <c r="C36" i="3"/>
  <c r="B36" i="3"/>
  <c r="Q35" i="3"/>
  <c r="P35" i="3"/>
  <c r="O35" i="3"/>
  <c r="N35" i="3"/>
  <c r="M35" i="3"/>
  <c r="L35" i="3"/>
  <c r="K35" i="3"/>
  <c r="J35" i="3"/>
  <c r="I35" i="3"/>
  <c r="H35" i="3"/>
  <c r="G35" i="3"/>
  <c r="F35" i="3"/>
  <c r="E35" i="3"/>
  <c r="D35" i="3"/>
  <c r="C35" i="3"/>
  <c r="B35" i="3"/>
  <c r="Q34" i="3"/>
  <c r="P34" i="3"/>
  <c r="O34" i="3"/>
  <c r="N34" i="3"/>
  <c r="M34" i="3"/>
  <c r="L34" i="3"/>
  <c r="K34" i="3"/>
  <c r="J34" i="3"/>
  <c r="I34" i="3"/>
  <c r="H34" i="3"/>
  <c r="G34" i="3"/>
  <c r="F34" i="3"/>
  <c r="E34" i="3"/>
  <c r="D34" i="3"/>
  <c r="C34" i="3"/>
  <c r="B34" i="3"/>
  <c r="Q33" i="3"/>
  <c r="P33" i="3"/>
  <c r="O33" i="3"/>
  <c r="N33" i="3"/>
  <c r="M33" i="3"/>
  <c r="L33" i="3"/>
  <c r="K33" i="3"/>
  <c r="J33" i="3"/>
  <c r="I33" i="3"/>
  <c r="H33" i="3"/>
  <c r="G33" i="3"/>
  <c r="F33" i="3"/>
  <c r="E33" i="3"/>
  <c r="D33" i="3"/>
  <c r="C33" i="3"/>
  <c r="B33" i="3"/>
  <c r="Q32" i="3"/>
  <c r="P32" i="3"/>
  <c r="O32" i="3"/>
  <c r="N32" i="3"/>
  <c r="M32" i="3"/>
  <c r="L32" i="3"/>
  <c r="K32" i="3"/>
  <c r="J32" i="3"/>
  <c r="I32" i="3"/>
  <c r="H32" i="3"/>
  <c r="G32" i="3"/>
  <c r="F32" i="3"/>
  <c r="E32" i="3"/>
  <c r="D32" i="3"/>
  <c r="C32" i="3"/>
  <c r="B32" i="3"/>
  <c r="Q31" i="3"/>
  <c r="P31" i="3"/>
  <c r="O31" i="3"/>
  <c r="N31" i="3"/>
  <c r="M31" i="3"/>
  <c r="L31" i="3"/>
  <c r="K31" i="3"/>
  <c r="J31" i="3"/>
  <c r="I31" i="3"/>
  <c r="H31" i="3"/>
  <c r="G31" i="3"/>
  <c r="F31" i="3"/>
  <c r="E31" i="3"/>
  <c r="D31" i="3"/>
  <c r="C31" i="3"/>
  <c r="B31" i="3"/>
  <c r="Q30" i="3"/>
  <c r="P30" i="3"/>
  <c r="O30" i="3"/>
  <c r="N30" i="3"/>
  <c r="M30" i="3"/>
  <c r="L30" i="3"/>
  <c r="K30" i="3"/>
  <c r="J30" i="3"/>
  <c r="I30" i="3"/>
  <c r="H30" i="3"/>
  <c r="G30" i="3"/>
  <c r="F30" i="3"/>
  <c r="E30" i="3"/>
  <c r="D30" i="3"/>
  <c r="C30" i="3"/>
  <c r="B30" i="3"/>
  <c r="Q29" i="3"/>
  <c r="P29" i="3"/>
  <c r="O29" i="3"/>
  <c r="N29" i="3"/>
  <c r="M29" i="3"/>
  <c r="L29" i="3"/>
  <c r="K29" i="3"/>
  <c r="J29" i="3"/>
  <c r="I29" i="3"/>
  <c r="H29" i="3"/>
  <c r="G29" i="3"/>
  <c r="F29" i="3"/>
  <c r="E29" i="3"/>
  <c r="D29" i="3"/>
  <c r="C29" i="3"/>
  <c r="B29" i="3"/>
  <c r="Q28" i="3"/>
  <c r="P28" i="3"/>
  <c r="O28" i="3"/>
  <c r="N28" i="3"/>
  <c r="M28" i="3"/>
  <c r="L28" i="3"/>
  <c r="K28" i="3"/>
  <c r="J28" i="3"/>
  <c r="I28" i="3"/>
  <c r="H28" i="3"/>
  <c r="G28" i="3"/>
  <c r="F28" i="3"/>
  <c r="E28" i="3"/>
  <c r="D28" i="3"/>
  <c r="C28" i="3"/>
  <c r="B28" i="3"/>
  <c r="Q27" i="3"/>
  <c r="P27" i="3"/>
  <c r="O27" i="3"/>
  <c r="N27" i="3"/>
  <c r="M27" i="3"/>
  <c r="L27" i="3"/>
  <c r="K27" i="3"/>
  <c r="J27" i="3"/>
  <c r="I27" i="3"/>
  <c r="H27" i="3"/>
  <c r="G27" i="3"/>
  <c r="F27" i="3"/>
  <c r="E27" i="3"/>
  <c r="D27" i="3"/>
  <c r="C27" i="3"/>
  <c r="B27" i="3"/>
  <c r="Q26" i="3"/>
  <c r="P26" i="3"/>
  <c r="O26" i="3"/>
  <c r="N26" i="3"/>
  <c r="M26" i="3"/>
  <c r="L26" i="3"/>
  <c r="K26" i="3"/>
  <c r="J26" i="3"/>
  <c r="I26" i="3"/>
  <c r="H26" i="3"/>
  <c r="G26" i="3"/>
  <c r="F26" i="3"/>
  <c r="E26" i="3"/>
  <c r="D26" i="3"/>
  <c r="C26" i="3"/>
  <c r="B26" i="3"/>
  <c r="Q25" i="3"/>
  <c r="P25" i="3"/>
  <c r="O25" i="3"/>
  <c r="N25" i="3"/>
  <c r="M25" i="3"/>
  <c r="L25" i="3"/>
  <c r="K25" i="3"/>
  <c r="J25" i="3"/>
  <c r="I25" i="3"/>
  <c r="H25" i="3"/>
  <c r="G25" i="3"/>
  <c r="F25" i="3"/>
  <c r="E25" i="3"/>
  <c r="D25" i="3"/>
  <c r="C25" i="3"/>
  <c r="B25" i="3"/>
  <c r="Q24" i="3"/>
  <c r="P24" i="3"/>
  <c r="O24" i="3"/>
  <c r="N24" i="3"/>
  <c r="M24" i="3"/>
  <c r="L24" i="3"/>
  <c r="K24" i="3"/>
  <c r="J24" i="3"/>
  <c r="I24" i="3"/>
  <c r="H24" i="3"/>
  <c r="G24" i="3"/>
  <c r="F24" i="3"/>
  <c r="E24" i="3"/>
  <c r="D24" i="3"/>
  <c r="C24" i="3"/>
  <c r="B24" i="3"/>
  <c r="Q23" i="3"/>
  <c r="P23" i="3"/>
  <c r="O23" i="3"/>
  <c r="N23" i="3"/>
  <c r="M23" i="3"/>
  <c r="L23" i="3"/>
  <c r="K23" i="3"/>
  <c r="J23" i="3"/>
  <c r="I23" i="3"/>
  <c r="H23" i="3"/>
  <c r="G23" i="3"/>
  <c r="F23" i="3"/>
  <c r="E23" i="3"/>
  <c r="D23" i="3"/>
  <c r="C23" i="3"/>
  <c r="B23" i="3"/>
  <c r="Q22" i="3"/>
  <c r="P22" i="3"/>
  <c r="O22" i="3"/>
  <c r="N22" i="3"/>
  <c r="M22" i="3"/>
  <c r="L22" i="3"/>
  <c r="K22" i="3"/>
  <c r="J22" i="3"/>
  <c r="I22" i="3"/>
  <c r="H22" i="3"/>
  <c r="G22" i="3"/>
  <c r="F22" i="3"/>
  <c r="E22" i="3"/>
  <c r="D22" i="3"/>
  <c r="C22" i="3"/>
  <c r="B22" i="3"/>
  <c r="Q21" i="3"/>
  <c r="P21" i="3"/>
  <c r="O21" i="3"/>
  <c r="N21" i="3"/>
  <c r="M21" i="3"/>
  <c r="L21" i="3"/>
  <c r="K21" i="3"/>
  <c r="J21" i="3"/>
  <c r="I21" i="3"/>
  <c r="H21" i="3"/>
  <c r="G21" i="3"/>
  <c r="F21" i="3"/>
  <c r="E21" i="3"/>
  <c r="D21" i="3"/>
  <c r="C21" i="3"/>
  <c r="B21" i="3"/>
  <c r="Q20" i="3"/>
  <c r="P20" i="3"/>
  <c r="O20" i="3"/>
  <c r="N20" i="3"/>
  <c r="M20" i="3"/>
  <c r="L20" i="3"/>
  <c r="K20" i="3"/>
  <c r="J20" i="3"/>
  <c r="I20" i="3"/>
  <c r="H20" i="3"/>
  <c r="G20" i="3"/>
  <c r="F20" i="3"/>
  <c r="E20" i="3"/>
  <c r="D20" i="3"/>
  <c r="C20" i="3"/>
  <c r="B20" i="3"/>
  <c r="Q19" i="3"/>
  <c r="P19" i="3"/>
  <c r="O19" i="3"/>
  <c r="N19" i="3"/>
  <c r="M19" i="3"/>
  <c r="L19" i="3"/>
  <c r="K19" i="3"/>
  <c r="J19" i="3"/>
  <c r="I19" i="3"/>
  <c r="H19" i="3"/>
  <c r="G19" i="3"/>
  <c r="F19" i="3"/>
  <c r="E19" i="3"/>
  <c r="D19" i="3"/>
  <c r="C19" i="3"/>
  <c r="B19" i="3"/>
  <c r="Q18" i="3"/>
  <c r="P18" i="3"/>
  <c r="N18" i="3"/>
  <c r="M18" i="3"/>
  <c r="L18" i="3"/>
  <c r="K18" i="3"/>
  <c r="J18" i="3"/>
  <c r="I18" i="3"/>
  <c r="H18" i="3"/>
  <c r="G18" i="3"/>
  <c r="F18" i="3"/>
  <c r="E18" i="3"/>
  <c r="D18" i="3"/>
  <c r="C18" i="3"/>
  <c r="B18" i="3"/>
  <c r="Q17" i="3"/>
  <c r="P17" i="3"/>
  <c r="O17" i="3"/>
  <c r="N17" i="3"/>
  <c r="M17" i="3"/>
  <c r="L17" i="3"/>
  <c r="K17" i="3"/>
  <c r="J17" i="3"/>
  <c r="I17" i="3"/>
  <c r="H17" i="3"/>
  <c r="G17" i="3"/>
  <c r="F17" i="3"/>
  <c r="E17" i="3"/>
  <c r="D17" i="3"/>
  <c r="C17" i="3"/>
  <c r="B17" i="3"/>
  <c r="Q16" i="3"/>
  <c r="P16" i="3"/>
  <c r="O16" i="3"/>
  <c r="N16" i="3"/>
  <c r="M16" i="3"/>
  <c r="L16" i="3"/>
  <c r="K16" i="3"/>
  <c r="J16" i="3"/>
  <c r="I16" i="3"/>
  <c r="H16" i="3"/>
  <c r="G16" i="3"/>
  <c r="F16" i="3"/>
  <c r="E16" i="3"/>
  <c r="D16" i="3"/>
  <c r="C16" i="3"/>
  <c r="B16" i="3"/>
  <c r="Q15" i="3"/>
  <c r="P15" i="3"/>
  <c r="O15" i="3"/>
  <c r="N15" i="3"/>
  <c r="M15" i="3"/>
  <c r="L15" i="3"/>
  <c r="K15" i="3"/>
  <c r="J15" i="3"/>
  <c r="I15" i="3"/>
  <c r="H15" i="3"/>
  <c r="G15" i="3"/>
  <c r="F15" i="3"/>
  <c r="E15" i="3"/>
  <c r="D15" i="3"/>
  <c r="C15" i="3"/>
  <c r="B15" i="3"/>
  <c r="Q14" i="3"/>
  <c r="P14" i="3"/>
  <c r="O14" i="3"/>
  <c r="N14" i="3"/>
  <c r="M14" i="3"/>
  <c r="L14" i="3"/>
  <c r="K14" i="3"/>
  <c r="J14" i="3"/>
  <c r="I14" i="3"/>
  <c r="H14" i="3"/>
  <c r="G14" i="3"/>
  <c r="F14" i="3"/>
  <c r="E14" i="3"/>
  <c r="D14" i="3"/>
  <c r="C14" i="3"/>
  <c r="B14" i="3"/>
  <c r="Q13" i="3"/>
  <c r="P13" i="3"/>
  <c r="O13" i="3"/>
  <c r="N13" i="3"/>
  <c r="M13" i="3"/>
  <c r="L13" i="3"/>
  <c r="K13" i="3"/>
  <c r="J13" i="3"/>
  <c r="I13" i="3"/>
  <c r="H13" i="3"/>
  <c r="G13" i="3"/>
  <c r="F13" i="3"/>
  <c r="E13" i="3"/>
  <c r="D13" i="3"/>
  <c r="C13" i="3"/>
  <c r="B13" i="3"/>
  <c r="AQ43" i="2"/>
  <c r="AP43" i="2"/>
  <c r="AO43" i="2"/>
  <c r="AN43" i="2"/>
  <c r="AM43" i="2"/>
  <c r="AL43" i="2"/>
  <c r="AK43" i="2"/>
  <c r="AJ43" i="2"/>
  <c r="AI43" i="2"/>
  <c r="AH43" i="2"/>
  <c r="AG43" i="2"/>
  <c r="AF43" i="2"/>
  <c r="AE43" i="2"/>
  <c r="T43" i="2"/>
  <c r="L43" i="2"/>
  <c r="K43" i="2"/>
  <c r="J43" i="2"/>
  <c r="AV34" i="15" s="1"/>
  <c r="H43" i="2" s="1"/>
  <c r="I43" i="2"/>
  <c r="G43" i="2"/>
  <c r="F43" i="2"/>
  <c r="E43" i="2"/>
  <c r="D43" i="2"/>
  <c r="C43" i="2"/>
  <c r="B43" i="2"/>
  <c r="AQ42" i="2"/>
  <c r="AP42" i="2"/>
  <c r="AO42" i="2"/>
  <c r="AN42" i="2"/>
  <c r="AM42" i="2"/>
  <c r="AL42" i="2"/>
  <c r="AK42" i="2"/>
  <c r="AJ42" i="2"/>
  <c r="AI42" i="2"/>
  <c r="AH42" i="2"/>
  <c r="AG42" i="2"/>
  <c r="AF42" i="2"/>
  <c r="AE42" i="2"/>
  <c r="T42" i="2"/>
  <c r="L42" i="2"/>
  <c r="K42" i="2"/>
  <c r="J42" i="2"/>
  <c r="AV33" i="15" s="1"/>
  <c r="H42" i="2" s="1"/>
  <c r="I42" i="2"/>
  <c r="G42" i="2"/>
  <c r="F42" i="2"/>
  <c r="E42" i="2"/>
  <c r="D42" i="2"/>
  <c r="C42" i="2"/>
  <c r="B42" i="2"/>
  <c r="AQ41" i="2"/>
  <c r="AP41" i="2"/>
  <c r="AO41" i="2"/>
  <c r="AN41" i="2"/>
  <c r="AM41" i="2"/>
  <c r="AL41" i="2"/>
  <c r="AK41" i="2"/>
  <c r="AJ41" i="2"/>
  <c r="AI41" i="2"/>
  <c r="AH41" i="2"/>
  <c r="AG41" i="2"/>
  <c r="AF41" i="2"/>
  <c r="AE41" i="2"/>
  <c r="T41" i="2"/>
  <c r="L41" i="2"/>
  <c r="K41" i="2"/>
  <c r="J41" i="2"/>
  <c r="I41" i="2"/>
  <c r="G41" i="2"/>
  <c r="F41" i="2"/>
  <c r="E41" i="2"/>
  <c r="D41" i="2"/>
  <c r="C41" i="2"/>
  <c r="B41" i="2"/>
  <c r="AQ40" i="2"/>
  <c r="AP40" i="2"/>
  <c r="AO40" i="2"/>
  <c r="AN40" i="2"/>
  <c r="AM40" i="2"/>
  <c r="AL40" i="2"/>
  <c r="AK40" i="2"/>
  <c r="AJ40" i="2"/>
  <c r="AI40" i="2"/>
  <c r="AH40" i="2"/>
  <c r="AG40" i="2"/>
  <c r="AF40" i="2"/>
  <c r="AE40" i="2"/>
  <c r="T40" i="2"/>
  <c r="L40" i="2"/>
  <c r="K40" i="2"/>
  <c r="J40" i="2"/>
  <c r="I40" i="2"/>
  <c r="G40" i="2"/>
  <c r="F40" i="2"/>
  <c r="E40" i="2"/>
  <c r="D40" i="2"/>
  <c r="C40" i="2"/>
  <c r="B40" i="2"/>
  <c r="AQ39" i="2"/>
  <c r="AP39" i="2"/>
  <c r="AO39" i="2"/>
  <c r="AN39" i="2"/>
  <c r="AM39" i="2"/>
  <c r="AL39" i="2"/>
  <c r="AK39" i="2"/>
  <c r="AJ39" i="2"/>
  <c r="AI39" i="2"/>
  <c r="AH39" i="2"/>
  <c r="AG39" i="2"/>
  <c r="AF39" i="2"/>
  <c r="AE39" i="2"/>
  <c r="T39" i="2"/>
  <c r="L39" i="2"/>
  <c r="K39" i="2"/>
  <c r="J39" i="2"/>
  <c r="I39" i="2"/>
  <c r="G39" i="2"/>
  <c r="F39" i="2"/>
  <c r="E39" i="2"/>
  <c r="D39" i="2"/>
  <c r="C39" i="2"/>
  <c r="B39" i="2"/>
  <c r="AQ38" i="2"/>
  <c r="AP38" i="2"/>
  <c r="AO38" i="2"/>
  <c r="AN38" i="2"/>
  <c r="AM38" i="2"/>
  <c r="AL38" i="2"/>
  <c r="AK38" i="2"/>
  <c r="AJ38" i="2"/>
  <c r="AI38" i="2"/>
  <c r="AH38" i="2"/>
  <c r="AG38" i="2"/>
  <c r="AF38" i="2"/>
  <c r="AE38" i="2"/>
  <c r="T38" i="2"/>
  <c r="L38" i="2"/>
  <c r="K38" i="2"/>
  <c r="J38" i="2"/>
  <c r="I38" i="2"/>
  <c r="G38" i="2"/>
  <c r="F38" i="2"/>
  <c r="E38" i="2"/>
  <c r="D38" i="2"/>
  <c r="C38" i="2"/>
  <c r="B38" i="2"/>
  <c r="AQ37" i="2"/>
  <c r="AP37" i="2"/>
  <c r="AO37" i="2"/>
  <c r="AN37" i="2"/>
  <c r="AM37" i="2"/>
  <c r="AL37" i="2"/>
  <c r="AK37" i="2"/>
  <c r="AJ37" i="2"/>
  <c r="AI37" i="2"/>
  <c r="AH37" i="2"/>
  <c r="AG37" i="2"/>
  <c r="AF37" i="2"/>
  <c r="AE37" i="2"/>
  <c r="T37" i="2"/>
  <c r="L37" i="2"/>
  <c r="K37" i="2"/>
  <c r="J37" i="2"/>
  <c r="I37" i="2"/>
  <c r="G37" i="2"/>
  <c r="F37" i="2"/>
  <c r="E37" i="2"/>
  <c r="D37" i="2"/>
  <c r="C37" i="2"/>
  <c r="B37" i="2"/>
  <c r="AQ36" i="2"/>
  <c r="AP36" i="2"/>
  <c r="AO36" i="2"/>
  <c r="AN36" i="2"/>
  <c r="AM36" i="2"/>
  <c r="AL36" i="2"/>
  <c r="AK36" i="2"/>
  <c r="AJ36" i="2"/>
  <c r="AI36" i="2"/>
  <c r="AH36" i="2"/>
  <c r="AG36" i="2"/>
  <c r="AF36" i="2"/>
  <c r="AE36" i="2"/>
  <c r="T36" i="2"/>
  <c r="L36" i="2"/>
  <c r="K36" i="2"/>
  <c r="J36" i="2"/>
  <c r="I36" i="2"/>
  <c r="G36" i="2"/>
  <c r="F36" i="2"/>
  <c r="E36" i="2"/>
  <c r="D36" i="2"/>
  <c r="C36" i="2"/>
  <c r="B36" i="2"/>
  <c r="AQ35" i="2"/>
  <c r="AP35" i="2"/>
  <c r="AO35" i="2"/>
  <c r="AN35" i="2"/>
  <c r="AM35" i="2"/>
  <c r="AL35" i="2"/>
  <c r="AK35" i="2"/>
  <c r="AJ35" i="2"/>
  <c r="AI35" i="2"/>
  <c r="AH35" i="2"/>
  <c r="AG35" i="2"/>
  <c r="AF35" i="2"/>
  <c r="AE35" i="2"/>
  <c r="T35" i="2"/>
  <c r="L35" i="2"/>
  <c r="K35" i="2"/>
  <c r="J35" i="2"/>
  <c r="I35" i="2"/>
  <c r="G35" i="2"/>
  <c r="F35" i="2"/>
  <c r="E35" i="2"/>
  <c r="D35" i="2"/>
  <c r="C35" i="2"/>
  <c r="B35" i="2"/>
  <c r="AQ34" i="2"/>
  <c r="AP34" i="2"/>
  <c r="AO34" i="2"/>
  <c r="AN34" i="2"/>
  <c r="AM34" i="2"/>
  <c r="AL34" i="2"/>
  <c r="AK34" i="2"/>
  <c r="AJ34" i="2"/>
  <c r="AI34" i="2"/>
  <c r="AH34" i="2"/>
  <c r="AG34" i="2"/>
  <c r="AF34" i="2"/>
  <c r="AE34" i="2"/>
  <c r="T34" i="2"/>
  <c r="L34" i="2"/>
  <c r="K34" i="2"/>
  <c r="J34" i="2"/>
  <c r="I34" i="2"/>
  <c r="G34" i="2"/>
  <c r="F34" i="2"/>
  <c r="E34" i="2"/>
  <c r="D34" i="2"/>
  <c r="C34" i="2"/>
  <c r="B34" i="2"/>
  <c r="AQ33" i="2"/>
  <c r="AP33" i="2"/>
  <c r="AO33" i="2"/>
  <c r="AN33" i="2"/>
  <c r="AM33" i="2"/>
  <c r="AL33" i="2"/>
  <c r="AK33" i="2"/>
  <c r="AJ33" i="2"/>
  <c r="AI33" i="2"/>
  <c r="AH33" i="2"/>
  <c r="AG33" i="2"/>
  <c r="AF33" i="2"/>
  <c r="AE33" i="2"/>
  <c r="T33" i="2"/>
  <c r="L33" i="2"/>
  <c r="K33" i="2"/>
  <c r="J33" i="2"/>
  <c r="I33" i="2"/>
  <c r="G33" i="2"/>
  <c r="F33" i="2"/>
  <c r="E33" i="2"/>
  <c r="D33" i="2"/>
  <c r="C33" i="2"/>
  <c r="B33" i="2"/>
  <c r="AQ32" i="2"/>
  <c r="AP32" i="2"/>
  <c r="AO32" i="2"/>
  <c r="AN32" i="2"/>
  <c r="AM32" i="2"/>
  <c r="AL32" i="2"/>
  <c r="AK32" i="2"/>
  <c r="AJ32" i="2"/>
  <c r="AI32" i="2"/>
  <c r="AH32" i="2"/>
  <c r="AG32" i="2"/>
  <c r="AF32" i="2"/>
  <c r="AE32" i="2"/>
  <c r="T32" i="2"/>
  <c r="L32" i="2"/>
  <c r="K32" i="2"/>
  <c r="J32" i="2"/>
  <c r="I32" i="2"/>
  <c r="G32" i="2"/>
  <c r="F32" i="2"/>
  <c r="E32" i="2"/>
  <c r="D32" i="2"/>
  <c r="C32" i="2"/>
  <c r="B32" i="2"/>
  <c r="AQ31" i="2"/>
  <c r="AP31" i="2"/>
  <c r="AO31" i="2"/>
  <c r="AN31" i="2"/>
  <c r="AM31" i="2"/>
  <c r="AL31" i="2"/>
  <c r="AK31" i="2"/>
  <c r="AJ31" i="2"/>
  <c r="AI31" i="2"/>
  <c r="AH31" i="2"/>
  <c r="AG31" i="2"/>
  <c r="AF31" i="2"/>
  <c r="AE31" i="2"/>
  <c r="T31" i="2"/>
  <c r="L31" i="2"/>
  <c r="K31" i="2"/>
  <c r="J31" i="2"/>
  <c r="I31" i="2"/>
  <c r="G31" i="2"/>
  <c r="F31" i="2"/>
  <c r="E31" i="2"/>
  <c r="D31" i="2"/>
  <c r="C31" i="2"/>
  <c r="B31" i="2"/>
  <c r="AQ30" i="2"/>
  <c r="AP30" i="2"/>
  <c r="AO30" i="2"/>
  <c r="AN30" i="2"/>
  <c r="AM30" i="2"/>
  <c r="AL30" i="2"/>
  <c r="AK30" i="2"/>
  <c r="AJ30" i="2"/>
  <c r="AI30" i="2"/>
  <c r="AH30" i="2"/>
  <c r="AG30" i="2"/>
  <c r="AF30" i="2"/>
  <c r="AE30" i="2"/>
  <c r="T30" i="2"/>
  <c r="L30" i="2"/>
  <c r="K30" i="2"/>
  <c r="J30" i="2"/>
  <c r="I30" i="2"/>
  <c r="G30" i="2"/>
  <c r="F30" i="2"/>
  <c r="E30" i="2"/>
  <c r="D30" i="2"/>
  <c r="C30" i="2"/>
  <c r="B30" i="2"/>
  <c r="AQ29" i="2"/>
  <c r="AP29" i="2"/>
  <c r="AO29" i="2"/>
  <c r="AN29" i="2"/>
  <c r="AM29" i="2"/>
  <c r="AL29" i="2"/>
  <c r="AK29" i="2"/>
  <c r="AJ29" i="2"/>
  <c r="AI29" i="2"/>
  <c r="AH29" i="2"/>
  <c r="AG29" i="2"/>
  <c r="AF29" i="2"/>
  <c r="AE29" i="2"/>
  <c r="T29" i="2"/>
  <c r="L29" i="2"/>
  <c r="K29" i="2"/>
  <c r="J29" i="2"/>
  <c r="I29" i="2"/>
  <c r="G29" i="2"/>
  <c r="F29" i="2"/>
  <c r="E29" i="2"/>
  <c r="D29" i="2"/>
  <c r="C29" i="2"/>
  <c r="B29" i="2"/>
  <c r="AQ28" i="2"/>
  <c r="AP28" i="2"/>
  <c r="AO28" i="2"/>
  <c r="AN28" i="2"/>
  <c r="AM28" i="2"/>
  <c r="AL28" i="2"/>
  <c r="AK28" i="2"/>
  <c r="AJ28" i="2"/>
  <c r="AI28" i="2"/>
  <c r="AH28" i="2"/>
  <c r="AG28" i="2"/>
  <c r="AF28" i="2"/>
  <c r="AE28" i="2"/>
  <c r="T28" i="2"/>
  <c r="L28" i="2"/>
  <c r="K28" i="2"/>
  <c r="J28" i="2"/>
  <c r="I28" i="2"/>
  <c r="G28" i="2"/>
  <c r="F28" i="2"/>
  <c r="E28" i="2"/>
  <c r="D28" i="2"/>
  <c r="C28" i="2"/>
  <c r="B28" i="2"/>
  <c r="AQ27" i="2"/>
  <c r="AP27" i="2"/>
  <c r="AO27" i="2"/>
  <c r="AN27" i="2"/>
  <c r="AM27" i="2"/>
  <c r="AL27" i="2"/>
  <c r="AK27" i="2"/>
  <c r="AJ27" i="2"/>
  <c r="AI27" i="2"/>
  <c r="AH27" i="2"/>
  <c r="AG27" i="2"/>
  <c r="AF27" i="2"/>
  <c r="AE27" i="2"/>
  <c r="T27" i="2"/>
  <c r="L27" i="2"/>
  <c r="K27" i="2"/>
  <c r="J27" i="2"/>
  <c r="I27" i="2"/>
  <c r="G27" i="2"/>
  <c r="F27" i="2"/>
  <c r="E27" i="2"/>
  <c r="D27" i="2"/>
  <c r="C27" i="2"/>
  <c r="B27" i="2"/>
  <c r="AQ26" i="2"/>
  <c r="AP26" i="2"/>
  <c r="AO26" i="2"/>
  <c r="AN26" i="2"/>
  <c r="AM26" i="2"/>
  <c r="AL26" i="2"/>
  <c r="AK26" i="2"/>
  <c r="AJ26" i="2"/>
  <c r="AI26" i="2"/>
  <c r="AH26" i="2"/>
  <c r="AG26" i="2"/>
  <c r="AF26" i="2"/>
  <c r="AE26" i="2"/>
  <c r="T26" i="2"/>
  <c r="L26" i="2"/>
  <c r="K26" i="2"/>
  <c r="J26" i="2"/>
  <c r="I26" i="2"/>
  <c r="G26" i="2"/>
  <c r="F26" i="2"/>
  <c r="E26" i="2"/>
  <c r="D26" i="2"/>
  <c r="C26" i="2"/>
  <c r="B26" i="2"/>
  <c r="AQ25" i="2"/>
  <c r="AP25" i="2"/>
  <c r="AO25" i="2"/>
  <c r="AN25" i="2"/>
  <c r="AM25" i="2"/>
  <c r="AL25" i="2"/>
  <c r="AK25" i="2"/>
  <c r="AJ25" i="2"/>
  <c r="AI25" i="2"/>
  <c r="AH25" i="2"/>
  <c r="AG25" i="2"/>
  <c r="AF25" i="2"/>
  <c r="AE25" i="2"/>
  <c r="T25" i="2"/>
  <c r="L25" i="2"/>
  <c r="K25" i="2"/>
  <c r="J25" i="2"/>
  <c r="I25" i="2"/>
  <c r="G25" i="2"/>
  <c r="F25" i="2"/>
  <c r="E25" i="2"/>
  <c r="D25" i="2"/>
  <c r="C25" i="2"/>
  <c r="B25" i="2"/>
  <c r="AQ24" i="2"/>
  <c r="AP24" i="2"/>
  <c r="AO24" i="2"/>
  <c r="AN24" i="2"/>
  <c r="AM24" i="2"/>
  <c r="AL24" i="2"/>
  <c r="AK24" i="2"/>
  <c r="AJ24" i="2"/>
  <c r="AI24" i="2"/>
  <c r="AH24" i="2"/>
  <c r="AG24" i="2"/>
  <c r="AF24" i="2"/>
  <c r="AE24" i="2"/>
  <c r="T24" i="2"/>
  <c r="L24" i="2"/>
  <c r="K24" i="2"/>
  <c r="J24" i="2"/>
  <c r="I24" i="2"/>
  <c r="G24" i="2"/>
  <c r="F24" i="2"/>
  <c r="E24" i="2"/>
  <c r="D24" i="2"/>
  <c r="C24" i="2"/>
  <c r="B24" i="2"/>
  <c r="AQ23" i="2"/>
  <c r="AP23" i="2"/>
  <c r="AO23" i="2"/>
  <c r="AN23" i="2"/>
  <c r="AM23" i="2"/>
  <c r="AL23" i="2"/>
  <c r="AK23" i="2"/>
  <c r="AJ23" i="2"/>
  <c r="AI23" i="2"/>
  <c r="AH23" i="2"/>
  <c r="AG23" i="2"/>
  <c r="AF23" i="2"/>
  <c r="AE23" i="2"/>
  <c r="T23" i="2"/>
  <c r="L23" i="2"/>
  <c r="K23" i="2"/>
  <c r="J23" i="2"/>
  <c r="I23" i="2"/>
  <c r="G23" i="2"/>
  <c r="F23" i="2"/>
  <c r="E23" i="2"/>
  <c r="D23" i="2"/>
  <c r="C23" i="2"/>
  <c r="B23" i="2"/>
  <c r="AQ22" i="2"/>
  <c r="AP22" i="2"/>
  <c r="AO22" i="2"/>
  <c r="AN22" i="2"/>
  <c r="AM22" i="2"/>
  <c r="AL22" i="2"/>
  <c r="AK22" i="2"/>
  <c r="AJ22" i="2"/>
  <c r="AI22" i="2"/>
  <c r="AH22" i="2"/>
  <c r="AG22" i="2"/>
  <c r="AF22" i="2"/>
  <c r="AE22" i="2"/>
  <c r="T22" i="2"/>
  <c r="L22" i="2"/>
  <c r="K22" i="2"/>
  <c r="J22" i="2"/>
  <c r="I22" i="2"/>
  <c r="G22" i="2"/>
  <c r="F22" i="2"/>
  <c r="E22" i="2"/>
  <c r="D22" i="2"/>
  <c r="C22" i="2"/>
  <c r="B22" i="2"/>
  <c r="AQ21" i="2"/>
  <c r="AP21" i="2"/>
  <c r="AO21" i="2"/>
  <c r="AN21" i="2"/>
  <c r="AM21" i="2"/>
  <c r="AL21" i="2"/>
  <c r="AK21" i="2"/>
  <c r="AJ21" i="2"/>
  <c r="AI21" i="2"/>
  <c r="AH21" i="2"/>
  <c r="AG21" i="2"/>
  <c r="AF21" i="2"/>
  <c r="AE21" i="2"/>
  <c r="T21" i="2"/>
  <c r="L21" i="2"/>
  <c r="K21" i="2"/>
  <c r="J21" i="2"/>
  <c r="I21" i="2"/>
  <c r="G21" i="2"/>
  <c r="F21" i="2"/>
  <c r="E21" i="2"/>
  <c r="D21" i="2"/>
  <c r="C21" i="2"/>
  <c r="B21" i="2"/>
  <c r="AQ20" i="2"/>
  <c r="AP20" i="2"/>
  <c r="AO20" i="2"/>
  <c r="AN20" i="2"/>
  <c r="AM20" i="2"/>
  <c r="AL20" i="2"/>
  <c r="AK20" i="2"/>
  <c r="AJ20" i="2"/>
  <c r="AI20" i="2"/>
  <c r="AH20" i="2"/>
  <c r="AG20" i="2"/>
  <c r="AF20" i="2"/>
  <c r="AE20" i="2"/>
  <c r="T20" i="2"/>
  <c r="L20" i="2"/>
  <c r="K20" i="2"/>
  <c r="J20" i="2"/>
  <c r="I20" i="2"/>
  <c r="G20" i="2"/>
  <c r="F20" i="2"/>
  <c r="E20" i="2"/>
  <c r="D20" i="2"/>
  <c r="C20" i="2"/>
  <c r="B20" i="2"/>
  <c r="AQ19" i="2"/>
  <c r="AP19" i="2"/>
  <c r="AO19" i="2"/>
  <c r="AN19" i="2"/>
  <c r="AM19" i="2"/>
  <c r="AL19" i="2"/>
  <c r="AK19" i="2"/>
  <c r="AJ19" i="2"/>
  <c r="AI19" i="2"/>
  <c r="AH19" i="2"/>
  <c r="AG19" i="2"/>
  <c r="AF19" i="2"/>
  <c r="AE19" i="2"/>
  <c r="T19" i="2"/>
  <c r="L19" i="2"/>
  <c r="K19" i="2"/>
  <c r="J19" i="2"/>
  <c r="I19" i="2"/>
  <c r="G19" i="2"/>
  <c r="F19" i="2"/>
  <c r="E19" i="2"/>
  <c r="D19" i="2"/>
  <c r="C19" i="2"/>
  <c r="B19" i="2"/>
  <c r="AQ18" i="2"/>
  <c r="AP18" i="2"/>
  <c r="AO18" i="2"/>
  <c r="AN18" i="2"/>
  <c r="AM18" i="2"/>
  <c r="AL18" i="2"/>
  <c r="AK18" i="2"/>
  <c r="AJ18" i="2"/>
  <c r="AI18" i="2"/>
  <c r="AH18" i="2"/>
  <c r="AG18" i="2"/>
  <c r="AF18" i="2"/>
  <c r="AE18" i="2"/>
  <c r="T18" i="2"/>
  <c r="L18" i="2"/>
  <c r="K18" i="2"/>
  <c r="J18" i="2"/>
  <c r="I18" i="2"/>
  <c r="G18" i="2"/>
  <c r="F18" i="2"/>
  <c r="E18" i="2"/>
  <c r="D18" i="2"/>
  <c r="C18" i="2"/>
  <c r="B18" i="2"/>
  <c r="AQ17" i="2"/>
  <c r="AP17" i="2"/>
  <c r="AO17" i="2"/>
  <c r="AN17" i="2"/>
  <c r="AM17" i="2"/>
  <c r="AL17" i="2"/>
  <c r="AK17" i="2"/>
  <c r="AJ17" i="2"/>
  <c r="AI17" i="2"/>
  <c r="AH17" i="2"/>
  <c r="AG17" i="2"/>
  <c r="AF17" i="2"/>
  <c r="AE17" i="2"/>
  <c r="T17" i="2"/>
  <c r="L17" i="2"/>
  <c r="K17" i="2"/>
  <c r="J17" i="2"/>
  <c r="I17" i="2"/>
  <c r="G17" i="2"/>
  <c r="F17" i="2"/>
  <c r="E17" i="2"/>
  <c r="D17" i="2"/>
  <c r="C17" i="2"/>
  <c r="B17" i="2"/>
  <c r="AQ16" i="2"/>
  <c r="AP16" i="2"/>
  <c r="AO16" i="2"/>
  <c r="AN16" i="2"/>
  <c r="AM16" i="2"/>
  <c r="AL16" i="2"/>
  <c r="AK16" i="2"/>
  <c r="AJ16" i="2"/>
  <c r="AI16" i="2"/>
  <c r="AH16" i="2"/>
  <c r="AG16" i="2"/>
  <c r="AF16" i="2"/>
  <c r="AE16" i="2"/>
  <c r="T16" i="2"/>
  <c r="L16" i="2"/>
  <c r="K16" i="2"/>
  <c r="J16" i="2"/>
  <c r="AV7" i="15" s="1"/>
  <c r="H16" i="2" s="1"/>
  <c r="I16" i="2"/>
  <c r="G16" i="2"/>
  <c r="F16" i="2"/>
  <c r="E16" i="2"/>
  <c r="D16" i="2"/>
  <c r="C16" i="2"/>
  <c r="B16" i="2"/>
  <c r="AV8" i="15" l="1"/>
  <c r="H17" i="2" s="1"/>
  <c r="AV9" i="15"/>
  <c r="H18" i="2" s="1"/>
  <c r="AV10" i="15"/>
  <c r="H19" i="2" s="1"/>
  <c r="AV11" i="15"/>
  <c r="H20" i="2" s="1"/>
  <c r="AV12" i="15"/>
  <c r="H21" i="2" s="1"/>
  <c r="AV13" i="15"/>
  <c r="H22" i="2" s="1"/>
  <c r="AV14" i="15"/>
  <c r="H23" i="2" s="1"/>
  <c r="AV15" i="15"/>
  <c r="H24" i="2" s="1"/>
  <c r="AV16" i="15"/>
  <c r="H25" i="2" s="1"/>
  <c r="AV17" i="15"/>
  <c r="H26" i="2" s="1"/>
  <c r="AV18" i="15"/>
  <c r="H27" i="2" s="1"/>
  <c r="AV19" i="15"/>
  <c r="H28" i="2" s="1"/>
  <c r="AV20" i="15"/>
  <c r="H29" i="2" s="1"/>
  <c r="AV21" i="15"/>
  <c r="H30" i="2" s="1"/>
  <c r="AV22" i="15"/>
  <c r="H31" i="2" s="1"/>
  <c r="AV23" i="15"/>
  <c r="H32" i="2" s="1"/>
  <c r="AV24" i="15"/>
  <c r="H33" i="2" s="1"/>
  <c r="AV25" i="15"/>
  <c r="H34" i="2" s="1"/>
  <c r="AV26" i="15"/>
  <c r="H35" i="2" s="1"/>
  <c r="AV27" i="15"/>
  <c r="H36" i="2" s="1"/>
  <c r="AV28" i="15"/>
  <c r="H37" i="2" s="1"/>
  <c r="AV29" i="15"/>
  <c r="H38" i="2" s="1"/>
  <c r="AV30" i="15"/>
  <c r="H39" i="2" s="1"/>
  <c r="AV31" i="15"/>
  <c r="H40" i="2" s="1"/>
  <c r="AV32" i="15"/>
  <c r="H41" i="2" s="1"/>
  <c r="E13" i="7"/>
  <c r="E15" i="7"/>
  <c r="E17" i="7"/>
  <c r="E19" i="7"/>
  <c r="E21" i="7"/>
  <c r="E23" i="7"/>
  <c r="E25" i="7"/>
  <c r="E27" i="7"/>
  <c r="E29" i="7"/>
  <c r="E31" i="7"/>
  <c r="E33" i="7"/>
  <c r="E35" i="7"/>
  <c r="E37" i="7"/>
  <c r="E39" i="7"/>
  <c r="E14" i="7"/>
  <c r="E16" i="7"/>
  <c r="E18" i="7"/>
  <c r="E20" i="7"/>
  <c r="E22" i="7"/>
  <c r="E24" i="7"/>
  <c r="E26" i="7"/>
  <c r="E28" i="7"/>
  <c r="E30" i="7"/>
  <c r="E32" i="7"/>
  <c r="E34" i="7"/>
  <c r="E36" i="7"/>
  <c r="E38" i="7"/>
  <c r="E40" i="7"/>
  <c r="D380" i="15"/>
  <c r="D379" i="15"/>
  <c r="C357" i="15"/>
  <c r="N356" i="15"/>
  <c r="O356" i="15" s="1"/>
  <c r="M356" i="15"/>
  <c r="Q355" i="15"/>
  <c r="H355" i="15" s="1"/>
  <c r="I355" i="15"/>
  <c r="J355" i="15" s="1"/>
  <c r="G355" i="15"/>
  <c r="F355" i="15"/>
  <c r="E355" i="15"/>
  <c r="D355" i="15"/>
  <c r="C355" i="15"/>
  <c r="Q354" i="15"/>
  <c r="H354" i="15" s="1"/>
  <c r="I354" i="15"/>
  <c r="J354" i="15" s="1"/>
  <c r="G354" i="15"/>
  <c r="F354" i="15"/>
  <c r="E354" i="15"/>
  <c r="D354" i="15"/>
  <c r="C354" i="15"/>
  <c r="Q353" i="15"/>
  <c r="H353" i="15" s="1"/>
  <c r="I353" i="15"/>
  <c r="J353" i="15" s="1"/>
  <c r="G353" i="15"/>
  <c r="F353" i="15"/>
  <c r="E353" i="15"/>
  <c r="D353" i="15"/>
  <c r="C353" i="15"/>
  <c r="Q352" i="15"/>
  <c r="H352" i="15" s="1"/>
  <c r="I352" i="15"/>
  <c r="J352" i="15" s="1"/>
  <c r="G352" i="15"/>
  <c r="F352" i="15"/>
  <c r="E352" i="15"/>
  <c r="D352" i="15"/>
  <c r="C352" i="15"/>
  <c r="Q351" i="15"/>
  <c r="H351" i="15" s="1"/>
  <c r="I351" i="15"/>
  <c r="J351" i="15" s="1"/>
  <c r="G351" i="15"/>
  <c r="F351" i="15"/>
  <c r="E351" i="15"/>
  <c r="D351" i="15"/>
  <c r="C351" i="15"/>
  <c r="C349" i="15"/>
  <c r="N348" i="15"/>
  <c r="O348" i="15" s="1"/>
  <c r="M348" i="15"/>
  <c r="Q347" i="15"/>
  <c r="H347" i="15" s="1"/>
  <c r="I347" i="15"/>
  <c r="J347" i="15" s="1"/>
  <c r="G347" i="15"/>
  <c r="F347" i="15"/>
  <c r="E347" i="15"/>
  <c r="D347" i="15"/>
  <c r="C347" i="15"/>
  <c r="Q346" i="15"/>
  <c r="H346" i="15" s="1"/>
  <c r="I346" i="15"/>
  <c r="J346" i="15" s="1"/>
  <c r="G346" i="15"/>
  <c r="F346" i="15"/>
  <c r="E346" i="15"/>
  <c r="D346" i="15"/>
  <c r="C346" i="15"/>
  <c r="Q345" i="15"/>
  <c r="H345" i="15" s="1"/>
  <c r="I345" i="15"/>
  <c r="J345" i="15" s="1"/>
  <c r="G345" i="15"/>
  <c r="F345" i="15"/>
  <c r="E345" i="15"/>
  <c r="D345" i="15"/>
  <c r="C345" i="15"/>
  <c r="Q344" i="15"/>
  <c r="H344" i="15" s="1"/>
  <c r="I344" i="15"/>
  <c r="J344" i="15" s="1"/>
  <c r="G344" i="15"/>
  <c r="F344" i="15"/>
  <c r="E344" i="15"/>
  <c r="D344" i="15"/>
  <c r="C344" i="15"/>
  <c r="Q343" i="15"/>
  <c r="H343" i="15" s="1"/>
  <c r="I343" i="15"/>
  <c r="J343" i="15" s="1"/>
  <c r="G343" i="15"/>
  <c r="F343" i="15"/>
  <c r="E343" i="15"/>
  <c r="D343" i="15"/>
  <c r="C343" i="15"/>
  <c r="C341" i="15"/>
  <c r="N340" i="15"/>
  <c r="O340" i="15" s="1"/>
  <c r="M340" i="15"/>
  <c r="Q339" i="15"/>
  <c r="H339" i="15" s="1"/>
  <c r="I339" i="15"/>
  <c r="J339" i="15" s="1"/>
  <c r="G339" i="15"/>
  <c r="F339" i="15"/>
  <c r="E339" i="15"/>
  <c r="D339" i="15"/>
  <c r="C339" i="15"/>
  <c r="Q338" i="15"/>
  <c r="H338" i="15" s="1"/>
  <c r="I338" i="15"/>
  <c r="J338" i="15" s="1"/>
  <c r="G338" i="15"/>
  <c r="F338" i="15"/>
  <c r="E338" i="15"/>
  <c r="D338" i="15"/>
  <c r="C338" i="15"/>
  <c r="Q337" i="15"/>
  <c r="H337" i="15" s="1"/>
  <c r="I337" i="15"/>
  <c r="J337" i="15" s="1"/>
  <c r="G337" i="15"/>
  <c r="F337" i="15"/>
  <c r="E337" i="15"/>
  <c r="D337" i="15"/>
  <c r="C337" i="15"/>
  <c r="Q336" i="15"/>
  <c r="H336" i="15" s="1"/>
  <c r="I336" i="15"/>
  <c r="J336" i="15" s="1"/>
  <c r="G336" i="15"/>
  <c r="F336" i="15"/>
  <c r="E336" i="15"/>
  <c r="D336" i="15"/>
  <c r="C336" i="15"/>
  <c r="Q335" i="15"/>
  <c r="H335" i="15" s="1"/>
  <c r="I335" i="15"/>
  <c r="J335" i="15" s="1"/>
  <c r="G335" i="15"/>
  <c r="F335" i="15"/>
  <c r="E335" i="15"/>
  <c r="D335" i="15"/>
  <c r="C335" i="15"/>
  <c r="C333" i="15"/>
  <c r="N332" i="15"/>
  <c r="O332" i="15" s="1"/>
  <c r="M332" i="15"/>
  <c r="Q331" i="15"/>
  <c r="H331" i="15" s="1"/>
  <c r="I331" i="15"/>
  <c r="J331" i="15" s="1"/>
  <c r="G331" i="15"/>
  <c r="F331" i="15"/>
  <c r="E331" i="15"/>
  <c r="D331" i="15"/>
  <c r="C331" i="15"/>
  <c r="Q330" i="15"/>
  <c r="H330" i="15" s="1"/>
  <c r="I330" i="15"/>
  <c r="J330" i="15" s="1"/>
  <c r="G330" i="15"/>
  <c r="F330" i="15"/>
  <c r="E330" i="15"/>
  <c r="D330" i="15"/>
  <c r="C330" i="15"/>
  <c r="Q329" i="15"/>
  <c r="H329" i="15" s="1"/>
  <c r="I329" i="15"/>
  <c r="J329" i="15" s="1"/>
  <c r="G329" i="15"/>
  <c r="F329" i="15"/>
  <c r="E329" i="15"/>
  <c r="D329" i="15"/>
  <c r="C329" i="15"/>
  <c r="Q328" i="15"/>
  <c r="H328" i="15" s="1"/>
  <c r="I328" i="15"/>
  <c r="J328" i="15" s="1"/>
  <c r="G328" i="15"/>
  <c r="F328" i="15"/>
  <c r="E328" i="15"/>
  <c r="D328" i="15"/>
  <c r="C328" i="15"/>
  <c r="Q327" i="15"/>
  <c r="H327" i="15" s="1"/>
  <c r="I327" i="15"/>
  <c r="J327" i="15" s="1"/>
  <c r="G327" i="15"/>
  <c r="F327" i="15"/>
  <c r="E327" i="15"/>
  <c r="D327" i="15"/>
  <c r="C327" i="15"/>
  <c r="C325" i="15"/>
  <c r="N324" i="15"/>
  <c r="O324" i="15" s="1"/>
  <c r="M324" i="15"/>
  <c r="Q323" i="15"/>
  <c r="H323" i="15" s="1"/>
  <c r="I323" i="15"/>
  <c r="J323" i="15" s="1"/>
  <c r="G323" i="15"/>
  <c r="F323" i="15"/>
  <c r="E323" i="15"/>
  <c r="D323" i="15"/>
  <c r="C323" i="15"/>
  <c r="Q322" i="15"/>
  <c r="H322" i="15" s="1"/>
  <c r="I322" i="15"/>
  <c r="J322" i="15" s="1"/>
  <c r="G322" i="15"/>
  <c r="F322" i="15"/>
  <c r="E322" i="15"/>
  <c r="D322" i="15"/>
  <c r="C322" i="15"/>
  <c r="Q321" i="15"/>
  <c r="H321" i="15" s="1"/>
  <c r="I321" i="15"/>
  <c r="J321" i="15" s="1"/>
  <c r="G321" i="15"/>
  <c r="F321" i="15"/>
  <c r="E321" i="15"/>
  <c r="D321" i="15"/>
  <c r="C321" i="15"/>
  <c r="Q320" i="15"/>
  <c r="H320" i="15" s="1"/>
  <c r="I320" i="15"/>
  <c r="J320" i="15" s="1"/>
  <c r="G320" i="15"/>
  <c r="F320" i="15"/>
  <c r="E320" i="15"/>
  <c r="D320" i="15"/>
  <c r="C320" i="15"/>
  <c r="Q319" i="15"/>
  <c r="H319" i="15" s="1"/>
  <c r="I319" i="15"/>
  <c r="J319" i="15" s="1"/>
  <c r="G319" i="15"/>
  <c r="F319" i="15"/>
  <c r="E319" i="15"/>
  <c r="D319" i="15"/>
  <c r="C319" i="15"/>
  <c r="C317" i="15"/>
  <c r="N316" i="15"/>
  <c r="O316" i="15" s="1"/>
  <c r="M316" i="15"/>
  <c r="Q315" i="15"/>
  <c r="H315" i="15" s="1"/>
  <c r="I315" i="15"/>
  <c r="J315" i="15" s="1"/>
  <c r="G315" i="15"/>
  <c r="F315" i="15"/>
  <c r="E315" i="15"/>
  <c r="D315" i="15"/>
  <c r="C315" i="15"/>
  <c r="Q314" i="15"/>
  <c r="H314" i="15" s="1"/>
  <c r="I314" i="15"/>
  <c r="J314" i="15" s="1"/>
  <c r="G314" i="15"/>
  <c r="F314" i="15"/>
  <c r="E314" i="15"/>
  <c r="D314" i="15"/>
  <c r="C314" i="15"/>
  <c r="Q313" i="15"/>
  <c r="H313" i="15" s="1"/>
  <c r="I313" i="15"/>
  <c r="J313" i="15" s="1"/>
  <c r="G313" i="15"/>
  <c r="F313" i="15"/>
  <c r="E313" i="15"/>
  <c r="D313" i="15"/>
  <c r="C313" i="15"/>
  <c r="Q312" i="15"/>
  <c r="H312" i="15" s="1"/>
  <c r="I312" i="15"/>
  <c r="J312" i="15" s="1"/>
  <c r="G312" i="15"/>
  <c r="F312" i="15"/>
  <c r="E312" i="15"/>
  <c r="D312" i="15"/>
  <c r="C312" i="15"/>
  <c r="Q311" i="15"/>
  <c r="H311" i="15" s="1"/>
  <c r="I311" i="15"/>
  <c r="J311" i="15" s="1"/>
  <c r="G311" i="15"/>
  <c r="F311" i="15"/>
  <c r="E311" i="15"/>
  <c r="D311" i="15"/>
  <c r="C311" i="15"/>
  <c r="C309" i="15"/>
  <c r="N308" i="15"/>
  <c r="O308" i="15" s="1"/>
  <c r="M308" i="15"/>
  <c r="Q307" i="15"/>
  <c r="H307" i="15" s="1"/>
  <c r="I307" i="15"/>
  <c r="J307" i="15" s="1"/>
  <c r="G307" i="15"/>
  <c r="F307" i="15"/>
  <c r="E307" i="15"/>
  <c r="D307" i="15"/>
  <c r="C307" i="15"/>
  <c r="Q306" i="15"/>
  <c r="H306" i="15" s="1"/>
  <c r="I306" i="15"/>
  <c r="J306" i="15" s="1"/>
  <c r="G306" i="15"/>
  <c r="F306" i="15"/>
  <c r="E306" i="15"/>
  <c r="D306" i="15"/>
  <c r="C306" i="15"/>
  <c r="Q305" i="15"/>
  <c r="H305" i="15" s="1"/>
  <c r="I305" i="15"/>
  <c r="J305" i="15" s="1"/>
  <c r="G305" i="15"/>
  <c r="F305" i="15"/>
  <c r="E305" i="15"/>
  <c r="D305" i="15"/>
  <c r="C305" i="15"/>
  <c r="Q304" i="15"/>
  <c r="H304" i="15" s="1"/>
  <c r="I304" i="15"/>
  <c r="J304" i="15" s="1"/>
  <c r="G304" i="15"/>
  <c r="F304" i="15"/>
  <c r="E304" i="15"/>
  <c r="D304" i="15"/>
  <c r="C304" i="15"/>
  <c r="Q303" i="15"/>
  <c r="H303" i="15" s="1"/>
  <c r="I303" i="15"/>
  <c r="J303" i="15" s="1"/>
  <c r="G303" i="15"/>
  <c r="F303" i="15"/>
  <c r="E303" i="15"/>
  <c r="D303" i="15"/>
  <c r="C303" i="15"/>
  <c r="C301" i="15"/>
  <c r="N300" i="15"/>
  <c r="O300" i="15" s="1"/>
  <c r="M300" i="15"/>
  <c r="Q299" i="15"/>
  <c r="H299" i="15" s="1"/>
  <c r="I299" i="15"/>
  <c r="J299" i="15" s="1"/>
  <c r="G299" i="15"/>
  <c r="F299" i="15"/>
  <c r="E299" i="15"/>
  <c r="D299" i="15"/>
  <c r="C299" i="15"/>
  <c r="Q298" i="15"/>
  <c r="H298" i="15" s="1"/>
  <c r="I298" i="15"/>
  <c r="J298" i="15" s="1"/>
  <c r="G298" i="15"/>
  <c r="F298" i="15"/>
  <c r="E298" i="15"/>
  <c r="D298" i="15"/>
  <c r="C298" i="15"/>
  <c r="Q297" i="15"/>
  <c r="H297" i="15" s="1"/>
  <c r="I297" i="15"/>
  <c r="J297" i="15" s="1"/>
  <c r="G297" i="15"/>
  <c r="F297" i="15"/>
  <c r="E297" i="15"/>
  <c r="D297" i="15"/>
  <c r="C297" i="15"/>
  <c r="Q296" i="15"/>
  <c r="H296" i="15" s="1"/>
  <c r="I296" i="15"/>
  <c r="J296" i="15" s="1"/>
  <c r="G296" i="15"/>
  <c r="F296" i="15"/>
  <c r="E296" i="15"/>
  <c r="D296" i="15"/>
  <c r="C296" i="15"/>
  <c r="Q295" i="15"/>
  <c r="H295" i="15" s="1"/>
  <c r="I295" i="15"/>
  <c r="J295" i="15" s="1"/>
  <c r="G295" i="15"/>
  <c r="F295" i="15"/>
  <c r="E295" i="15"/>
  <c r="D295" i="15"/>
  <c r="C295" i="15"/>
  <c r="C293" i="15"/>
  <c r="N292" i="15"/>
  <c r="O292" i="15" s="1"/>
  <c r="M292" i="15"/>
  <c r="Q291" i="15"/>
  <c r="H291" i="15" s="1"/>
  <c r="I291" i="15"/>
  <c r="J291" i="15" s="1"/>
  <c r="G291" i="15"/>
  <c r="F291" i="15"/>
  <c r="E291" i="15"/>
  <c r="D291" i="15"/>
  <c r="C291" i="15"/>
  <c r="Q290" i="15"/>
  <c r="H290" i="15" s="1"/>
  <c r="I290" i="15"/>
  <c r="J290" i="15" s="1"/>
  <c r="G290" i="15"/>
  <c r="F290" i="15"/>
  <c r="E290" i="15"/>
  <c r="D290" i="15"/>
  <c r="C290" i="15"/>
  <c r="Q289" i="15"/>
  <c r="H289" i="15" s="1"/>
  <c r="I289" i="15"/>
  <c r="J289" i="15" s="1"/>
  <c r="G289" i="15"/>
  <c r="F289" i="15"/>
  <c r="E289" i="15"/>
  <c r="D289" i="15"/>
  <c r="C289" i="15"/>
  <c r="Q288" i="15"/>
  <c r="H288" i="15" s="1"/>
  <c r="I288" i="15"/>
  <c r="J288" i="15" s="1"/>
  <c r="G288" i="15"/>
  <c r="F288" i="15"/>
  <c r="E288" i="15"/>
  <c r="D288" i="15"/>
  <c r="C288" i="15"/>
  <c r="Q287" i="15"/>
  <c r="H287" i="15" s="1"/>
  <c r="I287" i="15"/>
  <c r="J287" i="15" s="1"/>
  <c r="G287" i="15"/>
  <c r="F287" i="15"/>
  <c r="E287" i="15"/>
  <c r="D287" i="15"/>
  <c r="C287" i="15"/>
  <c r="C285" i="15"/>
  <c r="N284" i="15"/>
  <c r="O284" i="15" s="1"/>
  <c r="M284" i="15"/>
  <c r="Q283" i="15"/>
  <c r="H283" i="15" s="1"/>
  <c r="I283" i="15"/>
  <c r="J283" i="15" s="1"/>
  <c r="G283" i="15"/>
  <c r="F283" i="15"/>
  <c r="E283" i="15"/>
  <c r="D283" i="15"/>
  <c r="C283" i="15"/>
  <c r="Q282" i="15"/>
  <c r="H282" i="15" s="1"/>
  <c r="I282" i="15"/>
  <c r="J282" i="15" s="1"/>
  <c r="G282" i="15"/>
  <c r="F282" i="15"/>
  <c r="E282" i="15"/>
  <c r="D282" i="15"/>
  <c r="C282" i="15"/>
  <c r="Q281" i="15"/>
  <c r="H281" i="15" s="1"/>
  <c r="I281" i="15"/>
  <c r="J281" i="15" s="1"/>
  <c r="G281" i="15"/>
  <c r="F281" i="15"/>
  <c r="E281" i="15"/>
  <c r="D281" i="15"/>
  <c r="C281" i="15"/>
  <c r="Q280" i="15"/>
  <c r="H280" i="15" s="1"/>
  <c r="I280" i="15"/>
  <c r="J280" i="15" s="1"/>
  <c r="G280" i="15"/>
  <c r="F280" i="15"/>
  <c r="E280" i="15"/>
  <c r="D280" i="15"/>
  <c r="C280" i="15"/>
  <c r="Q279" i="15"/>
  <c r="H279" i="15" s="1"/>
  <c r="I279" i="15"/>
  <c r="J279" i="15" s="1"/>
  <c r="G279" i="15"/>
  <c r="F279" i="15"/>
  <c r="E279" i="15"/>
  <c r="D279" i="15"/>
  <c r="C279" i="15"/>
  <c r="C277" i="15"/>
  <c r="N276" i="15"/>
  <c r="O276" i="15" s="1"/>
  <c r="M276" i="15"/>
  <c r="Q275" i="15"/>
  <c r="H275" i="15" s="1"/>
  <c r="I275" i="15"/>
  <c r="J275" i="15" s="1"/>
  <c r="G275" i="15"/>
  <c r="F275" i="15"/>
  <c r="E275" i="15"/>
  <c r="D275" i="15"/>
  <c r="C275" i="15"/>
  <c r="Q274" i="15"/>
  <c r="H274" i="15" s="1"/>
  <c r="I274" i="15"/>
  <c r="J274" i="15" s="1"/>
  <c r="G274" i="15"/>
  <c r="F274" i="15"/>
  <c r="E274" i="15"/>
  <c r="D274" i="15"/>
  <c r="C274" i="15"/>
  <c r="Q273" i="15"/>
  <c r="H273" i="15" s="1"/>
  <c r="I273" i="15"/>
  <c r="J273" i="15" s="1"/>
  <c r="G273" i="15"/>
  <c r="F273" i="15"/>
  <c r="E273" i="15"/>
  <c r="D273" i="15"/>
  <c r="C273" i="15"/>
  <c r="Q272" i="15"/>
  <c r="H272" i="15" s="1"/>
  <c r="I272" i="15"/>
  <c r="J272" i="15" s="1"/>
  <c r="G272" i="15"/>
  <c r="F272" i="15"/>
  <c r="E272" i="15"/>
  <c r="D272" i="15"/>
  <c r="C272" i="15"/>
  <c r="Q271" i="15"/>
  <c r="H271" i="15" s="1"/>
  <c r="I271" i="15"/>
  <c r="J271" i="15" s="1"/>
  <c r="G271" i="15"/>
  <c r="F271" i="15"/>
  <c r="E271" i="15"/>
  <c r="D271" i="15"/>
  <c r="C271" i="15"/>
  <c r="O270" i="15"/>
  <c r="N270" i="15"/>
  <c r="M270" i="15"/>
  <c r="L270" i="15"/>
  <c r="K270" i="15"/>
  <c r="J270" i="15"/>
  <c r="I270" i="15"/>
  <c r="H270" i="15"/>
  <c r="G270" i="15"/>
  <c r="F270" i="15"/>
  <c r="E270" i="15"/>
  <c r="D270" i="15"/>
  <c r="C270" i="15"/>
  <c r="A270" i="15"/>
  <c r="O265" i="15"/>
  <c r="C265" i="15"/>
  <c r="C264" i="15"/>
  <c r="N263" i="15"/>
  <c r="O263" i="15" s="1"/>
  <c r="M263" i="15"/>
  <c r="Q262" i="15"/>
  <c r="H262" i="15" s="1"/>
  <c r="I262" i="15"/>
  <c r="J262" i="15" s="1"/>
  <c r="G262" i="15"/>
  <c r="F262" i="15"/>
  <c r="E262" i="15"/>
  <c r="D262" i="15"/>
  <c r="C262" i="15"/>
  <c r="Q261" i="15"/>
  <c r="H261" i="15" s="1"/>
  <c r="I261" i="15"/>
  <c r="J261" i="15" s="1"/>
  <c r="G261" i="15"/>
  <c r="F261" i="15"/>
  <c r="E261" i="15"/>
  <c r="D261" i="15"/>
  <c r="C261" i="15"/>
  <c r="Q260" i="15"/>
  <c r="H260" i="15" s="1"/>
  <c r="I260" i="15"/>
  <c r="J260" i="15" s="1"/>
  <c r="G260" i="15"/>
  <c r="F260" i="15"/>
  <c r="E260" i="15"/>
  <c r="D260" i="15"/>
  <c r="C260" i="15"/>
  <c r="Q259" i="15"/>
  <c r="H259" i="15" s="1"/>
  <c r="I259" i="15"/>
  <c r="J259" i="15" s="1"/>
  <c r="G259" i="15"/>
  <c r="F259" i="15"/>
  <c r="E259" i="15"/>
  <c r="D259" i="15"/>
  <c r="C259" i="15"/>
  <c r="Q258" i="15"/>
  <c r="H258" i="15" s="1"/>
  <c r="I258" i="15"/>
  <c r="J258" i="15" s="1"/>
  <c r="G258" i="15"/>
  <c r="F258" i="15"/>
  <c r="E258" i="15"/>
  <c r="D258" i="15"/>
  <c r="C258" i="15"/>
  <c r="C256" i="15"/>
  <c r="N255" i="15"/>
  <c r="O255" i="15" s="1"/>
  <c r="M255" i="15"/>
  <c r="Q254" i="15"/>
  <c r="H254" i="15" s="1"/>
  <c r="I254" i="15"/>
  <c r="J254" i="15" s="1"/>
  <c r="G254" i="15"/>
  <c r="F254" i="15"/>
  <c r="E254" i="15"/>
  <c r="D254" i="15"/>
  <c r="C254" i="15"/>
  <c r="Q253" i="15"/>
  <c r="H253" i="15" s="1"/>
  <c r="I253" i="15"/>
  <c r="J253" i="15" s="1"/>
  <c r="G253" i="15"/>
  <c r="F253" i="15"/>
  <c r="E253" i="15"/>
  <c r="D253" i="15"/>
  <c r="C253" i="15"/>
  <c r="Q252" i="15"/>
  <c r="H252" i="15" s="1"/>
  <c r="I252" i="15"/>
  <c r="J252" i="15" s="1"/>
  <c r="G252" i="15"/>
  <c r="F252" i="15"/>
  <c r="E252" i="15"/>
  <c r="D252" i="15"/>
  <c r="C252" i="15"/>
  <c r="Q251" i="15"/>
  <c r="H251" i="15" s="1"/>
  <c r="I251" i="15"/>
  <c r="J251" i="15" s="1"/>
  <c r="G251" i="15"/>
  <c r="F251" i="15"/>
  <c r="E251" i="15"/>
  <c r="D251" i="15"/>
  <c r="C251" i="15"/>
  <c r="Q250" i="15"/>
  <c r="H250" i="15" s="1"/>
  <c r="I250" i="15"/>
  <c r="J250" i="15" s="1"/>
  <c r="G250" i="15"/>
  <c r="F250" i="15"/>
  <c r="E250" i="15"/>
  <c r="D250" i="15"/>
  <c r="C250" i="15"/>
  <c r="C248" i="15"/>
  <c r="N247" i="15"/>
  <c r="O247" i="15" s="1"/>
  <c r="M247" i="15"/>
  <c r="Q246" i="15"/>
  <c r="H246" i="15" s="1"/>
  <c r="I246" i="15"/>
  <c r="J246" i="15" s="1"/>
  <c r="G246" i="15"/>
  <c r="F246" i="15"/>
  <c r="E246" i="15"/>
  <c r="D246" i="15"/>
  <c r="C246" i="15"/>
  <c r="Q245" i="15"/>
  <c r="H245" i="15" s="1"/>
  <c r="I245" i="15"/>
  <c r="J245" i="15" s="1"/>
  <c r="G245" i="15"/>
  <c r="F245" i="15"/>
  <c r="E245" i="15"/>
  <c r="D245" i="15"/>
  <c r="C245" i="15"/>
  <c r="Q244" i="15"/>
  <c r="H244" i="15" s="1"/>
  <c r="I244" i="15"/>
  <c r="J244" i="15" s="1"/>
  <c r="G244" i="15"/>
  <c r="F244" i="15"/>
  <c r="E244" i="15"/>
  <c r="D244" i="15"/>
  <c r="C244" i="15"/>
  <c r="Q243" i="15"/>
  <c r="H243" i="15" s="1"/>
  <c r="I243" i="15"/>
  <c r="J243" i="15" s="1"/>
  <c r="G243" i="15"/>
  <c r="F243" i="15"/>
  <c r="E243" i="15"/>
  <c r="D243" i="15"/>
  <c r="C243" i="15"/>
  <c r="Q242" i="15"/>
  <c r="H242" i="15" s="1"/>
  <c r="I242" i="15"/>
  <c r="J242" i="15" s="1"/>
  <c r="G242" i="15"/>
  <c r="F242" i="15"/>
  <c r="E242" i="15"/>
  <c r="D242" i="15"/>
  <c r="C242" i="15"/>
  <c r="C240" i="15"/>
  <c r="N239" i="15"/>
  <c r="O239" i="15" s="1"/>
  <c r="M239" i="15"/>
  <c r="Q238" i="15"/>
  <c r="H238" i="15" s="1"/>
  <c r="I238" i="15"/>
  <c r="J238" i="15" s="1"/>
  <c r="G238" i="15"/>
  <c r="F238" i="15"/>
  <c r="E238" i="15"/>
  <c r="D238" i="15"/>
  <c r="C238" i="15"/>
  <c r="Q237" i="15"/>
  <c r="H237" i="15" s="1"/>
  <c r="I237" i="15"/>
  <c r="J237" i="15" s="1"/>
  <c r="G237" i="15"/>
  <c r="F237" i="15"/>
  <c r="E237" i="15"/>
  <c r="D237" i="15"/>
  <c r="C237" i="15"/>
  <c r="Q236" i="15"/>
  <c r="H236" i="15" s="1"/>
  <c r="I236" i="15"/>
  <c r="J236" i="15" s="1"/>
  <c r="G236" i="15"/>
  <c r="F236" i="15"/>
  <c r="E236" i="15"/>
  <c r="D236" i="15"/>
  <c r="C236" i="15"/>
  <c r="Q235" i="15"/>
  <c r="H235" i="15" s="1"/>
  <c r="I235" i="15"/>
  <c r="J235" i="15" s="1"/>
  <c r="G235" i="15"/>
  <c r="F235" i="15"/>
  <c r="E235" i="15"/>
  <c r="D235" i="15"/>
  <c r="C235" i="15"/>
  <c r="Q234" i="15"/>
  <c r="H234" i="15" s="1"/>
  <c r="I234" i="15"/>
  <c r="J234" i="15" s="1"/>
  <c r="G234" i="15"/>
  <c r="F234" i="15"/>
  <c r="E234" i="15"/>
  <c r="D234" i="15"/>
  <c r="C234" i="15"/>
  <c r="C232" i="15"/>
  <c r="N231" i="15"/>
  <c r="O231" i="15" s="1"/>
  <c r="M231" i="15"/>
  <c r="Q230" i="15"/>
  <c r="H230" i="15" s="1"/>
  <c r="I230" i="15"/>
  <c r="J230" i="15" s="1"/>
  <c r="G230" i="15"/>
  <c r="F230" i="15"/>
  <c r="E230" i="15"/>
  <c r="D230" i="15"/>
  <c r="C230" i="15"/>
  <c r="Q229" i="15"/>
  <c r="H229" i="15" s="1"/>
  <c r="I229" i="15"/>
  <c r="J229" i="15" s="1"/>
  <c r="G229" i="15"/>
  <c r="F229" i="15"/>
  <c r="E229" i="15"/>
  <c r="D229" i="15"/>
  <c r="C229" i="15"/>
  <c r="Q228" i="15"/>
  <c r="H228" i="15" s="1"/>
  <c r="I228" i="15"/>
  <c r="J228" i="15" s="1"/>
  <c r="G228" i="15"/>
  <c r="F228" i="15"/>
  <c r="E228" i="15"/>
  <c r="D228" i="15"/>
  <c r="C228" i="15"/>
  <c r="Q227" i="15"/>
  <c r="H227" i="15" s="1"/>
  <c r="I227" i="15"/>
  <c r="J227" i="15" s="1"/>
  <c r="G227" i="15"/>
  <c r="F227" i="15"/>
  <c r="E227" i="15"/>
  <c r="D227" i="15"/>
  <c r="C227" i="15"/>
  <c r="Q226" i="15"/>
  <c r="H226" i="15" s="1"/>
  <c r="I226" i="15"/>
  <c r="J226" i="15" s="1"/>
  <c r="G226" i="15"/>
  <c r="F226" i="15"/>
  <c r="E226" i="15"/>
  <c r="D226" i="15"/>
  <c r="C226" i="15"/>
  <c r="C224" i="15"/>
  <c r="N223" i="15"/>
  <c r="O223" i="15" s="1"/>
  <c r="M223" i="15"/>
  <c r="Q222" i="15"/>
  <c r="H222" i="15" s="1"/>
  <c r="I222" i="15"/>
  <c r="J222" i="15" s="1"/>
  <c r="G222" i="15"/>
  <c r="F222" i="15"/>
  <c r="E222" i="15"/>
  <c r="D222" i="15"/>
  <c r="C222" i="15"/>
  <c r="Q221" i="15"/>
  <c r="H221" i="15" s="1"/>
  <c r="I221" i="15"/>
  <c r="J221" i="15" s="1"/>
  <c r="G221" i="15"/>
  <c r="F221" i="15"/>
  <c r="E221" i="15"/>
  <c r="D221" i="15"/>
  <c r="C221" i="15"/>
  <c r="Q220" i="15"/>
  <c r="H220" i="15" s="1"/>
  <c r="I220" i="15"/>
  <c r="J220" i="15" s="1"/>
  <c r="G220" i="15"/>
  <c r="F220" i="15"/>
  <c r="E220" i="15"/>
  <c r="D220" i="15"/>
  <c r="C220" i="15"/>
  <c r="Q219" i="15"/>
  <c r="H219" i="15" s="1"/>
  <c r="I219" i="15"/>
  <c r="J219" i="15" s="1"/>
  <c r="G219" i="15"/>
  <c r="F219" i="15"/>
  <c r="E219" i="15"/>
  <c r="D219" i="15"/>
  <c r="C219" i="15"/>
  <c r="Q218" i="15"/>
  <c r="H218" i="15" s="1"/>
  <c r="I218" i="15"/>
  <c r="J218" i="15" s="1"/>
  <c r="G218" i="15"/>
  <c r="F218" i="15"/>
  <c r="E218" i="15"/>
  <c r="D218" i="15"/>
  <c r="C218" i="15"/>
  <c r="C216" i="15"/>
  <c r="N215" i="15"/>
  <c r="O215" i="15" s="1"/>
  <c r="M215" i="15"/>
  <c r="Q214" i="15"/>
  <c r="H214" i="15" s="1"/>
  <c r="I214" i="15"/>
  <c r="J214" i="15" s="1"/>
  <c r="G214" i="15"/>
  <c r="F214" i="15"/>
  <c r="E214" i="15"/>
  <c r="D214" i="15"/>
  <c r="C214" i="15"/>
  <c r="Q213" i="15"/>
  <c r="H213" i="15" s="1"/>
  <c r="I213" i="15"/>
  <c r="J213" i="15" s="1"/>
  <c r="G213" i="15"/>
  <c r="F213" i="15"/>
  <c r="E213" i="15"/>
  <c r="D213" i="15"/>
  <c r="C213" i="15"/>
  <c r="Q212" i="15"/>
  <c r="H212" i="15" s="1"/>
  <c r="J212" i="15"/>
  <c r="I212" i="15"/>
  <c r="G212" i="15"/>
  <c r="F212" i="15"/>
  <c r="E212" i="15"/>
  <c r="D212" i="15"/>
  <c r="C212" i="15"/>
  <c r="Q211" i="15"/>
  <c r="H211" i="15" s="1"/>
  <c r="J211" i="15"/>
  <c r="I211" i="15"/>
  <c r="G211" i="15"/>
  <c r="F211" i="15"/>
  <c r="E211" i="15"/>
  <c r="D211" i="15"/>
  <c r="C211" i="15"/>
  <c r="Q210" i="15"/>
  <c r="H210" i="15" s="1"/>
  <c r="I210" i="15"/>
  <c r="J210" i="15" s="1"/>
  <c r="G210" i="15"/>
  <c r="F210" i="15"/>
  <c r="E210" i="15"/>
  <c r="E216" i="15" s="1"/>
  <c r="U114" i="15" s="1"/>
  <c r="D210" i="15"/>
  <c r="C210" i="15"/>
  <c r="C208" i="15"/>
  <c r="O207" i="15"/>
  <c r="N207" i="15"/>
  <c r="M207" i="15"/>
  <c r="Q206" i="15"/>
  <c r="H206" i="15" s="1"/>
  <c r="I206" i="15"/>
  <c r="J206" i="15" s="1"/>
  <c r="G206" i="15"/>
  <c r="F206" i="15"/>
  <c r="E206" i="15"/>
  <c r="D206" i="15"/>
  <c r="C206" i="15"/>
  <c r="Q205" i="15"/>
  <c r="H205" i="15" s="1"/>
  <c r="I205" i="15"/>
  <c r="J205" i="15" s="1"/>
  <c r="G205" i="15"/>
  <c r="F205" i="15"/>
  <c r="E205" i="15"/>
  <c r="D205" i="15"/>
  <c r="C205" i="15"/>
  <c r="Q204" i="15"/>
  <c r="H204" i="15" s="1"/>
  <c r="I204" i="15"/>
  <c r="J204" i="15" s="1"/>
  <c r="G204" i="15"/>
  <c r="F204" i="15"/>
  <c r="E204" i="15"/>
  <c r="D204" i="15"/>
  <c r="C204" i="15"/>
  <c r="Q203" i="15"/>
  <c r="H203" i="15" s="1"/>
  <c r="I203" i="15"/>
  <c r="J203" i="15" s="1"/>
  <c r="G203" i="15"/>
  <c r="F203" i="15"/>
  <c r="E203" i="15"/>
  <c r="D203" i="15"/>
  <c r="C203" i="15"/>
  <c r="Q202" i="15"/>
  <c r="H202" i="15" s="1"/>
  <c r="J202" i="15"/>
  <c r="I202" i="15"/>
  <c r="G202" i="15"/>
  <c r="F202" i="15"/>
  <c r="E202" i="15"/>
  <c r="D202" i="15"/>
  <c r="C202" i="15"/>
  <c r="C200" i="15"/>
  <c r="N199" i="15"/>
  <c r="O199" i="15" s="1"/>
  <c r="M199" i="15"/>
  <c r="Q198" i="15"/>
  <c r="H198" i="15" s="1"/>
  <c r="I198" i="15"/>
  <c r="J198" i="15" s="1"/>
  <c r="G198" i="15"/>
  <c r="F198" i="15"/>
  <c r="E198" i="15"/>
  <c r="D198" i="15"/>
  <c r="C198" i="15"/>
  <c r="Q197" i="15"/>
  <c r="H197" i="15" s="1"/>
  <c r="I197" i="15"/>
  <c r="J197" i="15" s="1"/>
  <c r="G197" i="15"/>
  <c r="F197" i="15"/>
  <c r="E197" i="15"/>
  <c r="D197" i="15"/>
  <c r="C197" i="15"/>
  <c r="Q196" i="15"/>
  <c r="H196" i="15" s="1"/>
  <c r="I196" i="15"/>
  <c r="J196" i="15" s="1"/>
  <c r="G196" i="15"/>
  <c r="F196" i="15"/>
  <c r="E196" i="15"/>
  <c r="D196" i="15"/>
  <c r="C196" i="15"/>
  <c r="Q195" i="15"/>
  <c r="H195" i="15" s="1"/>
  <c r="I195" i="15"/>
  <c r="J195" i="15" s="1"/>
  <c r="G195" i="15"/>
  <c r="F195" i="15"/>
  <c r="E195" i="15"/>
  <c r="D195" i="15"/>
  <c r="C195" i="15"/>
  <c r="Q194" i="15"/>
  <c r="H194" i="15" s="1"/>
  <c r="I194" i="15"/>
  <c r="J194" i="15" s="1"/>
  <c r="G194" i="15"/>
  <c r="F194" i="15"/>
  <c r="E194" i="15"/>
  <c r="D194" i="15"/>
  <c r="C194" i="15"/>
  <c r="C192" i="15"/>
  <c r="N191" i="15"/>
  <c r="O191" i="15" s="1"/>
  <c r="M191" i="15"/>
  <c r="Q190" i="15"/>
  <c r="H190" i="15" s="1"/>
  <c r="I190" i="15"/>
  <c r="J190" i="15" s="1"/>
  <c r="G190" i="15"/>
  <c r="F190" i="15"/>
  <c r="E190" i="15"/>
  <c r="D190" i="15"/>
  <c r="C190" i="15"/>
  <c r="Q189" i="15"/>
  <c r="H189" i="15" s="1"/>
  <c r="I189" i="15"/>
  <c r="J189" i="15" s="1"/>
  <c r="G189" i="15"/>
  <c r="F189" i="15"/>
  <c r="E189" i="15"/>
  <c r="D189" i="15"/>
  <c r="C189" i="15"/>
  <c r="Q188" i="15"/>
  <c r="H188" i="15" s="1"/>
  <c r="I188" i="15"/>
  <c r="J188" i="15" s="1"/>
  <c r="G188" i="15"/>
  <c r="F188" i="15"/>
  <c r="E188" i="15"/>
  <c r="D188" i="15"/>
  <c r="C188" i="15"/>
  <c r="Q187" i="15"/>
  <c r="H187" i="15" s="1"/>
  <c r="I187" i="15"/>
  <c r="J187" i="15" s="1"/>
  <c r="G187" i="15"/>
  <c r="F187" i="15"/>
  <c r="E187" i="15"/>
  <c r="D187" i="15"/>
  <c r="C187" i="15"/>
  <c r="Q186" i="15"/>
  <c r="H186" i="15" s="1"/>
  <c r="I186" i="15"/>
  <c r="J186" i="15" s="1"/>
  <c r="G186" i="15"/>
  <c r="F186" i="15"/>
  <c r="E186" i="15"/>
  <c r="D186" i="15"/>
  <c r="C186" i="15"/>
  <c r="O185" i="15"/>
  <c r="N185" i="15"/>
  <c r="M185" i="15"/>
  <c r="L185" i="15"/>
  <c r="K185" i="15"/>
  <c r="J185" i="15"/>
  <c r="I185" i="15"/>
  <c r="H185" i="15"/>
  <c r="G185" i="15"/>
  <c r="F185" i="15"/>
  <c r="E185" i="15"/>
  <c r="D185" i="15"/>
  <c r="C185" i="15"/>
  <c r="A185" i="15"/>
  <c r="C180" i="15"/>
  <c r="C179" i="15"/>
  <c r="N178" i="15"/>
  <c r="O178" i="15" s="1"/>
  <c r="M178" i="15"/>
  <c r="Q177" i="15"/>
  <c r="H177" i="15" s="1"/>
  <c r="I177" i="15"/>
  <c r="J177" i="15" s="1"/>
  <c r="G177" i="15"/>
  <c r="F177" i="15"/>
  <c r="E177" i="15"/>
  <c r="D177" i="15"/>
  <c r="C177" i="15"/>
  <c r="Q176" i="15"/>
  <c r="H176" i="15" s="1"/>
  <c r="I176" i="15"/>
  <c r="J176" i="15" s="1"/>
  <c r="G176" i="15"/>
  <c r="F176" i="15"/>
  <c r="E176" i="15"/>
  <c r="D176" i="15"/>
  <c r="C176" i="15"/>
  <c r="Q175" i="15"/>
  <c r="H175" i="15" s="1"/>
  <c r="I175" i="15"/>
  <c r="J175" i="15" s="1"/>
  <c r="G175" i="15"/>
  <c r="F175" i="15"/>
  <c r="E175" i="15"/>
  <c r="D175" i="15"/>
  <c r="C175" i="15"/>
  <c r="Q174" i="15"/>
  <c r="H174" i="15" s="1"/>
  <c r="I174" i="15"/>
  <c r="J174" i="15" s="1"/>
  <c r="G174" i="15"/>
  <c r="F174" i="15"/>
  <c r="E174" i="15"/>
  <c r="D174" i="15"/>
  <c r="C174" i="15"/>
  <c r="Q173" i="15"/>
  <c r="H173" i="15" s="1"/>
  <c r="I173" i="15"/>
  <c r="J173" i="15" s="1"/>
  <c r="G173" i="15"/>
  <c r="F173" i="15"/>
  <c r="E173" i="15"/>
  <c r="D173" i="15"/>
  <c r="C173" i="15"/>
  <c r="C171" i="15"/>
  <c r="N170" i="15"/>
  <c r="O170" i="15" s="1"/>
  <c r="M170" i="15"/>
  <c r="Q169" i="15"/>
  <c r="H169" i="15" s="1"/>
  <c r="I169" i="15"/>
  <c r="J169" i="15" s="1"/>
  <c r="G169" i="15"/>
  <c r="F169" i="15"/>
  <c r="E169" i="15"/>
  <c r="D169" i="15"/>
  <c r="C169" i="15"/>
  <c r="Q168" i="15"/>
  <c r="H168" i="15" s="1"/>
  <c r="I168" i="15"/>
  <c r="J168" i="15" s="1"/>
  <c r="G168" i="15"/>
  <c r="F168" i="15"/>
  <c r="E168" i="15"/>
  <c r="D168" i="15"/>
  <c r="C168" i="15"/>
  <c r="Q167" i="15"/>
  <c r="H167" i="15" s="1"/>
  <c r="I167" i="15"/>
  <c r="J167" i="15" s="1"/>
  <c r="G167" i="15"/>
  <c r="F167" i="15"/>
  <c r="E167" i="15"/>
  <c r="D167" i="15"/>
  <c r="C167" i="15"/>
  <c r="Q166" i="15"/>
  <c r="H166" i="15" s="1"/>
  <c r="I166" i="15"/>
  <c r="J166" i="15" s="1"/>
  <c r="G166" i="15"/>
  <c r="F166" i="15"/>
  <c r="E166" i="15"/>
  <c r="D166" i="15"/>
  <c r="C166" i="15"/>
  <c r="Q165" i="15"/>
  <c r="H165" i="15" s="1"/>
  <c r="I165" i="15"/>
  <c r="J165" i="15" s="1"/>
  <c r="G165" i="15"/>
  <c r="F165" i="15"/>
  <c r="E165" i="15"/>
  <c r="D165" i="15"/>
  <c r="C165" i="15"/>
  <c r="C163" i="15"/>
  <c r="N162" i="15"/>
  <c r="O162" i="15" s="1"/>
  <c r="M162" i="15"/>
  <c r="Q161" i="15"/>
  <c r="H161" i="15" s="1"/>
  <c r="I161" i="15"/>
  <c r="J161" i="15" s="1"/>
  <c r="G161" i="15"/>
  <c r="F161" i="15"/>
  <c r="E161" i="15"/>
  <c r="D161" i="15"/>
  <c r="C161" i="15"/>
  <c r="Q160" i="15"/>
  <c r="H160" i="15" s="1"/>
  <c r="I160" i="15"/>
  <c r="J160" i="15" s="1"/>
  <c r="G160" i="15"/>
  <c r="F160" i="15"/>
  <c r="E160" i="15"/>
  <c r="D160" i="15"/>
  <c r="C160" i="15"/>
  <c r="Q159" i="15"/>
  <c r="H159" i="15" s="1"/>
  <c r="I159" i="15"/>
  <c r="J159" i="15" s="1"/>
  <c r="G159" i="15"/>
  <c r="F159" i="15"/>
  <c r="E159" i="15"/>
  <c r="D159" i="15"/>
  <c r="C159" i="15"/>
  <c r="Q158" i="15"/>
  <c r="H158" i="15" s="1"/>
  <c r="I158" i="15"/>
  <c r="J158" i="15" s="1"/>
  <c r="G158" i="15"/>
  <c r="F158" i="15"/>
  <c r="E158" i="15"/>
  <c r="D158" i="15"/>
  <c r="C158" i="15"/>
  <c r="Q157" i="15"/>
  <c r="H157" i="15" s="1"/>
  <c r="I157" i="15"/>
  <c r="J157" i="15" s="1"/>
  <c r="G157" i="15"/>
  <c r="F157" i="15"/>
  <c r="E157" i="15"/>
  <c r="D157" i="15"/>
  <c r="C157" i="15"/>
  <c r="C155" i="15"/>
  <c r="N154" i="15"/>
  <c r="O154" i="15" s="1"/>
  <c r="M154" i="15"/>
  <c r="Q153" i="15"/>
  <c r="H153" i="15" s="1"/>
  <c r="I153" i="15"/>
  <c r="J153" i="15" s="1"/>
  <c r="G153" i="15"/>
  <c r="F153" i="15"/>
  <c r="E153" i="15"/>
  <c r="D153" i="15"/>
  <c r="C153" i="15"/>
  <c r="Q152" i="15"/>
  <c r="H152" i="15" s="1"/>
  <c r="I152" i="15"/>
  <c r="J152" i="15" s="1"/>
  <c r="G152" i="15"/>
  <c r="F152" i="15"/>
  <c r="E152" i="15"/>
  <c r="D152" i="15"/>
  <c r="C152" i="15"/>
  <c r="Q151" i="15"/>
  <c r="H151" i="15" s="1"/>
  <c r="I151" i="15"/>
  <c r="J151" i="15" s="1"/>
  <c r="G151" i="15"/>
  <c r="F151" i="15"/>
  <c r="E151" i="15"/>
  <c r="D151" i="15"/>
  <c r="C151" i="15"/>
  <c r="Q150" i="15"/>
  <c r="H150" i="15" s="1"/>
  <c r="I150" i="15"/>
  <c r="J150" i="15" s="1"/>
  <c r="G150" i="15"/>
  <c r="F150" i="15"/>
  <c r="E150" i="15"/>
  <c r="D150" i="15"/>
  <c r="C150" i="15"/>
  <c r="Q149" i="15"/>
  <c r="H149" i="15" s="1"/>
  <c r="I149" i="15"/>
  <c r="J149" i="15" s="1"/>
  <c r="G149" i="15"/>
  <c r="F149" i="15"/>
  <c r="E149" i="15"/>
  <c r="D149" i="15"/>
  <c r="C149" i="15"/>
  <c r="C147" i="15"/>
  <c r="N146" i="15"/>
  <c r="O146" i="15" s="1"/>
  <c r="M146" i="15"/>
  <c r="Q145" i="15"/>
  <c r="H145" i="15" s="1"/>
  <c r="I145" i="15"/>
  <c r="J145" i="15" s="1"/>
  <c r="G145" i="15"/>
  <c r="F145" i="15"/>
  <c r="E145" i="15"/>
  <c r="D145" i="15"/>
  <c r="C145" i="15"/>
  <c r="Q144" i="15"/>
  <c r="H144" i="15" s="1"/>
  <c r="I144" i="15"/>
  <c r="J144" i="15" s="1"/>
  <c r="G144" i="15"/>
  <c r="F144" i="15"/>
  <c r="E144" i="15"/>
  <c r="D144" i="15"/>
  <c r="C144" i="15"/>
  <c r="Q143" i="15"/>
  <c r="H143" i="15" s="1"/>
  <c r="I143" i="15"/>
  <c r="J143" i="15" s="1"/>
  <c r="G143" i="15"/>
  <c r="F143" i="15"/>
  <c r="E143" i="15"/>
  <c r="D143" i="15"/>
  <c r="C143" i="15"/>
  <c r="Q142" i="15"/>
  <c r="H142" i="15" s="1"/>
  <c r="I142" i="15"/>
  <c r="J142" i="15" s="1"/>
  <c r="G142" i="15"/>
  <c r="F142" i="15"/>
  <c r="E142" i="15"/>
  <c r="D142" i="15"/>
  <c r="C142" i="15"/>
  <c r="Q141" i="15"/>
  <c r="H141" i="15" s="1"/>
  <c r="I141" i="15"/>
  <c r="J141" i="15" s="1"/>
  <c r="G141" i="15"/>
  <c r="F141" i="15"/>
  <c r="E141" i="15"/>
  <c r="D141" i="15"/>
  <c r="C141" i="15"/>
  <c r="C139" i="15"/>
  <c r="N138" i="15"/>
  <c r="O138" i="15" s="1"/>
  <c r="M138" i="15"/>
  <c r="Q137" i="15"/>
  <c r="H137" i="15" s="1"/>
  <c r="I137" i="15"/>
  <c r="J137" i="15" s="1"/>
  <c r="G137" i="15"/>
  <c r="F137" i="15"/>
  <c r="E137" i="15"/>
  <c r="D137" i="15"/>
  <c r="C137" i="15"/>
  <c r="Q136" i="15"/>
  <c r="H136" i="15" s="1"/>
  <c r="I136" i="15"/>
  <c r="J136" i="15" s="1"/>
  <c r="G136" i="15"/>
  <c r="F136" i="15"/>
  <c r="E136" i="15"/>
  <c r="D136" i="15"/>
  <c r="C136" i="15"/>
  <c r="Q135" i="15"/>
  <c r="H135" i="15" s="1"/>
  <c r="I135" i="15"/>
  <c r="J135" i="15" s="1"/>
  <c r="G135" i="15"/>
  <c r="F135" i="15"/>
  <c r="E135" i="15"/>
  <c r="D135" i="15"/>
  <c r="C135" i="15"/>
  <c r="Q134" i="15"/>
  <c r="H134" i="15" s="1"/>
  <c r="I134" i="15"/>
  <c r="J134" i="15" s="1"/>
  <c r="G134" i="15"/>
  <c r="F134" i="15"/>
  <c r="E134" i="15"/>
  <c r="D134" i="15"/>
  <c r="C134" i="15"/>
  <c r="Q133" i="15"/>
  <c r="H133" i="15" s="1"/>
  <c r="I133" i="15"/>
  <c r="J133" i="15" s="1"/>
  <c r="G133" i="15"/>
  <c r="F133" i="15"/>
  <c r="E133" i="15"/>
  <c r="D133" i="15"/>
  <c r="C133" i="15"/>
  <c r="C131" i="15"/>
  <c r="N130" i="15"/>
  <c r="O130" i="15" s="1"/>
  <c r="M130" i="15"/>
  <c r="Q129" i="15"/>
  <c r="H129" i="15" s="1"/>
  <c r="I129" i="15"/>
  <c r="J129" i="15" s="1"/>
  <c r="G129" i="15"/>
  <c r="F129" i="15"/>
  <c r="E129" i="15"/>
  <c r="D129" i="15"/>
  <c r="C129" i="15"/>
  <c r="Q128" i="15"/>
  <c r="H128" i="15" s="1"/>
  <c r="I128" i="15"/>
  <c r="J128" i="15" s="1"/>
  <c r="G128" i="15"/>
  <c r="F128" i="15"/>
  <c r="E128" i="15"/>
  <c r="D128" i="15"/>
  <c r="C128" i="15"/>
  <c r="Q127" i="15"/>
  <c r="H127" i="15" s="1"/>
  <c r="I127" i="15"/>
  <c r="J127" i="15" s="1"/>
  <c r="G127" i="15"/>
  <c r="F127" i="15"/>
  <c r="E127" i="15"/>
  <c r="D127" i="15"/>
  <c r="C127" i="15"/>
  <c r="Q126" i="15"/>
  <c r="H126" i="15" s="1"/>
  <c r="I126" i="15"/>
  <c r="J126" i="15" s="1"/>
  <c r="G126" i="15"/>
  <c r="F126" i="15"/>
  <c r="E126" i="15"/>
  <c r="D126" i="15"/>
  <c r="C126" i="15"/>
  <c r="Q125" i="15"/>
  <c r="H125" i="15" s="1"/>
  <c r="I125" i="15"/>
  <c r="J125" i="15" s="1"/>
  <c r="G125" i="15"/>
  <c r="F125" i="15"/>
  <c r="E125" i="15"/>
  <c r="D125" i="15"/>
  <c r="C125" i="15"/>
  <c r="C123" i="15"/>
  <c r="N122" i="15"/>
  <c r="O122" i="15" s="1"/>
  <c r="M122" i="15"/>
  <c r="Q121" i="15"/>
  <c r="H121" i="15" s="1"/>
  <c r="I121" i="15"/>
  <c r="J121" i="15" s="1"/>
  <c r="G121" i="15"/>
  <c r="F121" i="15"/>
  <c r="E121" i="15"/>
  <c r="D121" i="15"/>
  <c r="C121" i="15"/>
  <c r="Q120" i="15"/>
  <c r="H120" i="15" s="1"/>
  <c r="I120" i="15"/>
  <c r="J120" i="15" s="1"/>
  <c r="G120" i="15"/>
  <c r="F120" i="15"/>
  <c r="E120" i="15"/>
  <c r="D120" i="15"/>
  <c r="C120" i="15"/>
  <c r="Q119" i="15"/>
  <c r="I119" i="15"/>
  <c r="J119" i="15" s="1"/>
  <c r="H119" i="15"/>
  <c r="G119" i="15"/>
  <c r="F119" i="15"/>
  <c r="E119" i="15"/>
  <c r="D119" i="15"/>
  <c r="C119" i="15"/>
  <c r="Q118" i="15"/>
  <c r="H118" i="15" s="1"/>
  <c r="I118" i="15"/>
  <c r="J118" i="15" s="1"/>
  <c r="G118" i="15"/>
  <c r="F118" i="15"/>
  <c r="E118" i="15"/>
  <c r="D118" i="15"/>
  <c r="C118" i="15"/>
  <c r="Q117" i="15"/>
  <c r="H117" i="15" s="1"/>
  <c r="I117" i="15"/>
  <c r="J117" i="15" s="1"/>
  <c r="G117" i="15"/>
  <c r="F117" i="15"/>
  <c r="E117" i="15"/>
  <c r="D117" i="15"/>
  <c r="C117" i="15"/>
  <c r="C115" i="15"/>
  <c r="N114" i="15"/>
  <c r="O114" i="15" s="1"/>
  <c r="M114" i="15"/>
  <c r="Q113" i="15"/>
  <c r="H113" i="15" s="1"/>
  <c r="I113" i="15"/>
  <c r="J113" i="15" s="1"/>
  <c r="G113" i="15"/>
  <c r="F113" i="15"/>
  <c r="E113" i="15"/>
  <c r="D113" i="15"/>
  <c r="C113" i="15"/>
  <c r="Q112" i="15"/>
  <c r="H112" i="15" s="1"/>
  <c r="I112" i="15"/>
  <c r="J112" i="15" s="1"/>
  <c r="G112" i="15"/>
  <c r="F112" i="15"/>
  <c r="E112" i="15"/>
  <c r="D112" i="15"/>
  <c r="C112" i="15"/>
  <c r="Q111" i="15"/>
  <c r="H111" i="15" s="1"/>
  <c r="I111" i="15"/>
  <c r="J111" i="15" s="1"/>
  <c r="G111" i="15"/>
  <c r="F111" i="15"/>
  <c r="E111" i="15"/>
  <c r="D111" i="15"/>
  <c r="C111" i="15"/>
  <c r="Q110" i="15"/>
  <c r="H110" i="15" s="1"/>
  <c r="I110" i="15"/>
  <c r="J110" i="15" s="1"/>
  <c r="G110" i="15"/>
  <c r="F110" i="15"/>
  <c r="E110" i="15"/>
  <c r="D110" i="15"/>
  <c r="C110" i="15"/>
  <c r="Q109" i="15"/>
  <c r="H109" i="15" s="1"/>
  <c r="I109" i="15"/>
  <c r="J109" i="15" s="1"/>
  <c r="G109" i="15"/>
  <c r="F109" i="15"/>
  <c r="E109" i="15"/>
  <c r="D109" i="15"/>
  <c r="C109" i="15"/>
  <c r="N106" i="15"/>
  <c r="O106" i="15" s="1"/>
  <c r="M106" i="15"/>
  <c r="Q105" i="15"/>
  <c r="H105" i="15" s="1"/>
  <c r="I105" i="15"/>
  <c r="J105" i="15" s="1"/>
  <c r="G105" i="15"/>
  <c r="F105" i="15"/>
  <c r="E105" i="15"/>
  <c r="Q104" i="15"/>
  <c r="H104" i="15" s="1"/>
  <c r="I104" i="15"/>
  <c r="J104" i="15" s="1"/>
  <c r="G104" i="15"/>
  <c r="F104" i="15"/>
  <c r="E104" i="15"/>
  <c r="Q103" i="15"/>
  <c r="H103" i="15" s="1"/>
  <c r="J103" i="15"/>
  <c r="G103" i="15"/>
  <c r="F103" i="15"/>
  <c r="E103" i="15"/>
  <c r="Q102" i="15"/>
  <c r="H102" i="15" s="1"/>
  <c r="J102" i="15"/>
  <c r="G102" i="15"/>
  <c r="F102" i="15"/>
  <c r="E102" i="15"/>
  <c r="Q101" i="15"/>
  <c r="H101" i="15" s="1"/>
  <c r="J101" i="15"/>
  <c r="G101" i="15"/>
  <c r="F101" i="15"/>
  <c r="E101" i="15"/>
  <c r="O97" i="15"/>
  <c r="O267" i="15" s="1"/>
  <c r="M97" i="15"/>
  <c r="G95" i="15"/>
  <c r="A93" i="15"/>
  <c r="A63" i="15"/>
  <c r="DF45" i="15"/>
  <c r="DE45" i="15"/>
  <c r="DD45" i="15"/>
  <c r="DC45" i="15"/>
  <c r="DB45" i="15"/>
  <c r="CZ45" i="15"/>
  <c r="CX45" i="15"/>
  <c r="CW45" i="15"/>
  <c r="CV45" i="15"/>
  <c r="CU45" i="15"/>
  <c r="CT45" i="15"/>
  <c r="CS45" i="15"/>
  <c r="CR45" i="15"/>
  <c r="CQ45" i="15"/>
  <c r="CP45" i="15"/>
  <c r="CO45" i="15"/>
  <c r="CN45" i="15"/>
  <c r="CM45" i="15"/>
  <c r="CL45" i="15"/>
  <c r="CK45" i="15"/>
  <c r="CJ45" i="15"/>
  <c r="CE45" i="15"/>
  <c r="CD45" i="15"/>
  <c r="CC45" i="15"/>
  <c r="CB45" i="15"/>
  <c r="CA45" i="15"/>
  <c r="DF44" i="15"/>
  <c r="DE44" i="15"/>
  <c r="DD44" i="15"/>
  <c r="DC44" i="15"/>
  <c r="DB44" i="15"/>
  <c r="CZ44" i="15"/>
  <c r="CX44" i="15"/>
  <c r="CW44" i="15"/>
  <c r="CV44" i="15"/>
  <c r="CU44" i="15"/>
  <c r="CT44" i="15"/>
  <c r="CS44" i="15"/>
  <c r="CR44" i="15"/>
  <c r="CQ44" i="15"/>
  <c r="CP44" i="15"/>
  <c r="CO44" i="15"/>
  <c r="CN44" i="15"/>
  <c r="CM44" i="15"/>
  <c r="CL44" i="15"/>
  <c r="CK44" i="15"/>
  <c r="CJ44" i="15"/>
  <c r="CE44" i="15"/>
  <c r="CD44" i="15"/>
  <c r="CC44" i="15"/>
  <c r="CB44" i="15"/>
  <c r="CA44" i="15"/>
  <c r="DF43" i="15"/>
  <c r="DE43" i="15"/>
  <c r="DD43" i="15"/>
  <c r="DC43" i="15"/>
  <c r="DB43" i="15"/>
  <c r="CZ43" i="15"/>
  <c r="CX43" i="15"/>
  <c r="CW43" i="15"/>
  <c r="CV43" i="15"/>
  <c r="CU43" i="15"/>
  <c r="CT43" i="15"/>
  <c r="CS43" i="15"/>
  <c r="CR43" i="15"/>
  <c r="CQ43" i="15"/>
  <c r="CP43" i="15"/>
  <c r="CO43" i="15"/>
  <c r="CN43" i="15"/>
  <c r="CM43" i="15"/>
  <c r="CL43" i="15"/>
  <c r="CK43" i="15"/>
  <c r="CJ43" i="15"/>
  <c r="CE43" i="15"/>
  <c r="CD43" i="15"/>
  <c r="CC43" i="15"/>
  <c r="CB43" i="15"/>
  <c r="CA43" i="15"/>
  <c r="DF42" i="15"/>
  <c r="DE42" i="15"/>
  <c r="DD42" i="15"/>
  <c r="DC42" i="15"/>
  <c r="DB42" i="15"/>
  <c r="CZ42" i="15"/>
  <c r="CX42" i="15"/>
  <c r="CW42" i="15"/>
  <c r="CU42" i="15"/>
  <c r="CT42" i="15"/>
  <c r="CS42" i="15"/>
  <c r="CR42" i="15"/>
  <c r="CQ42" i="15"/>
  <c r="CP42" i="15"/>
  <c r="CO42" i="15"/>
  <c r="CN42" i="15"/>
  <c r="CM42" i="15"/>
  <c r="CL42" i="15"/>
  <c r="CK42" i="15"/>
  <c r="CJ42" i="15"/>
  <c r="CE42" i="15"/>
  <c r="CD42" i="15"/>
  <c r="CC42" i="15"/>
  <c r="CB42" i="15"/>
  <c r="CA42" i="15"/>
  <c r="X46" i="2"/>
  <c r="P46" i="2"/>
  <c r="Y45" i="2"/>
  <c r="U45" i="2"/>
  <c r="Q45" i="2"/>
  <c r="Z44" i="2"/>
  <c r="V44" i="2"/>
  <c r="R44" i="2"/>
  <c r="AA43" i="2"/>
  <c r="W43" i="2"/>
  <c r="S43" i="2"/>
  <c r="O43" i="2"/>
  <c r="X42" i="2"/>
  <c r="P42" i="2"/>
  <c r="Y41" i="2"/>
  <c r="U41" i="2"/>
  <c r="Q41" i="2"/>
  <c r="Z40" i="2"/>
  <c r="V40" i="2"/>
  <c r="R40" i="2"/>
  <c r="AA39" i="2"/>
  <c r="W39" i="2"/>
  <c r="S39" i="2"/>
  <c r="O39" i="2"/>
  <c r="X38" i="2"/>
  <c r="P38" i="2"/>
  <c r="Y37" i="2"/>
  <c r="U37" i="2"/>
  <c r="Q37" i="2"/>
  <c r="Z36" i="2"/>
  <c r="V36" i="2"/>
  <c r="R36" i="2"/>
  <c r="AA35" i="2"/>
  <c r="W35" i="2"/>
  <c r="S35" i="2"/>
  <c r="O35" i="2"/>
  <c r="X34" i="2"/>
  <c r="P34" i="2"/>
  <c r="Y33" i="2"/>
  <c r="U33" i="2"/>
  <c r="Q33" i="2"/>
  <c r="Z32" i="2"/>
  <c r="V32" i="2"/>
  <c r="R32" i="2"/>
  <c r="AA31" i="2"/>
  <c r="W31" i="2"/>
  <c r="S31" i="2"/>
  <c r="O31" i="2"/>
  <c r="X30" i="2"/>
  <c r="P30" i="2"/>
  <c r="Y29" i="2"/>
  <c r="U29" i="2"/>
  <c r="Q29" i="2"/>
  <c r="Z28" i="2"/>
  <c r="V28" i="2"/>
  <c r="R28" i="2"/>
  <c r="AA27" i="2"/>
  <c r="W27" i="2"/>
  <c r="S27" i="2"/>
  <c r="O27" i="2"/>
  <c r="X26" i="2"/>
  <c r="P26" i="2"/>
  <c r="Y25" i="2"/>
  <c r="U25" i="2"/>
  <c r="Q25" i="2"/>
  <c r="Z24" i="2"/>
  <c r="V24" i="2"/>
  <c r="R24" i="2"/>
  <c r="AA23" i="2"/>
  <c r="W23" i="2"/>
  <c r="S23" i="2"/>
  <c r="O23" i="2"/>
  <c r="X22" i="2"/>
  <c r="P22" i="2"/>
  <c r="Y21" i="2"/>
  <c r="U21" i="2"/>
  <c r="Q21" i="2"/>
  <c r="Z20" i="2"/>
  <c r="V20" i="2"/>
  <c r="R20" i="2"/>
  <c r="AA19" i="2"/>
  <c r="W19" i="2"/>
  <c r="S19" i="2"/>
  <c r="O19" i="2"/>
  <c r="X18" i="2"/>
  <c r="AJ50" i="2"/>
  <c r="AF48" i="2"/>
  <c r="AO50" i="2"/>
  <c r="AK50" i="2"/>
  <c r="AG50" i="2"/>
  <c r="AP48" i="2"/>
  <c r="AL49" i="2" a="1"/>
  <c r="AL49" i="2" s="1"/>
  <c r="AH48" i="2"/>
  <c r="AA46" i="2"/>
  <c r="Z46" i="2"/>
  <c r="Y46" i="2"/>
  <c r="W46" i="2"/>
  <c r="V46" i="2"/>
  <c r="U46" i="2"/>
  <c r="S46" i="2"/>
  <c r="R46" i="2"/>
  <c r="Q46" i="2"/>
  <c r="O46" i="2"/>
  <c r="AA45" i="2"/>
  <c r="Z45" i="2"/>
  <c r="X45" i="2"/>
  <c r="W45" i="2"/>
  <c r="V45" i="2"/>
  <c r="S45" i="2"/>
  <c r="R45" i="2"/>
  <c r="P45" i="2"/>
  <c r="O45" i="2"/>
  <c r="AA44" i="2"/>
  <c r="Y44" i="2"/>
  <c r="X44" i="2"/>
  <c r="W44" i="2"/>
  <c r="U44" i="2"/>
  <c r="S44" i="2"/>
  <c r="Q44" i="2"/>
  <c r="P44" i="2"/>
  <c r="O44" i="2"/>
  <c r="Z43" i="2"/>
  <c r="Y43" i="2"/>
  <c r="X43" i="2"/>
  <c r="V43" i="2"/>
  <c r="U43" i="2"/>
  <c r="R43" i="2"/>
  <c r="Q43" i="2"/>
  <c r="P43" i="2"/>
  <c r="AA42" i="2"/>
  <c r="Z42" i="2"/>
  <c r="Y42" i="2"/>
  <c r="W42" i="2"/>
  <c r="V42" i="2"/>
  <c r="U42" i="2"/>
  <c r="S42" i="2"/>
  <c r="R42" i="2"/>
  <c r="Q42" i="2"/>
  <c r="O42" i="2"/>
  <c r="AA41" i="2"/>
  <c r="Z41" i="2"/>
  <c r="X41" i="2"/>
  <c r="W41" i="2"/>
  <c r="V41" i="2"/>
  <c r="S41" i="2"/>
  <c r="R41" i="2"/>
  <c r="P41" i="2"/>
  <c r="O41" i="2"/>
  <c r="AA40" i="2"/>
  <c r="Y40" i="2"/>
  <c r="X40" i="2"/>
  <c r="W40" i="2"/>
  <c r="U40" i="2"/>
  <c r="S40" i="2"/>
  <c r="Q40" i="2"/>
  <c r="P40" i="2"/>
  <c r="O40" i="2"/>
  <c r="Z39" i="2"/>
  <c r="Y39" i="2"/>
  <c r="X39" i="2"/>
  <c r="V39" i="2"/>
  <c r="U39" i="2"/>
  <c r="R39" i="2"/>
  <c r="Q39" i="2"/>
  <c r="P39" i="2"/>
  <c r="AA38" i="2"/>
  <c r="Z38" i="2"/>
  <c r="Y38" i="2"/>
  <c r="W38" i="2"/>
  <c r="V38" i="2"/>
  <c r="U38" i="2"/>
  <c r="S38" i="2"/>
  <c r="R38" i="2"/>
  <c r="Q38" i="2"/>
  <c r="O38" i="2"/>
  <c r="AA37" i="2"/>
  <c r="Z37" i="2"/>
  <c r="X37" i="2"/>
  <c r="W37" i="2"/>
  <c r="V37" i="2"/>
  <c r="S37" i="2"/>
  <c r="R37" i="2"/>
  <c r="P37" i="2"/>
  <c r="O37" i="2"/>
  <c r="AA36" i="2"/>
  <c r="Y36" i="2"/>
  <c r="X36" i="2"/>
  <c r="W36" i="2"/>
  <c r="U36" i="2"/>
  <c r="S36" i="2"/>
  <c r="Q36" i="2"/>
  <c r="P36" i="2"/>
  <c r="O36" i="2"/>
  <c r="Z35" i="2"/>
  <c r="Y35" i="2"/>
  <c r="X35" i="2"/>
  <c r="V35" i="2"/>
  <c r="U35" i="2"/>
  <c r="R35" i="2"/>
  <c r="Q35" i="2"/>
  <c r="P35" i="2"/>
  <c r="AA34" i="2"/>
  <c r="Z34" i="2"/>
  <c r="Y34" i="2"/>
  <c r="W34" i="2"/>
  <c r="V34" i="2"/>
  <c r="U34" i="2"/>
  <c r="S34" i="2"/>
  <c r="R34" i="2"/>
  <c r="Q34" i="2"/>
  <c r="O34" i="2"/>
  <c r="AA33" i="2"/>
  <c r="Z33" i="2"/>
  <c r="X33" i="2"/>
  <c r="W33" i="2"/>
  <c r="V33" i="2"/>
  <c r="S33" i="2"/>
  <c r="R33" i="2"/>
  <c r="P33" i="2"/>
  <c r="O33" i="2"/>
  <c r="AA32" i="2"/>
  <c r="Y32" i="2"/>
  <c r="X32" i="2"/>
  <c r="W32" i="2"/>
  <c r="U32" i="2"/>
  <c r="S32" i="2"/>
  <c r="Q32" i="2"/>
  <c r="P32" i="2"/>
  <c r="O32" i="2"/>
  <c r="Z31" i="2"/>
  <c r="Y31" i="2"/>
  <c r="X31" i="2"/>
  <c r="V31" i="2"/>
  <c r="U31" i="2"/>
  <c r="R31" i="2"/>
  <c r="Q31" i="2"/>
  <c r="P31" i="2"/>
  <c r="AA30" i="2"/>
  <c r="Z30" i="2"/>
  <c r="Y30" i="2"/>
  <c r="W30" i="2"/>
  <c r="V30" i="2"/>
  <c r="U30" i="2"/>
  <c r="S30" i="2"/>
  <c r="R30" i="2"/>
  <c r="Q30" i="2"/>
  <c r="O30" i="2"/>
  <c r="AA29" i="2"/>
  <c r="Z29" i="2"/>
  <c r="X29" i="2"/>
  <c r="W29" i="2"/>
  <c r="V29" i="2"/>
  <c r="S29" i="2"/>
  <c r="R29" i="2"/>
  <c r="P29" i="2"/>
  <c r="O29" i="2"/>
  <c r="AA28" i="2"/>
  <c r="Y28" i="2"/>
  <c r="X28" i="2"/>
  <c r="W28" i="2"/>
  <c r="U28" i="2"/>
  <c r="S28" i="2"/>
  <c r="Q28" i="2"/>
  <c r="P28" i="2"/>
  <c r="O28" i="2"/>
  <c r="Z27" i="2"/>
  <c r="Y27" i="2"/>
  <c r="X27" i="2"/>
  <c r="V27" i="2"/>
  <c r="U27" i="2"/>
  <c r="R27" i="2"/>
  <c r="Q27" i="2"/>
  <c r="P27" i="2"/>
  <c r="AA26" i="2"/>
  <c r="Z26" i="2"/>
  <c r="Y26" i="2"/>
  <c r="W26" i="2"/>
  <c r="V26" i="2"/>
  <c r="U26" i="2"/>
  <c r="S26" i="2"/>
  <c r="R26" i="2"/>
  <c r="Q26" i="2"/>
  <c r="O26" i="2"/>
  <c r="AA25" i="2"/>
  <c r="Z25" i="2"/>
  <c r="X25" i="2"/>
  <c r="W25" i="2"/>
  <c r="V25" i="2"/>
  <c r="S25" i="2"/>
  <c r="R25" i="2"/>
  <c r="P25" i="2"/>
  <c r="O25" i="2"/>
  <c r="AA24" i="2"/>
  <c r="Y24" i="2"/>
  <c r="X24" i="2"/>
  <c r="W24" i="2"/>
  <c r="U24" i="2"/>
  <c r="S24" i="2"/>
  <c r="Q24" i="2"/>
  <c r="P24" i="2"/>
  <c r="O24" i="2"/>
  <c r="Z23" i="2"/>
  <c r="Y23" i="2"/>
  <c r="X23" i="2"/>
  <c r="V23" i="2"/>
  <c r="U23" i="2"/>
  <c r="R23" i="2"/>
  <c r="Q23" i="2"/>
  <c r="P23" i="2"/>
  <c r="AA22" i="2"/>
  <c r="Z22" i="2"/>
  <c r="Y22" i="2"/>
  <c r="W22" i="2"/>
  <c r="V22" i="2"/>
  <c r="U22" i="2"/>
  <c r="S22" i="2"/>
  <c r="R22" i="2"/>
  <c r="Q22" i="2"/>
  <c r="O22" i="2"/>
  <c r="AA21" i="2"/>
  <c r="Z21" i="2"/>
  <c r="X21" i="2"/>
  <c r="W21" i="2"/>
  <c r="V21" i="2"/>
  <c r="S21" i="2"/>
  <c r="R21" i="2"/>
  <c r="P21" i="2"/>
  <c r="O21" i="2"/>
  <c r="AA20" i="2"/>
  <c r="Y20" i="2"/>
  <c r="X20" i="2"/>
  <c r="W20" i="2"/>
  <c r="U20" i="2"/>
  <c r="S20" i="2"/>
  <c r="Q20" i="2"/>
  <c r="P20" i="2"/>
  <c r="O20" i="2"/>
  <c r="Z19" i="2"/>
  <c r="Y19" i="2"/>
  <c r="X19" i="2"/>
  <c r="V19" i="2"/>
  <c r="U19" i="2"/>
  <c r="R19" i="2"/>
  <c r="Q19" i="2"/>
  <c r="P19" i="2"/>
  <c r="AA18" i="2"/>
  <c r="Z18" i="2"/>
  <c r="Y18" i="2"/>
  <c r="W18" i="2"/>
  <c r="V18" i="2"/>
  <c r="U18" i="2"/>
  <c r="S18" i="2"/>
  <c r="R18" i="2"/>
  <c r="Q18" i="2"/>
  <c r="O18" i="2"/>
  <c r="AA17" i="2"/>
  <c r="Z17" i="2"/>
  <c r="X17" i="2"/>
  <c r="W17" i="2"/>
  <c r="V17" i="2"/>
  <c r="S17" i="2"/>
  <c r="R17" i="2"/>
  <c r="P17" i="2"/>
  <c r="O17" i="2"/>
  <c r="AA16" i="2"/>
  <c r="Y16" i="2"/>
  <c r="X16" i="2"/>
  <c r="W16" i="2"/>
  <c r="U16" i="2"/>
  <c r="S16" i="2"/>
  <c r="Q16" i="2"/>
  <c r="P16" i="2"/>
  <c r="O16" i="2"/>
  <c r="J50" i="2"/>
  <c r="F49" i="2" a="1"/>
  <c r="F49" i="2" s="1"/>
  <c r="B50" i="2"/>
  <c r="I50" i="2"/>
  <c r="E49" i="2" a="1"/>
  <c r="E49" i="2" s="1"/>
  <c r="L48" i="2"/>
  <c r="D48" i="2"/>
  <c r="K50" i="2"/>
  <c r="G50" i="2"/>
  <c r="C50" i="2"/>
  <c r="AR13" i="2"/>
  <c r="AR11" i="2"/>
  <c r="AR9" i="2"/>
  <c r="AR8" i="2"/>
  <c r="AR50" i="2"/>
  <c r="AR49" i="2" a="1"/>
  <c r="AR49" i="2" s="1"/>
  <c r="AR48" i="2"/>
  <c r="AR47" i="2" a="1"/>
  <c r="AR47" i="2" s="1"/>
  <c r="AP50" i="2"/>
  <c r="AL50" i="2"/>
  <c r="AH50" i="2"/>
  <c r="AD50" i="2"/>
  <c r="AC50" i="2"/>
  <c r="AB50" i="2"/>
  <c r="T50" i="2"/>
  <c r="N50" i="2"/>
  <c r="M50" i="2"/>
  <c r="L50" i="2"/>
  <c r="D50" i="2"/>
  <c r="AO49" i="2" a="1"/>
  <c r="AO49" i="2" s="1"/>
  <c r="AJ49" i="2" a="1"/>
  <c r="AJ49" i="2" s="1"/>
  <c r="AG49" i="2" a="1"/>
  <c r="AG49" i="2" s="1"/>
  <c r="AD49" i="2" a="1"/>
  <c r="AD49" i="2" s="1"/>
  <c r="AC49" i="2" a="1"/>
  <c r="AC49" i="2" s="1"/>
  <c r="AB49" i="2" a="1"/>
  <c r="AB49" i="2" s="1"/>
  <c r="T49" i="2" a="1"/>
  <c r="T49" i="2" s="1"/>
  <c r="N49" i="2" a="1"/>
  <c r="N49" i="2" s="1"/>
  <c r="M49" i="2" a="1"/>
  <c r="M49" i="2" s="1"/>
  <c r="L49" i="2" a="1"/>
  <c r="L49" i="2" s="1"/>
  <c r="I49" i="2" a="1"/>
  <c r="I49" i="2" s="1"/>
  <c r="D49" i="2" a="1"/>
  <c r="D49" i="2" s="1"/>
  <c r="AQ48" i="2"/>
  <c r="AM48" i="2"/>
  <c r="AI48" i="2"/>
  <c r="AE48" i="2"/>
  <c r="AD48" i="2"/>
  <c r="AC48" i="2"/>
  <c r="AB48" i="2"/>
  <c r="T48" i="2"/>
  <c r="N48" i="2"/>
  <c r="M48" i="2"/>
  <c r="I48" i="2"/>
  <c r="E48" i="2"/>
  <c r="AM47" i="2" a="1"/>
  <c r="AM47" i="2" s="1"/>
  <c r="AJ47" i="2" a="1"/>
  <c r="AJ47" i="2" s="1"/>
  <c r="AE47" i="2" a="1"/>
  <c r="AE47" i="2" s="1"/>
  <c r="AD47" i="2" a="1"/>
  <c r="AD47" i="2" s="1"/>
  <c r="AC47" i="2" a="1"/>
  <c r="AC47" i="2" s="1"/>
  <c r="AB47" i="2" a="1"/>
  <c r="AB47" i="2" s="1"/>
  <c r="T47" i="2" a="1"/>
  <c r="T47" i="2" s="1"/>
  <c r="N47" i="2" a="1"/>
  <c r="N47" i="2" s="1"/>
  <c r="M47" i="2" a="1"/>
  <c r="M47" i="2" s="1"/>
  <c r="I47" i="2" a="1"/>
  <c r="I47" i="2" s="1"/>
  <c r="F47" i="2" a="1"/>
  <c r="F47" i="2" s="1"/>
  <c r="C47" i="2" a="1"/>
  <c r="C47" i="2" s="1"/>
  <c r="B47" i="2" a="1"/>
  <c r="B47" i="2" s="1"/>
  <c r="AA11" i="2"/>
  <c r="AA9" i="2"/>
  <c r="AA8" i="2"/>
  <c r="Z11" i="2"/>
  <c r="Z9" i="2"/>
  <c r="Z8" i="2"/>
  <c r="Y11" i="2"/>
  <c r="Y9" i="2"/>
  <c r="Y8" i="2"/>
  <c r="X11" i="2"/>
  <c r="X9" i="2"/>
  <c r="X8" i="2"/>
  <c r="W11" i="2"/>
  <c r="W9" i="2"/>
  <c r="W8" i="2"/>
  <c r="V11" i="2"/>
  <c r="V9" i="2"/>
  <c r="V8" i="2"/>
  <c r="U11" i="2"/>
  <c r="U9" i="2"/>
  <c r="U8" i="2"/>
  <c r="T11" i="2"/>
  <c r="T9" i="2"/>
  <c r="T8" i="2"/>
  <c r="S11" i="2"/>
  <c r="S9" i="2"/>
  <c r="S8" i="2"/>
  <c r="R11" i="2"/>
  <c r="R9" i="2"/>
  <c r="R8" i="2"/>
  <c r="Q11" i="2"/>
  <c r="Q9" i="2"/>
  <c r="Q8" i="2"/>
  <c r="P11" i="2"/>
  <c r="P9" i="2"/>
  <c r="P8" i="2"/>
  <c r="O11" i="2"/>
  <c r="O9" i="2"/>
  <c r="O8" i="2"/>
  <c r="F357" i="15" l="1"/>
  <c r="V131" i="15" s="1"/>
  <c r="K304" i="15"/>
  <c r="G357" i="15"/>
  <c r="W131" i="15" s="1"/>
  <c r="H50" i="2"/>
  <c r="H48" i="2"/>
  <c r="L304" i="15"/>
  <c r="K222" i="15"/>
  <c r="L222" i="15" s="1"/>
  <c r="K168" i="15"/>
  <c r="L168" i="15" s="1"/>
  <c r="M168" i="15" s="1"/>
  <c r="F147" i="15"/>
  <c r="V106" i="15" s="1"/>
  <c r="F208" i="15"/>
  <c r="V113" i="15" s="1"/>
  <c r="E277" i="15"/>
  <c r="U121" i="15" s="1"/>
  <c r="G309" i="15"/>
  <c r="W125" i="15" s="1"/>
  <c r="F349" i="15"/>
  <c r="V130" i="15" s="1"/>
  <c r="E131" i="15"/>
  <c r="U104" i="15" s="1"/>
  <c r="K128" i="15"/>
  <c r="L128" i="15" s="1"/>
  <c r="K204" i="15"/>
  <c r="L204" i="15" s="1"/>
  <c r="M204" i="15" s="1"/>
  <c r="K258" i="15"/>
  <c r="L258" i="15" s="1"/>
  <c r="K289" i="15"/>
  <c r="K314" i="15"/>
  <c r="L314" i="15" s="1"/>
  <c r="N314" i="15" s="1"/>
  <c r="O314" i="15" s="1"/>
  <c r="K338" i="15"/>
  <c r="L338" i="15" s="1"/>
  <c r="N338" i="15" s="1"/>
  <c r="O338" i="15" s="1"/>
  <c r="K230" i="15"/>
  <c r="L230" i="15" s="1"/>
  <c r="K242" i="15"/>
  <c r="L242" i="15" s="1"/>
  <c r="F341" i="15"/>
  <c r="V129" i="15" s="1"/>
  <c r="G147" i="15"/>
  <c r="W106" i="15" s="1"/>
  <c r="F139" i="15"/>
  <c r="V105" i="15" s="1"/>
  <c r="K151" i="15"/>
  <c r="L151" i="15" s="1"/>
  <c r="K119" i="15"/>
  <c r="L119" i="15" s="1"/>
  <c r="K136" i="15"/>
  <c r="L136" i="15" s="1"/>
  <c r="N136" i="15" s="1"/>
  <c r="O136" i="15" s="1"/>
  <c r="F240" i="15"/>
  <c r="V117" i="15" s="1"/>
  <c r="K237" i="15"/>
  <c r="L237" i="15" s="1"/>
  <c r="K243" i="15"/>
  <c r="L243" i="15" s="1"/>
  <c r="N243" i="15" s="1"/>
  <c r="O243" i="15" s="1"/>
  <c r="K244" i="15"/>
  <c r="L244" i="15" s="1"/>
  <c r="K245" i="15"/>
  <c r="L245" i="15" s="1"/>
  <c r="G256" i="15"/>
  <c r="W119" i="15" s="1"/>
  <c r="K149" i="15"/>
  <c r="L149" i="15" s="1"/>
  <c r="K113" i="15"/>
  <c r="L113" i="15" s="1"/>
  <c r="M113" i="15" s="1"/>
  <c r="K134" i="15"/>
  <c r="L134" i="15" s="1"/>
  <c r="F200" i="15"/>
  <c r="V112" i="15" s="1"/>
  <c r="F264" i="15"/>
  <c r="V120" i="15" s="1"/>
  <c r="E264" i="15"/>
  <c r="U120" i="15" s="1"/>
  <c r="E285" i="15"/>
  <c r="U122" i="15" s="1"/>
  <c r="G293" i="15"/>
  <c r="W123" i="15" s="1"/>
  <c r="G301" i="15"/>
  <c r="W124" i="15" s="1"/>
  <c r="E115" i="15"/>
  <c r="U102" i="15" s="1"/>
  <c r="K228" i="15"/>
  <c r="L228" i="15" s="1"/>
  <c r="K259" i="15"/>
  <c r="L259" i="15" s="1"/>
  <c r="K312" i="15"/>
  <c r="L312" i="15" s="1"/>
  <c r="K295" i="15"/>
  <c r="L295" i="15" s="1"/>
  <c r="N295" i="15" s="1"/>
  <c r="O295" i="15" s="1"/>
  <c r="K218" i="15"/>
  <c r="L218" i="15" s="1"/>
  <c r="N230" i="15"/>
  <c r="O230" i="15" s="1"/>
  <c r="K127" i="15"/>
  <c r="L127" i="15" s="1"/>
  <c r="N127" i="15" s="1"/>
  <c r="O127" i="15" s="1"/>
  <c r="G155" i="15"/>
  <c r="W107" i="15" s="1"/>
  <c r="F171" i="15"/>
  <c r="V109" i="15" s="1"/>
  <c r="E179" i="15"/>
  <c r="U110" i="15" s="1"/>
  <c r="K189" i="15"/>
  <c r="L189" i="15" s="1"/>
  <c r="N189" i="15" s="1"/>
  <c r="O189" i="15" s="1"/>
  <c r="G200" i="15"/>
  <c r="W112" i="15" s="1"/>
  <c r="E208" i="15"/>
  <c r="U113" i="15" s="1"/>
  <c r="F224" i="15"/>
  <c r="V115" i="15" s="1"/>
  <c r="G240" i="15"/>
  <c r="W117" i="15" s="1"/>
  <c r="K274" i="15"/>
  <c r="L274" i="15" s="1"/>
  <c r="K290" i="15"/>
  <c r="K291" i="15"/>
  <c r="L291" i="15" s="1"/>
  <c r="E317" i="15"/>
  <c r="U126" i="15" s="1"/>
  <c r="G341" i="15"/>
  <c r="W129" i="15" s="1"/>
  <c r="G107" i="15"/>
  <c r="W101" i="15" s="1"/>
  <c r="K112" i="15"/>
  <c r="L112" i="15" s="1"/>
  <c r="M112" i="15" s="1"/>
  <c r="E123" i="15"/>
  <c r="U103" i="15" s="1"/>
  <c r="K187" i="15"/>
  <c r="L187" i="15" s="1"/>
  <c r="K202" i="15"/>
  <c r="G208" i="15"/>
  <c r="W113" i="15" s="1"/>
  <c r="G224" i="15"/>
  <c r="W115" i="15" s="1"/>
  <c r="E293" i="15"/>
  <c r="U123" i="15" s="1"/>
  <c r="E333" i="15"/>
  <c r="U128" i="15" s="1"/>
  <c r="F107" i="15"/>
  <c r="V101" i="15" s="1"/>
  <c r="K105" i="15"/>
  <c r="L105" i="15" s="1"/>
  <c r="N105" i="15" s="1"/>
  <c r="O105" i="15" s="1"/>
  <c r="K117" i="15"/>
  <c r="K118" i="15"/>
  <c r="L118" i="15" s="1"/>
  <c r="E155" i="15"/>
  <c r="U107" i="15" s="1"/>
  <c r="K153" i="15"/>
  <c r="L153" i="15" s="1"/>
  <c r="N153" i="15" s="1"/>
  <c r="O153" i="15" s="1"/>
  <c r="F163" i="15"/>
  <c r="V108" i="15" s="1"/>
  <c r="K166" i="15"/>
  <c r="L166" i="15" s="1"/>
  <c r="N166" i="15" s="1"/>
  <c r="O166" i="15" s="1"/>
  <c r="G179" i="15"/>
  <c r="W110" i="15" s="1"/>
  <c r="K175" i="15"/>
  <c r="L175" i="15" s="1"/>
  <c r="E200" i="15"/>
  <c r="U112" i="15" s="1"/>
  <c r="K198" i="15"/>
  <c r="L198" i="15" s="1"/>
  <c r="M198" i="15" s="1"/>
  <c r="E240" i="15"/>
  <c r="U117" i="15" s="1"/>
  <c r="G248" i="15"/>
  <c r="W118" i="15" s="1"/>
  <c r="K246" i="15"/>
  <c r="L246" i="15" s="1"/>
  <c r="F256" i="15"/>
  <c r="V119" i="15" s="1"/>
  <c r="K261" i="15"/>
  <c r="L261" i="15" s="1"/>
  <c r="M261" i="15" s="1"/>
  <c r="K297" i="15"/>
  <c r="L297" i="15" s="1"/>
  <c r="M297" i="15" s="1"/>
  <c r="K299" i="15"/>
  <c r="L299" i="15" s="1"/>
  <c r="N299" i="15" s="1"/>
  <c r="O299" i="15" s="1"/>
  <c r="F309" i="15"/>
  <c r="V125" i="15" s="1"/>
  <c r="E341" i="15"/>
  <c r="U129" i="15" s="1"/>
  <c r="K327" i="15"/>
  <c r="L327" i="15" s="1"/>
  <c r="N327" i="15" s="1"/>
  <c r="O327" i="15" s="1"/>
  <c r="K319" i="15"/>
  <c r="L319" i="15" s="1"/>
  <c r="M319" i="15" s="1"/>
  <c r="K321" i="15"/>
  <c r="L321" i="15" s="1"/>
  <c r="M321" i="15" s="1"/>
  <c r="N204" i="15"/>
  <c r="O204" i="15" s="1"/>
  <c r="K260" i="15"/>
  <c r="L260" i="15" s="1"/>
  <c r="N260" i="15" s="1"/>
  <c r="O260" i="15" s="1"/>
  <c r="K282" i="15"/>
  <c r="L282" i="15" s="1"/>
  <c r="M282" i="15" s="1"/>
  <c r="K206" i="15"/>
  <c r="L206" i="15" s="1"/>
  <c r="N206" i="15" s="1"/>
  <c r="O206" i="15" s="1"/>
  <c r="K280" i="15"/>
  <c r="L280" i="15" s="1"/>
  <c r="N280" i="15" s="1"/>
  <c r="O280" i="15" s="1"/>
  <c r="K307" i="15"/>
  <c r="L307" i="15" s="1"/>
  <c r="K159" i="15"/>
  <c r="L159" i="15" s="1"/>
  <c r="K226" i="15"/>
  <c r="L226" i="15" s="1"/>
  <c r="N226" i="15" s="1"/>
  <c r="K102" i="15"/>
  <c r="L102" i="15" s="1"/>
  <c r="N102" i="15" s="1"/>
  <c r="O102" i="15" s="1"/>
  <c r="E139" i="15"/>
  <c r="U105" i="15" s="1"/>
  <c r="N134" i="15"/>
  <c r="O134" i="15" s="1"/>
  <c r="N149" i="15"/>
  <c r="O149" i="15" s="1"/>
  <c r="N151" i="15"/>
  <c r="O151" i="15" s="1"/>
  <c r="E171" i="15"/>
  <c r="U109" i="15" s="1"/>
  <c r="K173" i="15"/>
  <c r="L173" i="15" s="1"/>
  <c r="M173" i="15" s="1"/>
  <c r="K174" i="15"/>
  <c r="E192" i="15"/>
  <c r="U111" i="15" s="1"/>
  <c r="N187" i="15"/>
  <c r="O187" i="15" s="1"/>
  <c r="K194" i="15"/>
  <c r="L194" i="15" s="1"/>
  <c r="N194" i="15" s="1"/>
  <c r="K195" i="15"/>
  <c r="L195" i="15" s="1"/>
  <c r="M195" i="15" s="1"/>
  <c r="K196" i="15"/>
  <c r="L196" i="15" s="1"/>
  <c r="M196" i="15" s="1"/>
  <c r="K197" i="15"/>
  <c r="K234" i="15"/>
  <c r="L234" i="15" s="1"/>
  <c r="K235" i="15"/>
  <c r="L235" i="15" s="1"/>
  <c r="M235" i="15" s="1"/>
  <c r="K236" i="15"/>
  <c r="L236" i="15" s="1"/>
  <c r="N236" i="15" s="1"/>
  <c r="O236" i="15" s="1"/>
  <c r="K250" i="15"/>
  <c r="L250" i="15" s="1"/>
  <c r="K251" i="15"/>
  <c r="L251" i="15" s="1"/>
  <c r="K252" i="15"/>
  <c r="L252" i="15" s="1"/>
  <c r="M252" i="15" s="1"/>
  <c r="K253" i="15"/>
  <c r="L253" i="15" s="1"/>
  <c r="M253" i="15" s="1"/>
  <c r="K254" i="15"/>
  <c r="L254" i="15" s="1"/>
  <c r="N254" i="15" s="1"/>
  <c r="O254" i="15" s="1"/>
  <c r="F293" i="15"/>
  <c r="V123" i="15" s="1"/>
  <c r="K306" i="15"/>
  <c r="L306" i="15" s="1"/>
  <c r="N306" i="15" s="1"/>
  <c r="O306" i="15" s="1"/>
  <c r="G333" i="15"/>
  <c r="W128" i="15" s="1"/>
  <c r="K335" i="15"/>
  <c r="K336" i="15"/>
  <c r="L336" i="15" s="1"/>
  <c r="K337" i="15"/>
  <c r="L337" i="15" s="1"/>
  <c r="M337" i="15" s="1"/>
  <c r="E349" i="15"/>
  <c r="U130" i="15" s="1"/>
  <c r="F123" i="15"/>
  <c r="V103" i="15" s="1"/>
  <c r="G131" i="15"/>
  <c r="W104" i="15" s="1"/>
  <c r="F131" i="15"/>
  <c r="V104" i="15" s="1"/>
  <c r="G139" i="15"/>
  <c r="W105" i="15" s="1"/>
  <c r="G171" i="15"/>
  <c r="W109" i="15" s="1"/>
  <c r="G192" i="15"/>
  <c r="W111" i="15" s="1"/>
  <c r="E248" i="15"/>
  <c r="U118" i="15" s="1"/>
  <c r="K271" i="15"/>
  <c r="K272" i="15"/>
  <c r="L272" i="15" s="1"/>
  <c r="N272" i="15" s="1"/>
  <c r="O272" i="15" s="1"/>
  <c r="K273" i="15"/>
  <c r="L273" i="15" s="1"/>
  <c r="M273" i="15" s="1"/>
  <c r="G349" i="15"/>
  <c r="W130" i="15" s="1"/>
  <c r="K157" i="15"/>
  <c r="L157" i="15" s="1"/>
  <c r="K161" i="15"/>
  <c r="L161" i="15" s="1"/>
  <c r="K339" i="15"/>
  <c r="K126" i="15"/>
  <c r="L126" i="15" s="1"/>
  <c r="M126" i="15" s="1"/>
  <c r="G216" i="15"/>
  <c r="W114" i="15" s="1"/>
  <c r="K219" i="15"/>
  <c r="L219" i="15" s="1"/>
  <c r="M219" i="15" s="1"/>
  <c r="K220" i="15"/>
  <c r="L220" i="15" s="1"/>
  <c r="K221" i="15"/>
  <c r="L221" i="15" s="1"/>
  <c r="F248" i="15"/>
  <c r="V118" i="15" s="1"/>
  <c r="K275" i="15"/>
  <c r="L275" i="15" s="1"/>
  <c r="F285" i="15"/>
  <c r="V122" i="15" s="1"/>
  <c r="K287" i="15"/>
  <c r="L287" i="15" s="1"/>
  <c r="N287" i="15" s="1"/>
  <c r="K288" i="15"/>
  <c r="K320" i="15"/>
  <c r="L320" i="15" s="1"/>
  <c r="N320" i="15" s="1"/>
  <c r="O320" i="15" s="1"/>
  <c r="D377" i="15"/>
  <c r="N113" i="15"/>
  <c r="O113" i="15" s="1"/>
  <c r="N222" i="15"/>
  <c r="O222" i="15" s="1"/>
  <c r="E232" i="15"/>
  <c r="U116" i="15" s="1"/>
  <c r="M254" i="15"/>
  <c r="G285" i="15"/>
  <c r="W122" i="15" s="1"/>
  <c r="L289" i="15"/>
  <c r="M289" i="15" s="1"/>
  <c r="E301" i="15"/>
  <c r="U124" i="15" s="1"/>
  <c r="K329" i="15"/>
  <c r="L329" i="15" s="1"/>
  <c r="N329" i="15" s="1"/>
  <c r="O329" i="15" s="1"/>
  <c r="K331" i="15"/>
  <c r="L331" i="15" s="1"/>
  <c r="N331" i="15" s="1"/>
  <c r="O331" i="15" s="1"/>
  <c r="K351" i="15"/>
  <c r="L351" i="15" s="1"/>
  <c r="K344" i="15"/>
  <c r="L344" i="15" s="1"/>
  <c r="N344" i="15" s="1"/>
  <c r="O344" i="15" s="1"/>
  <c r="K346" i="15"/>
  <c r="L346" i="15" s="1"/>
  <c r="M346" i="15" s="1"/>
  <c r="K160" i="15"/>
  <c r="L160" i="15" s="1"/>
  <c r="N160" i="15" s="1"/>
  <c r="O160" i="15" s="1"/>
  <c r="K177" i="15"/>
  <c r="L177" i="15" s="1"/>
  <c r="N177" i="15" s="1"/>
  <c r="O177" i="15" s="1"/>
  <c r="K103" i="15"/>
  <c r="L103" i="15" s="1"/>
  <c r="N103" i="15" s="1"/>
  <c r="O103" i="15" s="1"/>
  <c r="K104" i="15"/>
  <c r="L104" i="15" s="1"/>
  <c r="M104" i="15" s="1"/>
  <c r="K109" i="15"/>
  <c r="L109" i="15" s="1"/>
  <c r="N109" i="15" s="1"/>
  <c r="O109" i="15" s="1"/>
  <c r="N112" i="15"/>
  <c r="O112" i="15" s="1"/>
  <c r="F179" i="15"/>
  <c r="V110" i="15" s="1"/>
  <c r="K210" i="15"/>
  <c r="L210" i="15" s="1"/>
  <c r="M210" i="15" s="1"/>
  <c r="F232" i="15"/>
  <c r="V116" i="15" s="1"/>
  <c r="N274" i="15"/>
  <c r="O274" i="15" s="1"/>
  <c r="F301" i="15"/>
  <c r="V124" i="15" s="1"/>
  <c r="M299" i="15"/>
  <c r="K158" i="15"/>
  <c r="L158" i="15" s="1"/>
  <c r="N158" i="15" s="1"/>
  <c r="O158" i="15" s="1"/>
  <c r="K238" i="15"/>
  <c r="L238" i="15" s="1"/>
  <c r="N238" i="15" s="1"/>
  <c r="O238" i="15" s="1"/>
  <c r="L117" i="15"/>
  <c r="M117" i="15" s="1"/>
  <c r="L202" i="15"/>
  <c r="N202" i="15" s="1"/>
  <c r="G232" i="15"/>
  <c r="W116" i="15" s="1"/>
  <c r="K262" i="15"/>
  <c r="L262" i="15" s="1"/>
  <c r="N262" i="15" s="1"/>
  <c r="O262" i="15" s="1"/>
  <c r="N297" i="15"/>
  <c r="O297" i="15" s="1"/>
  <c r="F325" i="15"/>
  <c r="V127" i="15" s="1"/>
  <c r="K322" i="15"/>
  <c r="L322" i="15" s="1"/>
  <c r="N322" i="15" s="1"/>
  <c r="O322" i="15" s="1"/>
  <c r="K176" i="15"/>
  <c r="L176" i="15" s="1"/>
  <c r="M176" i="15" s="1"/>
  <c r="N118" i="15"/>
  <c r="O118" i="15" s="1"/>
  <c r="K121" i="15"/>
  <c r="K141" i="15"/>
  <c r="L141" i="15" s="1"/>
  <c r="M141" i="15" s="1"/>
  <c r="K142" i="15"/>
  <c r="L142" i="15" s="1"/>
  <c r="M142" i="15" s="1"/>
  <c r="K143" i="15"/>
  <c r="L143" i="15" s="1"/>
  <c r="M143" i="15" s="1"/>
  <c r="K144" i="15"/>
  <c r="L144" i="15" s="1"/>
  <c r="M144" i="15" s="1"/>
  <c r="K145" i="15"/>
  <c r="L145" i="15" s="1"/>
  <c r="N145" i="15" s="1"/>
  <c r="O145" i="15" s="1"/>
  <c r="M153" i="15"/>
  <c r="M166" i="15"/>
  <c r="M220" i="15"/>
  <c r="K305" i="15"/>
  <c r="L305" i="15" s="1"/>
  <c r="M305" i="15" s="1"/>
  <c r="G325" i="15"/>
  <c r="W127" i="15" s="1"/>
  <c r="K323" i="15"/>
  <c r="L323" i="15" s="1"/>
  <c r="M323" i="15" s="1"/>
  <c r="F333" i="15"/>
  <c r="V128" i="15" s="1"/>
  <c r="M331" i="15"/>
  <c r="K352" i="15"/>
  <c r="L352" i="15" s="1"/>
  <c r="K354" i="15"/>
  <c r="L354" i="15" s="1"/>
  <c r="M354" i="15" s="1"/>
  <c r="K101" i="15"/>
  <c r="L101" i="15" s="1"/>
  <c r="M101" i="15" s="1"/>
  <c r="K110" i="15"/>
  <c r="L110" i="15" s="1"/>
  <c r="M110" i="15" s="1"/>
  <c r="K125" i="15"/>
  <c r="L125" i="15" s="1"/>
  <c r="N125" i="15" s="1"/>
  <c r="K167" i="15"/>
  <c r="L167" i="15" s="1"/>
  <c r="N167" i="15" s="1"/>
  <c r="O167" i="15" s="1"/>
  <c r="G265" i="15"/>
  <c r="G180" i="15"/>
  <c r="M118" i="15"/>
  <c r="K129" i="15"/>
  <c r="L129" i="15" s="1"/>
  <c r="N129" i="15" s="1"/>
  <c r="O129" i="15" s="1"/>
  <c r="K137" i="15"/>
  <c r="L137" i="15" s="1"/>
  <c r="N137" i="15" s="1"/>
  <c r="O137" i="15" s="1"/>
  <c r="K152" i="15"/>
  <c r="L152" i="15" s="1"/>
  <c r="M152" i="15" s="1"/>
  <c r="F155" i="15"/>
  <c r="V107" i="15" s="1"/>
  <c r="E163" i="15"/>
  <c r="U108" i="15" s="1"/>
  <c r="K165" i="15"/>
  <c r="L165" i="15" s="1"/>
  <c r="O182" i="15"/>
  <c r="K188" i="15"/>
  <c r="L188" i="15" s="1"/>
  <c r="N188" i="15" s="1"/>
  <c r="O188" i="15" s="1"/>
  <c r="K203" i="15"/>
  <c r="L203" i="15" s="1"/>
  <c r="N203" i="15" s="1"/>
  <c r="O203" i="15" s="1"/>
  <c r="F216" i="15"/>
  <c r="V114" i="15" s="1"/>
  <c r="K190" i="15"/>
  <c r="L190" i="15" s="1"/>
  <c r="M190" i="15" s="1"/>
  <c r="M267" i="15"/>
  <c r="M182" i="15"/>
  <c r="E107" i="15"/>
  <c r="U101" i="15" s="1"/>
  <c r="F115" i="15"/>
  <c r="V102" i="15" s="1"/>
  <c r="K111" i="15"/>
  <c r="L111" i="15" s="1"/>
  <c r="M111" i="15" s="1"/>
  <c r="K120" i="15"/>
  <c r="L120" i="15" s="1"/>
  <c r="N120" i="15" s="1"/>
  <c r="O120" i="15" s="1"/>
  <c r="L121" i="15"/>
  <c r="N121" i="15" s="1"/>
  <c r="O121" i="15" s="1"/>
  <c r="G123" i="15"/>
  <c r="W103" i="15" s="1"/>
  <c r="N128" i="15"/>
  <c r="O128" i="15" s="1"/>
  <c r="K135" i="15"/>
  <c r="L135" i="15" s="1"/>
  <c r="N135" i="15" s="1"/>
  <c r="O135" i="15" s="1"/>
  <c r="M136" i="15"/>
  <c r="E147" i="15"/>
  <c r="U106" i="15" s="1"/>
  <c r="K150" i="15"/>
  <c r="L150" i="15" s="1"/>
  <c r="M151" i="15"/>
  <c r="L174" i="15"/>
  <c r="N174" i="15" s="1"/>
  <c r="O174" i="15" s="1"/>
  <c r="N175" i="15"/>
  <c r="O175" i="15" s="1"/>
  <c r="K186" i="15"/>
  <c r="L186" i="15" s="1"/>
  <c r="M187" i="15"/>
  <c r="L197" i="15"/>
  <c r="M197" i="15" s="1"/>
  <c r="M218" i="15"/>
  <c r="M222" i="15"/>
  <c r="N143" i="15"/>
  <c r="O143" i="15" s="1"/>
  <c r="K205" i="15"/>
  <c r="L205" i="15" s="1"/>
  <c r="N205" i="15" s="1"/>
  <c r="O205" i="15" s="1"/>
  <c r="G115" i="15"/>
  <c r="W102" i="15" s="1"/>
  <c r="K133" i="15"/>
  <c r="L133" i="15" s="1"/>
  <c r="M134" i="15"/>
  <c r="M149" i="15"/>
  <c r="G163" i="15"/>
  <c r="W108" i="15" s="1"/>
  <c r="K169" i="15"/>
  <c r="L169" i="15" s="1"/>
  <c r="N169" i="15" s="1"/>
  <c r="O169" i="15" s="1"/>
  <c r="F192" i="15"/>
  <c r="V111" i="15" s="1"/>
  <c r="N196" i="15"/>
  <c r="O196" i="15" s="1"/>
  <c r="K213" i="15"/>
  <c r="L213" i="15" s="1"/>
  <c r="M213" i="15" s="1"/>
  <c r="K212" i="15"/>
  <c r="L212" i="15" s="1"/>
  <c r="N212" i="15" s="1"/>
  <c r="O212" i="15" s="1"/>
  <c r="M128" i="15"/>
  <c r="M158" i="15"/>
  <c r="M175" i="15"/>
  <c r="K211" i="15"/>
  <c r="L211" i="15" s="1"/>
  <c r="M211" i="15" s="1"/>
  <c r="N218" i="15"/>
  <c r="N220" i="15"/>
  <c r="O220" i="15" s="1"/>
  <c r="E256" i="15"/>
  <c r="U119" i="15" s="1"/>
  <c r="M212" i="15"/>
  <c r="K214" i="15"/>
  <c r="L214" i="15" s="1"/>
  <c r="M214" i="15" s="1"/>
  <c r="E224" i="15"/>
  <c r="U115" i="15" s="1"/>
  <c r="K227" i="15"/>
  <c r="L227" i="15" s="1"/>
  <c r="K229" i="15"/>
  <c r="L229" i="15" s="1"/>
  <c r="M229" i="15" s="1"/>
  <c r="M230" i="15"/>
  <c r="N242" i="15"/>
  <c r="M242" i="15"/>
  <c r="N246" i="15"/>
  <c r="O246" i="15" s="1"/>
  <c r="M246" i="15"/>
  <c r="N258" i="15"/>
  <c r="K281" i="15"/>
  <c r="L281" i="15" s="1"/>
  <c r="N281" i="15" s="1"/>
  <c r="O281" i="15" s="1"/>
  <c r="K296" i="15"/>
  <c r="L296" i="15" s="1"/>
  <c r="N296" i="15" s="1"/>
  <c r="O296" i="15" s="1"/>
  <c r="G264" i="15"/>
  <c r="W120" i="15" s="1"/>
  <c r="N261" i="15"/>
  <c r="O261" i="15" s="1"/>
  <c r="L271" i="15"/>
  <c r="K279" i="15"/>
  <c r="L279" i="15" s="1"/>
  <c r="M280" i="15"/>
  <c r="L290" i="15"/>
  <c r="M290" i="15" s="1"/>
  <c r="N291" i="15"/>
  <c r="O291" i="15" s="1"/>
  <c r="N307" i="15"/>
  <c r="O307" i="15" s="1"/>
  <c r="M307" i="15"/>
  <c r="K328" i="15"/>
  <c r="L328" i="15" s="1"/>
  <c r="N328" i="15" s="1"/>
  <c r="O328" i="15" s="1"/>
  <c r="M250" i="15"/>
  <c r="M258" i="15"/>
  <c r="N259" i="15"/>
  <c r="O259" i="15" s="1"/>
  <c r="M259" i="15"/>
  <c r="F277" i="15"/>
  <c r="V121" i="15" s="1"/>
  <c r="N271" i="15"/>
  <c r="L288" i="15"/>
  <c r="M288" i="15" s="1"/>
  <c r="N290" i="15"/>
  <c r="O290" i="15" s="1"/>
  <c r="K353" i="15"/>
  <c r="L353" i="15" s="1"/>
  <c r="N353" i="15" s="1"/>
  <c r="O353" i="15" s="1"/>
  <c r="N250" i="15"/>
  <c r="G277" i="15"/>
  <c r="W121" i="15" s="1"/>
  <c r="M281" i="15"/>
  <c r="K283" i="15"/>
  <c r="L283" i="15" s="1"/>
  <c r="N283" i="15" s="1"/>
  <c r="O283" i="15" s="1"/>
  <c r="K298" i="15"/>
  <c r="L298" i="15" s="1"/>
  <c r="N298" i="15" s="1"/>
  <c r="O298" i="15" s="1"/>
  <c r="E309" i="15"/>
  <c r="U125" i="15" s="1"/>
  <c r="K303" i="15"/>
  <c r="L303" i="15" s="1"/>
  <c r="K355" i="15"/>
  <c r="L355" i="15" s="1"/>
  <c r="N355" i="15" s="1"/>
  <c r="O355" i="15" s="1"/>
  <c r="K311" i="15"/>
  <c r="L311" i="15" s="1"/>
  <c r="M314" i="15"/>
  <c r="K315" i="15"/>
  <c r="L315" i="15" s="1"/>
  <c r="N315" i="15" s="1"/>
  <c r="O315" i="15" s="1"/>
  <c r="N319" i="15"/>
  <c r="L339" i="15"/>
  <c r="N339" i="15" s="1"/>
  <c r="O339" i="15" s="1"/>
  <c r="K347" i="15"/>
  <c r="L347" i="15" s="1"/>
  <c r="M347" i="15" s="1"/>
  <c r="M274" i="15"/>
  <c r="M291" i="15"/>
  <c r="M304" i="15"/>
  <c r="F317" i="15"/>
  <c r="V126" i="15" s="1"/>
  <c r="E325" i="15"/>
  <c r="U127" i="15" s="1"/>
  <c r="K345" i="15"/>
  <c r="L345" i="15" s="1"/>
  <c r="N345" i="15" s="1"/>
  <c r="O345" i="15" s="1"/>
  <c r="E357" i="15"/>
  <c r="U131" i="15" s="1"/>
  <c r="N304" i="15"/>
  <c r="O304" i="15" s="1"/>
  <c r="G317" i="15"/>
  <c r="W126" i="15" s="1"/>
  <c r="K313" i="15"/>
  <c r="L313" i="15" s="1"/>
  <c r="M313" i="15" s="1"/>
  <c r="K330" i="15"/>
  <c r="L330" i="15" s="1"/>
  <c r="N330" i="15" s="1"/>
  <c r="O330" i="15" s="1"/>
  <c r="L335" i="15"/>
  <c r="N335" i="15" s="1"/>
  <c r="N336" i="15"/>
  <c r="O336" i="15" s="1"/>
  <c r="K343" i="15"/>
  <c r="L343" i="15" s="1"/>
  <c r="M336" i="15"/>
  <c r="M327" i="15"/>
  <c r="AK47" i="2" a="1"/>
  <c r="AK47" i="2" s="1"/>
  <c r="AN48" i="2"/>
  <c r="AM50" i="2"/>
  <c r="AP47" i="2" a="1"/>
  <c r="AP47" i="2" s="1"/>
  <c r="AJ48" i="2"/>
  <c r="AE49" i="2" a="1"/>
  <c r="AE49" i="2" s="1"/>
  <c r="AM49" i="2" a="1"/>
  <c r="AM49" i="2" s="1"/>
  <c r="AE50" i="2"/>
  <c r="AI50" i="2"/>
  <c r="AQ50" i="2"/>
  <c r="AF47" i="2" a="1"/>
  <c r="AF47" i="2" s="1"/>
  <c r="AI47" i="2" a="1"/>
  <c r="AI47" i="2" s="1"/>
  <c r="AN47" i="2" a="1"/>
  <c r="AN47" i="2" s="1"/>
  <c r="AQ47" i="2" a="1"/>
  <c r="AQ47" i="2" s="1"/>
  <c r="AG48" i="2"/>
  <c r="AK48" i="2"/>
  <c r="AO48" i="2"/>
  <c r="AF49" i="2" a="1"/>
  <c r="AF49" i="2" s="1"/>
  <c r="AK49" i="2" a="1"/>
  <c r="AK49" i="2" s="1"/>
  <c r="AN49" i="2" a="1"/>
  <c r="AN49" i="2" s="1"/>
  <c r="AF50" i="2"/>
  <c r="AN50" i="2"/>
  <c r="R16" i="2"/>
  <c r="R48" i="2" s="1"/>
  <c r="V16" i="2"/>
  <c r="V50" i="2" s="1"/>
  <c r="Z16" i="2"/>
  <c r="Z48" i="2" s="1"/>
  <c r="Q17" i="2"/>
  <c r="Q50" i="2" s="1"/>
  <c r="U17" i="2"/>
  <c r="U47" i="2" s="1" a="1"/>
  <c r="U47" i="2" s="1"/>
  <c r="Y17" i="2"/>
  <c r="Y48" i="2" s="1"/>
  <c r="P18" i="2"/>
  <c r="P49" i="2" s="1" a="1"/>
  <c r="P49" i="2" s="1"/>
  <c r="AH47" i="2" a="1"/>
  <c r="AH47" i="2" s="1"/>
  <c r="AH49" i="2" a="1"/>
  <c r="AH49" i="2" s="1"/>
  <c r="AP49" i="2" a="1"/>
  <c r="AP49" i="2" s="1"/>
  <c r="AG47" i="2" a="1"/>
  <c r="AG47" i="2" s="1"/>
  <c r="AL47" i="2" a="1"/>
  <c r="AL47" i="2" s="1"/>
  <c r="AO47" i="2" a="1"/>
  <c r="AO47" i="2" s="1"/>
  <c r="AL48" i="2"/>
  <c r="AI49" i="2" a="1"/>
  <c r="AI49" i="2" s="1"/>
  <c r="AQ49" i="2" a="1"/>
  <c r="AQ49" i="2" s="1"/>
  <c r="O49" i="2" a="1"/>
  <c r="O49" i="2" s="1"/>
  <c r="S48" i="2"/>
  <c r="B48" i="2"/>
  <c r="D47" i="2" a="1"/>
  <c r="D47" i="2" s="1"/>
  <c r="G47" i="2" a="1"/>
  <c r="G47" i="2" s="1"/>
  <c r="L47" i="2" a="1"/>
  <c r="L47" i="2" s="1"/>
  <c r="F48" i="2"/>
  <c r="J48" i="2"/>
  <c r="G49" i="2" a="1"/>
  <c r="G49" i="2" s="1"/>
  <c r="J49" i="2" a="1"/>
  <c r="J49" i="2" s="1"/>
  <c r="E50" i="2"/>
  <c r="W47" i="2" a="1"/>
  <c r="W47" i="2" s="1"/>
  <c r="B49" i="2" a="1"/>
  <c r="B49" i="2" s="1"/>
  <c r="E47" i="2" a="1"/>
  <c r="E47" i="2" s="1"/>
  <c r="J47" i="2" a="1"/>
  <c r="J47" i="2" s="1"/>
  <c r="C48" i="2"/>
  <c r="G48" i="2"/>
  <c r="K48" i="2"/>
  <c r="H49" i="2" a="1"/>
  <c r="H49" i="2" s="1"/>
  <c r="F50" i="2"/>
  <c r="AA50" i="2"/>
  <c r="X49" i="2" a="1"/>
  <c r="X49" i="2" s="1"/>
  <c r="H47" i="2" a="1"/>
  <c r="H47" i="2" s="1"/>
  <c r="K47" i="2" a="1"/>
  <c r="K47" i="2" s="1"/>
  <c r="C49" i="2" a="1"/>
  <c r="C49" i="2" s="1"/>
  <c r="K49" i="2" a="1"/>
  <c r="K49" i="2" s="1"/>
  <c r="AA49" i="2" a="1"/>
  <c r="AA49" i="2" s="1"/>
  <c r="X48" i="2"/>
  <c r="X50" i="2"/>
  <c r="X47" i="2" a="1"/>
  <c r="X47" i="2" s="1"/>
  <c r="W48" i="2"/>
  <c r="W49" i="2" a="1"/>
  <c r="W49" i="2" s="1"/>
  <c r="W50" i="2"/>
  <c r="S49" i="2" a="1"/>
  <c r="S49" i="2" s="1"/>
  <c r="S50" i="2"/>
  <c r="S47" i="2" a="1"/>
  <c r="S47" i="2" s="1"/>
  <c r="O48" i="2"/>
  <c r="O50" i="2"/>
  <c r="O47" i="2" a="1"/>
  <c r="O47" i="2" s="1"/>
  <c r="AA48" i="2"/>
  <c r="AA47" i="2" a="1"/>
  <c r="AA47" i="2" s="1"/>
  <c r="N228" i="15" l="1"/>
  <c r="O228" i="15" s="1"/>
  <c r="M228" i="15"/>
  <c r="L349" i="15"/>
  <c r="X130" i="15" s="1"/>
  <c r="AO42" i="3" s="1"/>
  <c r="M306" i="15"/>
  <c r="M287" i="15"/>
  <c r="M295" i="15"/>
  <c r="N235" i="15"/>
  <c r="O235" i="15" s="1"/>
  <c r="M189" i="15"/>
  <c r="M127" i="15"/>
  <c r="M167" i="15"/>
  <c r="M103" i="15"/>
  <c r="Q49" i="2" a="1"/>
  <c r="Q49" i="2" s="1"/>
  <c r="M338" i="15"/>
  <c r="M102" i="15"/>
  <c r="M105" i="15"/>
  <c r="P47" i="2" a="1"/>
  <c r="P47" i="2" s="1"/>
  <c r="M344" i="15"/>
  <c r="L357" i="15"/>
  <c r="X131" i="15" s="1"/>
  <c r="N312" i="15"/>
  <c r="O312" i="15" s="1"/>
  <c r="M312" i="15"/>
  <c r="N245" i="15"/>
  <c r="O245" i="15" s="1"/>
  <c r="M245" i="15"/>
  <c r="L248" i="15"/>
  <c r="X118" i="15" s="1"/>
  <c r="N237" i="15"/>
  <c r="O237" i="15" s="1"/>
  <c r="M237" i="15"/>
  <c r="M202" i="15"/>
  <c r="L192" i="15"/>
  <c r="X111" i="15" s="1"/>
  <c r="AO23" i="3" s="1"/>
  <c r="L171" i="15"/>
  <c r="X109" i="15" s="1"/>
  <c r="AO21" i="3" s="1"/>
  <c r="M244" i="15"/>
  <c r="N244" i="15"/>
  <c r="O244" i="15" s="1"/>
  <c r="N119" i="15"/>
  <c r="O119" i="15" s="1"/>
  <c r="M119" i="15"/>
  <c r="M353" i="15"/>
  <c r="N321" i="15"/>
  <c r="O321" i="15" s="1"/>
  <c r="M206" i="15"/>
  <c r="N173" i="15"/>
  <c r="O173" i="15" s="1"/>
  <c r="M125" i="15"/>
  <c r="N198" i="15"/>
  <c r="O198" i="15" s="1"/>
  <c r="M272" i="15"/>
  <c r="M355" i="15"/>
  <c r="M345" i="15"/>
  <c r="N289" i="15"/>
  <c r="O289" i="15" s="1"/>
  <c r="N219" i="15"/>
  <c r="O219" i="15" s="1"/>
  <c r="M205" i="15"/>
  <c r="M329" i="15"/>
  <c r="P50" i="2"/>
  <c r="P48" i="2"/>
  <c r="Q48" i="2"/>
  <c r="Z50" i="2"/>
  <c r="Z49" i="2" a="1"/>
  <c r="Z49" i="2" s="1"/>
  <c r="R50" i="2"/>
  <c r="U50" i="2"/>
  <c r="U48" i="2"/>
  <c r="V49" i="2" a="1"/>
  <c r="V49" i="2" s="1"/>
  <c r="M109" i="15"/>
  <c r="M115" i="15" s="1"/>
  <c r="D385" i="15" s="1"/>
  <c r="N104" i="15"/>
  <c r="O104" i="15" s="1"/>
  <c r="N323" i="15"/>
  <c r="O323" i="15" s="1"/>
  <c r="N213" i="15"/>
  <c r="O213" i="15" s="1"/>
  <c r="M177" i="15"/>
  <c r="M145" i="15"/>
  <c r="N117" i="15"/>
  <c r="M129" i="15"/>
  <c r="R49" i="2" a="1"/>
  <c r="R49" i="2" s="1"/>
  <c r="M203" i="15"/>
  <c r="M351" i="15"/>
  <c r="M262" i="15"/>
  <c r="N351" i="15"/>
  <c r="O351" i="15" s="1"/>
  <c r="N305" i="15"/>
  <c r="O305" i="15" s="1"/>
  <c r="R47" i="2" a="1"/>
  <c r="R47" i="2" s="1"/>
  <c r="Z47" i="2" a="1"/>
  <c r="Z47" i="2" s="1"/>
  <c r="N337" i="15"/>
  <c r="O337" i="15" s="1"/>
  <c r="L309" i="15"/>
  <c r="X125" i="15" s="1"/>
  <c r="AO37" i="3" s="1"/>
  <c r="L224" i="15"/>
  <c r="X115" i="15" s="1"/>
  <c r="AO27" i="3" s="1"/>
  <c r="M243" i="15"/>
  <c r="O333" i="15"/>
  <c r="E411" i="15" s="1"/>
  <c r="N333" i="15"/>
  <c r="L325" i="15"/>
  <c r="X127" i="15" s="1"/>
  <c r="L333" i="15"/>
  <c r="X128" i="15" s="1"/>
  <c r="AO40" i="3" s="1"/>
  <c r="M352" i="15"/>
  <c r="N352" i="15"/>
  <c r="O352" i="15" s="1"/>
  <c r="M159" i="15"/>
  <c r="N159" i="15"/>
  <c r="O159" i="15" s="1"/>
  <c r="L163" i="15"/>
  <c r="X108" i="15" s="1"/>
  <c r="AO20" i="3" s="1"/>
  <c r="N157" i="15"/>
  <c r="O157" i="15" s="1"/>
  <c r="Y115" i="15"/>
  <c r="AP27" i="3" s="1"/>
  <c r="L256" i="15"/>
  <c r="X119" i="15" s="1"/>
  <c r="AO31" i="3" s="1"/>
  <c r="N251" i="15"/>
  <c r="O251" i="15" s="1"/>
  <c r="N252" i="15"/>
  <c r="O252" i="15" s="1"/>
  <c r="U49" i="2" a="1"/>
  <c r="U49" i="2" s="1"/>
  <c r="Y47" i="2" a="1"/>
  <c r="Y47" i="2" s="1"/>
  <c r="N273" i="15"/>
  <c r="O273" i="15" s="1"/>
  <c r="L232" i="15"/>
  <c r="X116" i="15" s="1"/>
  <c r="AO28" i="3" s="1"/>
  <c r="M160" i="15"/>
  <c r="N190" i="15"/>
  <c r="O190" i="15" s="1"/>
  <c r="Y111" i="15"/>
  <c r="AP23" i="3" s="1"/>
  <c r="N142" i="15"/>
  <c r="O142" i="15" s="1"/>
  <c r="N282" i="15"/>
  <c r="O282" i="15" s="1"/>
  <c r="N346" i="15"/>
  <c r="O346" i="15" s="1"/>
  <c r="M221" i="15"/>
  <c r="M224" i="15" s="1"/>
  <c r="D398" i="15" s="1"/>
  <c r="M328" i="15"/>
  <c r="M283" i="15"/>
  <c r="M226" i="15"/>
  <c r="N176" i="15"/>
  <c r="O176" i="15" s="1"/>
  <c r="N141" i="15"/>
  <c r="O141" i="15" s="1"/>
  <c r="M322" i="15"/>
  <c r="L115" i="15"/>
  <c r="X102" i="15" s="1"/>
  <c r="AO14" i="3" s="1"/>
  <c r="Q47" i="2" a="1"/>
  <c r="Q47" i="2" s="1"/>
  <c r="M296" i="15"/>
  <c r="N221" i="15"/>
  <c r="O221" i="15" s="1"/>
  <c r="N110" i="15"/>
  <c r="O110" i="15" s="1"/>
  <c r="L264" i="15"/>
  <c r="X120" i="15" s="1"/>
  <c r="AO32" i="3" s="1"/>
  <c r="N168" i="15"/>
  <c r="O168" i="15" s="1"/>
  <c r="L285" i="15"/>
  <c r="X122" i="15" s="1"/>
  <c r="AO34" i="3" s="1"/>
  <c r="M303" i="15"/>
  <c r="M309" i="15" s="1"/>
  <c r="D408" i="15" s="1"/>
  <c r="L179" i="15"/>
  <c r="X110" i="15" s="1"/>
  <c r="AO22" i="3" s="1"/>
  <c r="L208" i="15"/>
  <c r="X113" i="15" s="1"/>
  <c r="AO25" i="3" s="1"/>
  <c r="M260" i="15"/>
  <c r="M264" i="15" s="1"/>
  <c r="D403" i="15" s="1"/>
  <c r="Y130" i="15"/>
  <c r="AP42" i="3" s="1"/>
  <c r="N288" i="15"/>
  <c r="O288" i="15" s="1"/>
  <c r="M194" i="15"/>
  <c r="M200" i="15" s="1"/>
  <c r="D395" i="15" s="1"/>
  <c r="N210" i="15"/>
  <c r="O210" i="15" s="1"/>
  <c r="N197" i="15"/>
  <c r="O197" i="15" s="1"/>
  <c r="L139" i="15"/>
  <c r="X105" i="15" s="1"/>
  <c r="AO17" i="3" s="1"/>
  <c r="L155" i="15"/>
  <c r="X107" i="15" s="1"/>
  <c r="AO19" i="3" s="1"/>
  <c r="M320" i="15"/>
  <c r="V48" i="2"/>
  <c r="V47" i="2" a="1"/>
  <c r="V47" i="2" s="1"/>
  <c r="Y49" i="2" a="1"/>
  <c r="Y49" i="2" s="1"/>
  <c r="L341" i="15"/>
  <c r="X129" i="15" s="1"/>
  <c r="AO41" i="3" s="1"/>
  <c r="M335" i="15"/>
  <c r="N313" i="15"/>
  <c r="O313" i="15" s="1"/>
  <c r="M293" i="15"/>
  <c r="D406" i="15" s="1"/>
  <c r="L301" i="15"/>
  <c r="X124" i="15" s="1"/>
  <c r="AO36" i="3" s="1"/>
  <c r="O250" i="15"/>
  <c r="N303" i="15"/>
  <c r="O271" i="15"/>
  <c r="N347" i="15"/>
  <c r="O347" i="15" s="1"/>
  <c r="L277" i="15"/>
  <c r="X121" i="15" s="1"/>
  <c r="AO33" i="3" s="1"/>
  <c r="M271" i="15"/>
  <c r="N253" i="15"/>
  <c r="O253" i="15" s="1"/>
  <c r="O218" i="15"/>
  <c r="M279" i="15"/>
  <c r="N229" i="15"/>
  <c r="O229" i="15" s="1"/>
  <c r="N301" i="15"/>
  <c r="O125" i="15"/>
  <c r="L293" i="15"/>
  <c r="X123" i="15" s="1"/>
  <c r="AO35" i="3" s="1"/>
  <c r="M236" i="15"/>
  <c r="M169" i="15"/>
  <c r="N133" i="15"/>
  <c r="N144" i="15"/>
  <c r="O144" i="15" s="1"/>
  <c r="M186" i="15"/>
  <c r="M150" i="15"/>
  <c r="M155" i="15" s="1"/>
  <c r="D390" i="15" s="1"/>
  <c r="N195" i="15"/>
  <c r="O195" i="15" s="1"/>
  <c r="M165" i="15"/>
  <c r="N152" i="15"/>
  <c r="O152" i="15" s="1"/>
  <c r="L131" i="15"/>
  <c r="X104" i="15" s="1"/>
  <c r="AO16" i="3" s="1"/>
  <c r="M121" i="15"/>
  <c r="O335" i="15"/>
  <c r="M343" i="15"/>
  <c r="M330" i="15"/>
  <c r="L317" i="15"/>
  <c r="X126" i="15" s="1"/>
  <c r="AO38" i="3" s="1"/>
  <c r="M298" i="15"/>
  <c r="M339" i="15"/>
  <c r="M311" i="15"/>
  <c r="L240" i="15"/>
  <c r="X117" i="15" s="1"/>
  <c r="AO29" i="3" s="1"/>
  <c r="M234" i="15"/>
  <c r="N234" i="15"/>
  <c r="N279" i="15"/>
  <c r="M227" i="15"/>
  <c r="N214" i="15"/>
  <c r="O214" i="15" s="1"/>
  <c r="M216" i="15"/>
  <c r="D397" i="15" s="1"/>
  <c r="N211" i="15"/>
  <c r="O211" i="15" s="1"/>
  <c r="O117" i="15"/>
  <c r="O123" i="15" s="1"/>
  <c r="E386" i="15" s="1"/>
  <c r="N186" i="15"/>
  <c r="N150" i="15"/>
  <c r="M120" i="15"/>
  <c r="M188" i="15"/>
  <c r="N165" i="15"/>
  <c r="M137" i="15"/>
  <c r="L123" i="15"/>
  <c r="X103" i="15" s="1"/>
  <c r="AO15" i="3" s="1"/>
  <c r="M157" i="15"/>
  <c r="L200" i="15"/>
  <c r="X112" i="15" s="1"/>
  <c r="AO24" i="3" s="1"/>
  <c r="N343" i="15"/>
  <c r="O319" i="15"/>
  <c r="O287" i="15"/>
  <c r="N275" i="15"/>
  <c r="O275" i="15" s="1"/>
  <c r="M275" i="15"/>
  <c r="N311" i="15"/>
  <c r="O258" i="15"/>
  <c r="O264" i="15" s="1"/>
  <c r="E403" i="15" s="1"/>
  <c r="N264" i="15"/>
  <c r="O242" i="15"/>
  <c r="O226" i="15"/>
  <c r="M315" i="15"/>
  <c r="N227" i="15"/>
  <c r="O227" i="15" s="1"/>
  <c r="M251" i="15"/>
  <c r="M256" i="15" s="1"/>
  <c r="D402" i="15" s="1"/>
  <c r="O194" i="15"/>
  <c r="N208" i="15"/>
  <c r="O202" i="15"/>
  <c r="O208" i="15" s="1"/>
  <c r="E396" i="15" s="1"/>
  <c r="M135" i="15"/>
  <c r="N111" i="15"/>
  <c r="O111" i="15" s="1"/>
  <c r="L107" i="15"/>
  <c r="X101" i="15" s="1"/>
  <c r="AO13" i="3" s="1"/>
  <c r="N101" i="15"/>
  <c r="L216" i="15"/>
  <c r="X114" i="15" s="1"/>
  <c r="AO26" i="3" s="1"/>
  <c r="M174" i="15"/>
  <c r="N354" i="15"/>
  <c r="O354" i="15" s="1"/>
  <c r="M147" i="15"/>
  <c r="D389" i="15" s="1"/>
  <c r="O301" i="15"/>
  <c r="E407" i="15" s="1"/>
  <c r="M238" i="15"/>
  <c r="N161" i="15"/>
  <c r="O161" i="15" s="1"/>
  <c r="M161" i="15"/>
  <c r="M131" i="15"/>
  <c r="D387" i="15" s="1"/>
  <c r="M133" i="15"/>
  <c r="N126" i="15"/>
  <c r="O126" i="15" s="1"/>
  <c r="L147" i="15"/>
  <c r="X106" i="15" s="1"/>
  <c r="AO18" i="3" s="1"/>
  <c r="M107" i="15"/>
  <c r="Y50" i="2"/>
  <c r="N179" i="15" l="1"/>
  <c r="Y125" i="15"/>
  <c r="AP37" i="3" s="1"/>
  <c r="Y118" i="15"/>
  <c r="AP30" i="3" s="1"/>
  <c r="AO30" i="3"/>
  <c r="Y131" i="15"/>
  <c r="AP43" i="3" s="1"/>
  <c r="AO43" i="3"/>
  <c r="Y109" i="15"/>
  <c r="AP21" i="3" s="1"/>
  <c r="Y127" i="15"/>
  <c r="AP39" i="3" s="1"/>
  <c r="AO39" i="3"/>
  <c r="M357" i="15"/>
  <c r="M349" i="15"/>
  <c r="D413" i="15" s="1"/>
  <c r="M341" i="15"/>
  <c r="D412" i="15" s="1"/>
  <c r="O341" i="15"/>
  <c r="E412" i="15" s="1"/>
  <c r="N341" i="15"/>
  <c r="M333" i="15"/>
  <c r="D411" i="15" s="1"/>
  <c r="M325" i="15"/>
  <c r="D410" i="15" s="1"/>
  <c r="N357" i="15"/>
  <c r="O357" i="15"/>
  <c r="O325" i="15"/>
  <c r="E410" i="15" s="1"/>
  <c r="N325" i="15"/>
  <c r="N293" i="15"/>
  <c r="M248" i="15"/>
  <c r="D401" i="15" s="1"/>
  <c r="N248" i="15"/>
  <c r="O248" i="15"/>
  <c r="E401" i="15" s="1"/>
  <c r="M232" i="15"/>
  <c r="D399" i="15" s="1"/>
  <c r="N224" i="15"/>
  <c r="O224" i="15"/>
  <c r="E398" i="15" s="1"/>
  <c r="M208" i="15"/>
  <c r="D396" i="15" s="1"/>
  <c r="N200" i="15"/>
  <c r="M179" i="15"/>
  <c r="D393" i="15" s="1"/>
  <c r="O179" i="15"/>
  <c r="E393" i="15" s="1"/>
  <c r="N123" i="15"/>
  <c r="M123" i="15"/>
  <c r="D386" i="15" s="1"/>
  <c r="O147" i="15"/>
  <c r="E389" i="15" s="1"/>
  <c r="M285" i="15"/>
  <c r="D405" i="15" s="1"/>
  <c r="O115" i="15"/>
  <c r="E385" i="15" s="1"/>
  <c r="O293" i="15"/>
  <c r="E406" i="15" s="1"/>
  <c r="Y128" i="15"/>
  <c r="AP40" i="3" s="1"/>
  <c r="Y114" i="15"/>
  <c r="AP26" i="3" s="1"/>
  <c r="Y124" i="15"/>
  <c r="AP36" i="3" s="1"/>
  <c r="Y102" i="15"/>
  <c r="AP14" i="3" s="1"/>
  <c r="Y129" i="15"/>
  <c r="AP41" i="3" s="1"/>
  <c r="Y123" i="15"/>
  <c r="AP35" i="3" s="1"/>
  <c r="Y121" i="15"/>
  <c r="AP33" i="3" s="1"/>
  <c r="Y122" i="15"/>
  <c r="AP34" i="3" s="1"/>
  <c r="Y108" i="15"/>
  <c r="AP20" i="3" s="1"/>
  <c r="Y106" i="15"/>
  <c r="AP18" i="3" s="1"/>
  <c r="M139" i="15"/>
  <c r="D388" i="15" s="1"/>
  <c r="Y113" i="15"/>
  <c r="AP25" i="3" s="1"/>
  <c r="Y117" i="15"/>
  <c r="AP29" i="3" s="1"/>
  <c r="Y110" i="15"/>
  <c r="AP22" i="3" s="1"/>
  <c r="Y112" i="15"/>
  <c r="AP24" i="3" s="1"/>
  <c r="M301" i="15"/>
  <c r="D407" i="15" s="1"/>
  <c r="Y104" i="15"/>
  <c r="AP16" i="3" s="1"/>
  <c r="Y107" i="15"/>
  <c r="AP19" i="3" s="1"/>
  <c r="Y120" i="15"/>
  <c r="AP32" i="3" s="1"/>
  <c r="N256" i="15"/>
  <c r="Y116" i="15"/>
  <c r="AP28" i="3" s="1"/>
  <c r="Y101" i="15"/>
  <c r="AP13" i="3" s="1"/>
  <c r="N115" i="15"/>
  <c r="N232" i="15"/>
  <c r="Y126" i="15"/>
  <c r="AP38" i="3" s="1"/>
  <c r="Y105" i="15"/>
  <c r="AP17" i="3" s="1"/>
  <c r="O200" i="15"/>
  <c r="E395" i="15" s="1"/>
  <c r="Y103" i="15"/>
  <c r="AP15" i="3" s="1"/>
  <c r="M171" i="15"/>
  <c r="D392" i="15" s="1"/>
  <c r="Y119" i="15"/>
  <c r="AP31" i="3" s="1"/>
  <c r="O343" i="15"/>
  <c r="O349" i="15" s="1"/>
  <c r="E413" i="15" s="1"/>
  <c r="N349" i="15"/>
  <c r="O234" i="15"/>
  <c r="O240" i="15" s="1"/>
  <c r="E400" i="15" s="1"/>
  <c r="N240" i="15"/>
  <c r="M317" i="15"/>
  <c r="D409" i="15" s="1"/>
  <c r="M277" i="15"/>
  <c r="D404" i="15" s="1"/>
  <c r="N277" i="15"/>
  <c r="D384" i="15"/>
  <c r="N163" i="15"/>
  <c r="O311" i="15"/>
  <c r="O317" i="15" s="1"/>
  <c r="E409" i="15" s="1"/>
  <c r="N317" i="15"/>
  <c r="M240" i="15"/>
  <c r="D400" i="15" s="1"/>
  <c r="N147" i="15"/>
  <c r="O133" i="15"/>
  <c r="O139" i="15" s="1"/>
  <c r="E388" i="15" s="1"/>
  <c r="N139" i="15"/>
  <c r="N216" i="15"/>
  <c r="O277" i="15"/>
  <c r="E404" i="15" s="1"/>
  <c r="O163" i="15"/>
  <c r="E391" i="15" s="1"/>
  <c r="O165" i="15"/>
  <c r="O171" i="15" s="1"/>
  <c r="E392" i="15" s="1"/>
  <c r="N171" i="15"/>
  <c r="O150" i="15"/>
  <c r="O155" i="15" s="1"/>
  <c r="E390" i="15" s="1"/>
  <c r="N155" i="15"/>
  <c r="N131" i="15"/>
  <c r="O216" i="15"/>
  <c r="E397" i="15" s="1"/>
  <c r="O303" i="15"/>
  <c r="O309" i="15" s="1"/>
  <c r="E408" i="15" s="1"/>
  <c r="N309" i="15"/>
  <c r="N107" i="15"/>
  <c r="O101" i="15"/>
  <c r="O107" i="15" s="1"/>
  <c r="O232" i="15"/>
  <c r="E399" i="15" s="1"/>
  <c r="M163" i="15"/>
  <c r="D391" i="15" s="1"/>
  <c r="O186" i="15"/>
  <c r="O192" i="15" s="1"/>
  <c r="E394" i="15" s="1"/>
  <c r="N192" i="15"/>
  <c r="O279" i="15"/>
  <c r="O285" i="15" s="1"/>
  <c r="E405" i="15" s="1"/>
  <c r="N285" i="15"/>
  <c r="M192" i="15"/>
  <c r="D394" i="15" s="1"/>
  <c r="O131" i="15"/>
  <c r="E387" i="15" s="1"/>
  <c r="O256" i="15"/>
  <c r="E402" i="15" s="1"/>
  <c r="D418" i="15" l="1"/>
  <c r="L26" i="15" s="1"/>
  <c r="E418" i="15"/>
  <c r="M26" i="15" s="1"/>
  <c r="E417" i="15"/>
  <c r="M24" i="15" s="1"/>
  <c r="E384" i="15"/>
  <c r="D417" i="15"/>
  <c r="L24" i="15" s="1"/>
  <c r="J41" i="12" l="1"/>
  <c r="A44" i="12" l="1"/>
  <c r="AT50" i="2"/>
  <c r="J40" i="12" s="1"/>
  <c r="R26" i="11"/>
  <c r="J56" i="12"/>
  <c r="F56" i="12"/>
  <c r="A72" i="1"/>
  <c r="A57" i="9" s="1"/>
  <c r="F54" i="12"/>
  <c r="A56" i="1"/>
  <c r="B52" i="12" s="1"/>
  <c r="AR45" i="3"/>
  <c r="AR46" i="3" a="1"/>
  <c r="AR46" i="3" s="1"/>
  <c r="C45" i="3"/>
  <c r="C46" i="3" a="1"/>
  <c r="C46" i="3" s="1"/>
  <c r="D45" i="3"/>
  <c r="D46" i="3" a="1"/>
  <c r="D46" i="3" s="1"/>
  <c r="A37" i="12"/>
  <c r="D33" i="12"/>
  <c r="H30" i="12"/>
  <c r="J30" i="12" s="1"/>
  <c r="H28" i="12"/>
  <c r="J28" i="12" s="1"/>
  <c r="H26" i="12"/>
  <c r="J26" i="12" s="1"/>
  <c r="H23" i="12"/>
  <c r="J23" i="12" s="1"/>
  <c r="H21" i="12"/>
  <c r="J21" i="12" s="1"/>
  <c r="H20" i="12"/>
  <c r="J20" i="12" s="1"/>
  <c r="H19" i="12"/>
  <c r="J19" i="12"/>
  <c r="H18" i="12"/>
  <c r="J18" i="12" s="1"/>
  <c r="J17" i="12"/>
  <c r="H17" i="12" s="1"/>
  <c r="H16" i="12"/>
  <c r="J16" i="12"/>
  <c r="H15" i="12"/>
  <c r="J15" i="12"/>
  <c r="J14" i="12"/>
  <c r="H14" i="12" s="1"/>
  <c r="E5" i="12"/>
  <c r="B5" i="12"/>
  <c r="J4" i="12"/>
  <c r="E4" i="12"/>
  <c r="B4" i="12"/>
  <c r="Q54" i="11" a="1"/>
  <c r="Q54" i="11" s="1"/>
  <c r="P54" i="11" a="1"/>
  <c r="P54" i="11" s="1"/>
  <c r="O54" i="11" a="1"/>
  <c r="O54" i="11" s="1"/>
  <c r="N54" i="11" a="1"/>
  <c r="N54" i="11" s="1"/>
  <c r="M54" i="11" a="1"/>
  <c r="M54" i="11" s="1"/>
  <c r="L54" i="11" a="1"/>
  <c r="L54" i="11" s="1"/>
  <c r="K54" i="11" a="1"/>
  <c r="K54" i="11" s="1"/>
  <c r="J54" i="11" a="1"/>
  <c r="J54" i="11" s="1"/>
  <c r="I54" i="11" a="1"/>
  <c r="I54" i="11" s="1"/>
  <c r="H54" i="11" a="1"/>
  <c r="H54" i="11" s="1"/>
  <c r="G54" i="11" a="1"/>
  <c r="G54" i="11" s="1"/>
  <c r="F54" i="11" a="1"/>
  <c r="F54" i="11" s="1"/>
  <c r="E54" i="11" a="1"/>
  <c r="E54" i="11" s="1"/>
  <c r="Q53" i="11" a="1"/>
  <c r="Q53" i="11" s="1"/>
  <c r="P53" i="11" a="1"/>
  <c r="P53" i="11" s="1"/>
  <c r="O53" i="11" a="1"/>
  <c r="O53" i="11" s="1"/>
  <c r="N53" i="11" a="1"/>
  <c r="N53" i="11" s="1"/>
  <c r="M53" i="11" a="1"/>
  <c r="M53" i="11" s="1"/>
  <c r="L53" i="11" a="1"/>
  <c r="L53" i="11" s="1"/>
  <c r="K53" i="11" a="1"/>
  <c r="K53" i="11" s="1"/>
  <c r="J53" i="11" a="1"/>
  <c r="J53" i="11" s="1"/>
  <c r="I53" i="11" a="1"/>
  <c r="I53" i="11" s="1"/>
  <c r="H53" i="11" a="1"/>
  <c r="H53" i="11" s="1"/>
  <c r="G53" i="11" a="1"/>
  <c r="G53" i="11" s="1"/>
  <c r="F53" i="11" a="1"/>
  <c r="F53" i="11" s="1"/>
  <c r="E53" i="11" a="1"/>
  <c r="E53" i="11" s="1"/>
  <c r="Q52" i="11" a="1"/>
  <c r="Q52" i="11" s="1"/>
  <c r="P52" i="11" a="1"/>
  <c r="P52" i="11" s="1"/>
  <c r="O52" i="11" a="1"/>
  <c r="O52" i="11" s="1"/>
  <c r="N52" i="11" a="1"/>
  <c r="N52" i="11" s="1"/>
  <c r="M52" i="11" a="1"/>
  <c r="M52" i="11" s="1"/>
  <c r="L52" i="11" a="1"/>
  <c r="L52" i="11" s="1"/>
  <c r="K52" i="11" a="1"/>
  <c r="K52" i="11" s="1"/>
  <c r="J52" i="11" a="1"/>
  <c r="J52" i="11" s="1"/>
  <c r="I52" i="11" a="1"/>
  <c r="I52" i="11" s="1"/>
  <c r="H52" i="11" a="1"/>
  <c r="H52" i="11" s="1"/>
  <c r="G52" i="11" a="1"/>
  <c r="G52" i="11" s="1"/>
  <c r="F52" i="11" a="1"/>
  <c r="F52" i="11" s="1"/>
  <c r="E52" i="11" a="1"/>
  <c r="E52" i="11" s="1"/>
  <c r="V26" i="11"/>
  <c r="V25" i="11"/>
  <c r="U26" i="11"/>
  <c r="U25" i="11"/>
  <c r="R25" i="11"/>
  <c r="Q51" i="11" a="1"/>
  <c r="Q51" i="11" s="1"/>
  <c r="P51" i="11" a="1"/>
  <c r="P51" i="11" s="1"/>
  <c r="O51" i="11" a="1"/>
  <c r="O51" i="11" s="1"/>
  <c r="N51" i="11" a="1"/>
  <c r="N51" i="11" s="1"/>
  <c r="M51" i="11" a="1"/>
  <c r="M51" i="11" s="1"/>
  <c r="L51" i="11" a="1"/>
  <c r="L51" i="11" s="1"/>
  <c r="K51" i="11" a="1"/>
  <c r="K51" i="11" s="1"/>
  <c r="J51" i="11" a="1"/>
  <c r="J51" i="11" s="1"/>
  <c r="I51" i="11" a="1"/>
  <c r="I51" i="11" s="1"/>
  <c r="H51" i="11" a="1"/>
  <c r="H51" i="11" s="1"/>
  <c r="G51" i="11" a="1"/>
  <c r="G51" i="11" s="1"/>
  <c r="F51" i="11" a="1"/>
  <c r="F51" i="11" s="1"/>
  <c r="E51" i="11" a="1"/>
  <c r="E51" i="11" s="1"/>
  <c r="T26" i="11"/>
  <c r="S26" i="11"/>
  <c r="T25" i="11"/>
  <c r="S25" i="11"/>
  <c r="R23" i="11"/>
  <c r="D11" i="11"/>
  <c r="D13" i="11" s="1"/>
  <c r="D9" i="11"/>
  <c r="O7" i="11"/>
  <c r="D7" i="11"/>
  <c r="O5" i="11"/>
  <c r="D5" i="11"/>
  <c r="O3" i="11"/>
  <c r="D3" i="11"/>
  <c r="A1" i="11"/>
  <c r="P57" i="9"/>
  <c r="L57" i="9"/>
  <c r="L55" i="9"/>
  <c r="O48" i="9"/>
  <c r="M48" i="9"/>
  <c r="K48" i="9"/>
  <c r="I48" i="9"/>
  <c r="H48" i="9"/>
  <c r="F48" i="9"/>
  <c r="D48" i="9"/>
  <c r="B48" i="9"/>
  <c r="O47" i="9" a="1"/>
  <c r="O47" i="9" s="1"/>
  <c r="M47" i="9" a="1"/>
  <c r="M47" i="9" s="1"/>
  <c r="K47" i="9" a="1"/>
  <c r="K47" i="9" s="1"/>
  <c r="I47" i="9" a="1"/>
  <c r="I47" i="9" s="1"/>
  <c r="H47" i="9" a="1"/>
  <c r="H47" i="9" s="1"/>
  <c r="F47" i="9" a="1"/>
  <c r="F47" i="9" s="1"/>
  <c r="D47" i="9" a="1"/>
  <c r="D47" i="9" s="1"/>
  <c r="B47" i="9" a="1"/>
  <c r="B47" i="9" s="1"/>
  <c r="O46" i="9"/>
  <c r="M46" i="9"/>
  <c r="K46" i="9"/>
  <c r="I46" i="9"/>
  <c r="H46" i="9"/>
  <c r="F46" i="9"/>
  <c r="D46" i="9"/>
  <c r="B46" i="9"/>
  <c r="O45" i="9" a="1"/>
  <c r="O45" i="9" s="1"/>
  <c r="M45" i="9" a="1"/>
  <c r="M45" i="9" s="1"/>
  <c r="K45" i="9" a="1"/>
  <c r="K45" i="9" s="1"/>
  <c r="I45" i="9" a="1"/>
  <c r="I45" i="9" s="1"/>
  <c r="H45" i="9" a="1"/>
  <c r="H45" i="9" s="1"/>
  <c r="F45" i="9" a="1"/>
  <c r="F45" i="9" s="1"/>
  <c r="D45" i="9" a="1"/>
  <c r="D45" i="9" s="1"/>
  <c r="B45" i="9" a="1"/>
  <c r="B45" i="9" s="1"/>
  <c r="P44" i="9"/>
  <c r="P43" i="9"/>
  <c r="P42" i="9"/>
  <c r="P41" i="9"/>
  <c r="P40" i="9"/>
  <c r="P39" i="9"/>
  <c r="P38" i="9"/>
  <c r="P37" i="9"/>
  <c r="P36" i="9"/>
  <c r="P35" i="9"/>
  <c r="P34" i="9"/>
  <c r="P33" i="9"/>
  <c r="P32" i="9"/>
  <c r="P31" i="9"/>
  <c r="P30" i="9"/>
  <c r="P29" i="9"/>
  <c r="P28" i="9"/>
  <c r="P27" i="9"/>
  <c r="P26" i="9"/>
  <c r="P25" i="9"/>
  <c r="P24" i="9"/>
  <c r="P23" i="9"/>
  <c r="P22" i="9"/>
  <c r="P21" i="9"/>
  <c r="P20" i="9"/>
  <c r="P19" i="9"/>
  <c r="P18" i="9"/>
  <c r="P17" i="9"/>
  <c r="P16" i="9"/>
  <c r="P15" i="9"/>
  <c r="P14" i="9"/>
  <c r="D8" i="9"/>
  <c r="M6" i="9"/>
  <c r="D6" i="9"/>
  <c r="M3" i="9"/>
  <c r="D3" i="9"/>
  <c r="K51" i="7"/>
  <c r="H51" i="7"/>
  <c r="H49" i="7"/>
  <c r="L47" i="7" a="1"/>
  <c r="L47" i="7" s="1"/>
  <c r="K47" i="7" a="1"/>
  <c r="K47" i="7" s="1"/>
  <c r="J47" i="7" a="1"/>
  <c r="J47" i="7" s="1"/>
  <c r="I47" i="7" a="1"/>
  <c r="I47" i="7" s="1"/>
  <c r="H47" i="7" a="1"/>
  <c r="H47" i="7" s="1"/>
  <c r="G47" i="7" a="1"/>
  <c r="G47" i="7" s="1"/>
  <c r="F47" i="7" a="1"/>
  <c r="F47" i="7" s="1"/>
  <c r="E47" i="7" a="1"/>
  <c r="E47" i="7" s="1"/>
  <c r="D47" i="7" a="1"/>
  <c r="D47" i="7" s="1"/>
  <c r="C47" i="7" a="1"/>
  <c r="C47" i="7" s="1"/>
  <c r="B47" i="7" a="1"/>
  <c r="B47" i="7" s="1"/>
  <c r="L46" i="7" a="1"/>
  <c r="L46" i="7" s="1"/>
  <c r="K46" i="7" a="1"/>
  <c r="K46" i="7" s="1"/>
  <c r="J46" i="7" a="1"/>
  <c r="J46" i="7" s="1"/>
  <c r="I46" i="7" a="1"/>
  <c r="I46" i="7" s="1"/>
  <c r="H46" i="7" a="1"/>
  <c r="H46" i="7" s="1"/>
  <c r="G46" i="7" a="1"/>
  <c r="G46" i="7" s="1"/>
  <c r="F46" i="7" a="1"/>
  <c r="F46" i="7" s="1"/>
  <c r="E46" i="7" a="1"/>
  <c r="E46" i="7" s="1"/>
  <c r="D46" i="7" a="1"/>
  <c r="D46" i="7" s="1"/>
  <c r="C46" i="7" a="1"/>
  <c r="C46" i="7" s="1"/>
  <c r="B46" i="7" a="1"/>
  <c r="B46" i="7" s="1"/>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M43" i="7"/>
  <c r="M42" i="7"/>
  <c r="M41" i="7"/>
  <c r="M40" i="7"/>
  <c r="M39" i="7"/>
  <c r="M38" i="7"/>
  <c r="M37" i="7"/>
  <c r="M36" i="7"/>
  <c r="M35" i="7"/>
  <c r="M34" i="7"/>
  <c r="M33" i="7"/>
  <c r="M32" i="7"/>
  <c r="M31" i="7"/>
  <c r="M30" i="7"/>
  <c r="M29" i="7"/>
  <c r="M28" i="7"/>
  <c r="M27" i="7"/>
  <c r="M26" i="7"/>
  <c r="M25" i="7"/>
  <c r="M24" i="7"/>
  <c r="M23" i="7"/>
  <c r="M22" i="7"/>
  <c r="M21" i="7"/>
  <c r="M20" i="7"/>
  <c r="M19" i="7"/>
  <c r="M18" i="7"/>
  <c r="M17" i="7"/>
  <c r="M16" i="7"/>
  <c r="M15" i="7"/>
  <c r="M14" i="7"/>
  <c r="M13" i="7"/>
  <c r="L45" i="7" a="1"/>
  <c r="L45" i="7" s="1"/>
  <c r="K45" i="7" a="1"/>
  <c r="K45" i="7" s="1"/>
  <c r="J45" i="7" a="1"/>
  <c r="J45" i="7" s="1"/>
  <c r="I45" i="7" a="1"/>
  <c r="I45" i="7" s="1"/>
  <c r="H45" i="7" a="1"/>
  <c r="H45" i="7" s="1"/>
  <c r="G45" i="7" a="1"/>
  <c r="G45" i="7" s="1"/>
  <c r="F45" i="7" a="1"/>
  <c r="F45" i="7" s="1"/>
  <c r="E45" i="7" a="1"/>
  <c r="E45" i="7" s="1"/>
  <c r="D45" i="7" a="1"/>
  <c r="D45" i="7" s="1"/>
  <c r="C45" i="7" a="1"/>
  <c r="C45" i="7" s="1"/>
  <c r="B45" i="7" a="1"/>
  <c r="B45" i="7" s="1"/>
  <c r="H8" i="7"/>
  <c r="H7" i="7"/>
  <c r="C7" i="7"/>
  <c r="H5" i="7"/>
  <c r="C5" i="7"/>
  <c r="H3" i="7"/>
  <c r="C3" i="7"/>
  <c r="P46" i="6"/>
  <c r="P45" i="6"/>
  <c r="P44" i="6"/>
  <c r="A36" i="6"/>
  <c r="C36" i="6"/>
  <c r="E36" i="6"/>
  <c r="G36" i="6"/>
  <c r="I36" i="6"/>
  <c r="Q28" i="6"/>
  <c r="Q30" i="6"/>
  <c r="Q32" i="6"/>
  <c r="Q34" i="6"/>
  <c r="I35" i="6"/>
  <c r="G35" i="6"/>
  <c r="E35" i="6"/>
  <c r="C35" i="6"/>
  <c r="A35" i="6"/>
  <c r="A10" i="6"/>
  <c r="C10" i="6"/>
  <c r="E10" i="6"/>
  <c r="G10" i="6"/>
  <c r="I10" i="6"/>
  <c r="P6" i="6"/>
  <c r="M6" i="6"/>
  <c r="P4" i="6"/>
  <c r="M4" i="6"/>
  <c r="M2" i="6"/>
  <c r="M49" i="5"/>
  <c r="J49" i="5"/>
  <c r="O47" i="5"/>
  <c r="J47" i="5"/>
  <c r="N13" i="5" a="1"/>
  <c r="N17" i="5" s="1"/>
  <c r="Q13" i="5"/>
  <c r="R13" i="5" s="1"/>
  <c r="Q14" i="5"/>
  <c r="R14" i="5" s="1"/>
  <c r="Q15" i="5"/>
  <c r="R15" i="5" s="1"/>
  <c r="Q16" i="5"/>
  <c r="R16" i="5" s="1"/>
  <c r="Q17" i="5"/>
  <c r="R17" i="5" s="1"/>
  <c r="Q18" i="5"/>
  <c r="R18" i="5" s="1"/>
  <c r="Q19" i="5"/>
  <c r="R19" i="5" s="1"/>
  <c r="Q20" i="5"/>
  <c r="R20" i="5" s="1"/>
  <c r="Q21" i="5"/>
  <c r="R21" i="5" s="1"/>
  <c r="Q22" i="5"/>
  <c r="R22" i="5" s="1"/>
  <c r="Q23" i="5"/>
  <c r="R23" i="5" s="1"/>
  <c r="Q24" i="5"/>
  <c r="R24" i="5" s="1"/>
  <c r="Q25" i="5"/>
  <c r="R25" i="5" s="1"/>
  <c r="Q26" i="5"/>
  <c r="R26" i="5" s="1"/>
  <c r="Q27" i="5"/>
  <c r="R27" i="5" s="1"/>
  <c r="Q28" i="5"/>
  <c r="R28" i="5" s="1"/>
  <c r="Q29" i="5"/>
  <c r="R29" i="5" s="1"/>
  <c r="Q30" i="5"/>
  <c r="R30" i="5" s="1"/>
  <c r="Q31" i="5"/>
  <c r="R31" i="5" s="1"/>
  <c r="Q32" i="5"/>
  <c r="R32" i="5" s="1"/>
  <c r="Q33" i="5"/>
  <c r="R33" i="5" s="1"/>
  <c r="Q34" i="5"/>
  <c r="R34" i="5" s="1"/>
  <c r="Q35" i="5"/>
  <c r="R35" i="5" s="1"/>
  <c r="Q36" i="5"/>
  <c r="R36" i="5" s="1"/>
  <c r="Q37" i="5"/>
  <c r="R37" i="5" s="1"/>
  <c r="Q38" i="5"/>
  <c r="R38" i="5" s="1"/>
  <c r="Q39" i="5"/>
  <c r="R39" i="5" s="1"/>
  <c r="Q40" i="5"/>
  <c r="R40" i="5" s="1"/>
  <c r="Q41" i="5"/>
  <c r="R41" i="5" s="1"/>
  <c r="Q42" i="5"/>
  <c r="R42" i="5" s="1"/>
  <c r="Q43" i="5"/>
  <c r="R43" i="5" s="1"/>
  <c r="P13" i="5"/>
  <c r="P14" i="5"/>
  <c r="AT17" i="2" s="1"/>
  <c r="AV17" i="2" s="1"/>
  <c r="P15" i="5"/>
  <c r="P16" i="5"/>
  <c r="P17" i="5"/>
  <c r="P18" i="5"/>
  <c r="AT21" i="2" s="1"/>
  <c r="AV21" i="2" s="1"/>
  <c r="P19" i="5"/>
  <c r="AT22" i="2" s="1"/>
  <c r="AV22" i="2" s="1"/>
  <c r="P20" i="5"/>
  <c r="AT23" i="2" s="1"/>
  <c r="AV23" i="2" s="1"/>
  <c r="P21" i="5"/>
  <c r="AT24" i="2" s="1"/>
  <c r="AV24" i="2" s="1"/>
  <c r="P22" i="5"/>
  <c r="AT25" i="2" s="1"/>
  <c r="AV25" i="2" s="1"/>
  <c r="P23" i="5"/>
  <c r="P24" i="5"/>
  <c r="AT27" i="2" s="1"/>
  <c r="AV27" i="2" s="1"/>
  <c r="P25" i="5"/>
  <c r="P26" i="5"/>
  <c r="AT29" i="2" s="1"/>
  <c r="AV29" i="2" s="1"/>
  <c r="P27" i="5"/>
  <c r="P28" i="5"/>
  <c r="AT31" i="2" s="1"/>
  <c r="AV31" i="2" s="1"/>
  <c r="P29" i="5"/>
  <c r="AT32" i="2" s="1"/>
  <c r="AV32" i="2" s="1"/>
  <c r="P30" i="5"/>
  <c r="AT33" i="2" s="1"/>
  <c r="AV33" i="2" s="1"/>
  <c r="P31" i="5"/>
  <c r="P32" i="5"/>
  <c r="P33" i="5"/>
  <c r="AT36" i="2" s="1"/>
  <c r="AV36" i="2" s="1"/>
  <c r="P34" i="5"/>
  <c r="AT37" i="2" s="1"/>
  <c r="AV37" i="2" s="1"/>
  <c r="P35" i="5"/>
  <c r="P36" i="5"/>
  <c r="AT39" i="2" s="1"/>
  <c r="AV39" i="2" s="1"/>
  <c r="P37" i="5"/>
  <c r="AT40" i="2" s="1"/>
  <c r="AV40" i="2" s="1"/>
  <c r="P38" i="5"/>
  <c r="AT41" i="2" s="1"/>
  <c r="AV41" i="2" s="1"/>
  <c r="P39" i="5"/>
  <c r="P40" i="5"/>
  <c r="P41" i="5"/>
  <c r="AT44" i="2" s="1"/>
  <c r="P42" i="5"/>
  <c r="P43" i="5"/>
  <c r="AT46" i="2" s="1"/>
  <c r="AV46" i="2" s="1"/>
  <c r="K45" i="5"/>
  <c r="J34" i="12" s="1"/>
  <c r="G45" i="5"/>
  <c r="C45" i="5"/>
  <c r="D34" i="12" s="1"/>
  <c r="X43" i="5"/>
  <c r="W43" i="5"/>
  <c r="V43" i="5"/>
  <c r="U43" i="5"/>
  <c r="T43" i="5"/>
  <c r="S43" i="5"/>
  <c r="X42" i="5"/>
  <c r="W42" i="5"/>
  <c r="V42" i="5"/>
  <c r="U42" i="5"/>
  <c r="T42" i="5"/>
  <c r="S42" i="5"/>
  <c r="X41" i="5"/>
  <c r="W41" i="5"/>
  <c r="V41" i="5"/>
  <c r="U41" i="5"/>
  <c r="T41" i="5"/>
  <c r="S41" i="5"/>
  <c r="X40" i="5"/>
  <c r="W40" i="5"/>
  <c r="V40" i="5"/>
  <c r="U40" i="5"/>
  <c r="T40" i="5"/>
  <c r="S40" i="5"/>
  <c r="X39" i="5"/>
  <c r="W39" i="5"/>
  <c r="V39" i="5"/>
  <c r="U39" i="5"/>
  <c r="T39" i="5"/>
  <c r="S39" i="5"/>
  <c r="X38" i="5"/>
  <c r="W38" i="5"/>
  <c r="V38" i="5"/>
  <c r="U38" i="5"/>
  <c r="T38" i="5"/>
  <c r="S38" i="5"/>
  <c r="X37" i="5"/>
  <c r="W37" i="5"/>
  <c r="V37" i="5"/>
  <c r="U37" i="5"/>
  <c r="T37" i="5"/>
  <c r="S37" i="5"/>
  <c r="X36" i="5"/>
  <c r="W36" i="5"/>
  <c r="V36" i="5"/>
  <c r="U36" i="5"/>
  <c r="T36" i="5"/>
  <c r="S36" i="5"/>
  <c r="X35" i="5"/>
  <c r="W35" i="5"/>
  <c r="V35" i="5"/>
  <c r="U35" i="5"/>
  <c r="T35" i="5"/>
  <c r="S35" i="5"/>
  <c r="X34" i="5"/>
  <c r="W34" i="5"/>
  <c r="V34" i="5"/>
  <c r="U34" i="5"/>
  <c r="T34" i="5"/>
  <c r="S34" i="5"/>
  <c r="X33" i="5"/>
  <c r="W33" i="5"/>
  <c r="V33" i="5"/>
  <c r="U33" i="5"/>
  <c r="T33" i="5"/>
  <c r="S33" i="5"/>
  <c r="X32" i="5"/>
  <c r="W32" i="5"/>
  <c r="V32" i="5"/>
  <c r="U32" i="5"/>
  <c r="T32" i="5"/>
  <c r="S32" i="5"/>
  <c r="X31" i="5"/>
  <c r="W31" i="5"/>
  <c r="V31" i="5"/>
  <c r="U31" i="5"/>
  <c r="T31" i="5"/>
  <c r="S31" i="5"/>
  <c r="X30" i="5"/>
  <c r="W30" i="5"/>
  <c r="V30" i="5"/>
  <c r="U30" i="5"/>
  <c r="T30" i="5"/>
  <c r="S30" i="5"/>
  <c r="X29" i="5"/>
  <c r="W29" i="5"/>
  <c r="V29" i="5"/>
  <c r="U29" i="5"/>
  <c r="T29" i="5"/>
  <c r="S29" i="5"/>
  <c r="X28" i="5"/>
  <c r="W28" i="5"/>
  <c r="V28" i="5"/>
  <c r="U28" i="5"/>
  <c r="T28" i="5"/>
  <c r="S28" i="5"/>
  <c r="X27" i="5"/>
  <c r="W27" i="5"/>
  <c r="V27" i="5"/>
  <c r="U27" i="5"/>
  <c r="T27" i="5"/>
  <c r="S27" i="5"/>
  <c r="X26" i="5"/>
  <c r="W26" i="5"/>
  <c r="V26" i="5"/>
  <c r="U26" i="5"/>
  <c r="T26" i="5"/>
  <c r="S26" i="5"/>
  <c r="X25" i="5"/>
  <c r="W25" i="5"/>
  <c r="V25" i="5"/>
  <c r="U25" i="5"/>
  <c r="T25" i="5"/>
  <c r="S25" i="5"/>
  <c r="X24" i="5"/>
  <c r="W24" i="5"/>
  <c r="V24" i="5"/>
  <c r="U24" i="5"/>
  <c r="T24" i="5"/>
  <c r="S24" i="5"/>
  <c r="X23" i="5"/>
  <c r="W23" i="5"/>
  <c r="V23" i="5"/>
  <c r="U23" i="5"/>
  <c r="T23" i="5"/>
  <c r="S23" i="5"/>
  <c r="X22" i="5"/>
  <c r="W22" i="5"/>
  <c r="V22" i="5"/>
  <c r="U22" i="5"/>
  <c r="T22" i="5"/>
  <c r="S22" i="5"/>
  <c r="X21" i="5"/>
  <c r="W21" i="5"/>
  <c r="V21" i="5"/>
  <c r="U21" i="5"/>
  <c r="T21" i="5"/>
  <c r="S21" i="5"/>
  <c r="X20" i="5"/>
  <c r="W20" i="5"/>
  <c r="V20" i="5"/>
  <c r="U20" i="5"/>
  <c r="T20" i="5"/>
  <c r="S20" i="5"/>
  <c r="X19" i="5"/>
  <c r="W19" i="5"/>
  <c r="V19" i="5"/>
  <c r="U19" i="5"/>
  <c r="T19" i="5"/>
  <c r="S19" i="5"/>
  <c r="X18" i="5"/>
  <c r="W18" i="5"/>
  <c r="V18" i="5"/>
  <c r="U18" i="5"/>
  <c r="T18" i="5"/>
  <c r="S18" i="5"/>
  <c r="X17" i="5"/>
  <c r="W17" i="5"/>
  <c r="V17" i="5"/>
  <c r="U17" i="5"/>
  <c r="T17" i="5"/>
  <c r="S17" i="5"/>
  <c r="X16" i="5"/>
  <c r="W16" i="5"/>
  <c r="V16" i="5"/>
  <c r="U16" i="5"/>
  <c r="T16" i="5"/>
  <c r="S16" i="5"/>
  <c r="X15" i="5"/>
  <c r="W15" i="5"/>
  <c r="V15" i="5"/>
  <c r="U15" i="5"/>
  <c r="T15" i="5"/>
  <c r="S15" i="5"/>
  <c r="X14" i="5"/>
  <c r="W14" i="5"/>
  <c r="V14" i="5"/>
  <c r="U14" i="5"/>
  <c r="T14" i="5"/>
  <c r="S14" i="5"/>
  <c r="X13" i="5"/>
  <c r="W13" i="5"/>
  <c r="V13" i="5"/>
  <c r="U13" i="5"/>
  <c r="T13" i="5"/>
  <c r="S13" i="5"/>
  <c r="J8" i="5"/>
  <c r="J7" i="5"/>
  <c r="D7" i="5"/>
  <c r="J5" i="5"/>
  <c r="D5" i="5"/>
  <c r="J3" i="5"/>
  <c r="D3" i="5"/>
  <c r="N1" i="5"/>
  <c r="O47" i="4"/>
  <c r="N47" i="4"/>
  <c r="M47" i="4"/>
  <c r="J47" i="4"/>
  <c r="O46" i="4"/>
  <c r="N46" i="4"/>
  <c r="O45" i="4"/>
  <c r="J45" i="4"/>
  <c r="N11" i="4" a="1"/>
  <c r="N31" i="4" s="1"/>
  <c r="K43" i="4"/>
  <c r="G43" i="4"/>
  <c r="C43" i="4"/>
  <c r="J10" i="12" s="1"/>
  <c r="P41" i="4"/>
  <c r="P40" i="4"/>
  <c r="AU45" i="2" s="1"/>
  <c r="AW45" i="2" s="1"/>
  <c r="P39" i="4"/>
  <c r="AU44" i="2" s="1"/>
  <c r="AW44" i="2" s="1"/>
  <c r="P38" i="4"/>
  <c r="P37" i="4"/>
  <c r="P36" i="4"/>
  <c r="AU41" i="2" s="1"/>
  <c r="AW41" i="2" s="1"/>
  <c r="P35" i="4"/>
  <c r="AU40" i="2" s="1"/>
  <c r="AW40" i="2" s="1"/>
  <c r="P34" i="4"/>
  <c r="P33" i="4"/>
  <c r="P32" i="4"/>
  <c r="P31" i="4"/>
  <c r="P30" i="4"/>
  <c r="AU35" i="2" s="1"/>
  <c r="AW35" i="2" s="1"/>
  <c r="P29" i="4"/>
  <c r="P28" i="4"/>
  <c r="AU33" i="2" s="1"/>
  <c r="AW33" i="2" s="1"/>
  <c r="P27" i="4"/>
  <c r="P26" i="4"/>
  <c r="P25" i="4"/>
  <c r="P24" i="4"/>
  <c r="AU29" i="2" s="1"/>
  <c r="AW29" i="2" s="1"/>
  <c r="P23" i="4"/>
  <c r="AU28" i="2" s="1"/>
  <c r="AW28" i="2" s="1"/>
  <c r="P22" i="4"/>
  <c r="P21" i="4"/>
  <c r="P20" i="4"/>
  <c r="P19" i="4"/>
  <c r="P18" i="4"/>
  <c r="P17" i="4"/>
  <c r="P16" i="4"/>
  <c r="P15" i="4"/>
  <c r="AU20" i="2" s="1"/>
  <c r="AW20" i="2" s="1"/>
  <c r="P14" i="4"/>
  <c r="AU19" i="2" s="1"/>
  <c r="AW19" i="2" s="1"/>
  <c r="P13" i="4"/>
  <c r="P12" i="4"/>
  <c r="AU17" i="2" s="1"/>
  <c r="AW17" i="2" s="1"/>
  <c r="P11" i="4"/>
  <c r="AU16" i="2" s="1"/>
  <c r="J8" i="4"/>
  <c r="J7" i="4"/>
  <c r="D7" i="4"/>
  <c r="J5" i="4"/>
  <c r="D5" i="4"/>
  <c r="J3" i="4"/>
  <c r="D3" i="4"/>
  <c r="AG51" i="3"/>
  <c r="AC51" i="3"/>
  <c r="AC49" i="3"/>
  <c r="AP48" i="3"/>
  <c r="D41" i="12" s="1"/>
  <c r="AT47" i="3"/>
  <c r="AR47" i="3"/>
  <c r="AP47" i="3"/>
  <c r="D40" i="12" s="1"/>
  <c r="AO47" i="3"/>
  <c r="AN47" i="3"/>
  <c r="AM47" i="3"/>
  <c r="AL47" i="3"/>
  <c r="AK47" i="3"/>
  <c r="AJ47" i="3"/>
  <c r="AI47" i="3"/>
  <c r="AH47" i="3"/>
  <c r="AG47" i="3"/>
  <c r="AF47" i="3"/>
  <c r="AE47" i="3"/>
  <c r="AD47" i="3"/>
  <c r="AC47" i="3"/>
  <c r="AB47" i="3"/>
  <c r="AA47" i="3"/>
  <c r="Z47" i="3"/>
  <c r="Y47" i="3"/>
  <c r="X47" i="3"/>
  <c r="W47" i="3"/>
  <c r="V47" i="3"/>
  <c r="U47" i="3"/>
  <c r="T47" i="3"/>
  <c r="S47" i="3"/>
  <c r="R47" i="3"/>
  <c r="Q47" i="3"/>
  <c r="P47" i="3"/>
  <c r="O47" i="3"/>
  <c r="N47" i="3"/>
  <c r="M47" i="3"/>
  <c r="L47" i="3"/>
  <c r="K47" i="3"/>
  <c r="J47" i="3"/>
  <c r="I47" i="3"/>
  <c r="H47" i="3"/>
  <c r="G47" i="3"/>
  <c r="F47" i="3"/>
  <c r="E47" i="3"/>
  <c r="D47" i="3"/>
  <c r="C47" i="3"/>
  <c r="B47" i="3"/>
  <c r="AT46" i="3" a="1"/>
  <c r="AT46" i="3" s="1"/>
  <c r="AP46" i="3" a="1"/>
  <c r="AP46" i="3" s="1"/>
  <c r="AO46" i="3" a="1"/>
  <c r="AO46" i="3" s="1"/>
  <c r="AN46" i="3" a="1"/>
  <c r="AN46" i="3" s="1"/>
  <c r="AM46" i="3" a="1"/>
  <c r="AM46" i="3" s="1"/>
  <c r="AL46" i="3" a="1"/>
  <c r="AL46" i="3" s="1"/>
  <c r="AK46" i="3" a="1"/>
  <c r="AK46" i="3" s="1"/>
  <c r="AJ46" i="3" a="1"/>
  <c r="AJ46" i="3" s="1"/>
  <c r="AI46" i="3" a="1"/>
  <c r="AI46" i="3" s="1"/>
  <c r="AH46" i="3" a="1"/>
  <c r="AH46" i="3" s="1"/>
  <c r="AG46" i="3" a="1"/>
  <c r="AG46" i="3" s="1"/>
  <c r="AF46" i="3" a="1"/>
  <c r="AF46" i="3" s="1"/>
  <c r="AE46" i="3" a="1"/>
  <c r="AE46" i="3" s="1"/>
  <c r="AD46" i="3" a="1"/>
  <c r="AD46" i="3" s="1"/>
  <c r="AC46" i="3" a="1"/>
  <c r="AC46" i="3" s="1"/>
  <c r="AB46" i="3" a="1"/>
  <c r="AB46" i="3" s="1"/>
  <c r="AA46" i="3" a="1"/>
  <c r="AA46" i="3" s="1"/>
  <c r="Z46" i="3" a="1"/>
  <c r="Z46" i="3" s="1"/>
  <c r="Y46" i="3" a="1"/>
  <c r="Y46" i="3" s="1"/>
  <c r="X46" i="3" a="1"/>
  <c r="X46" i="3" s="1"/>
  <c r="W46" i="3" a="1"/>
  <c r="W46" i="3" s="1"/>
  <c r="V46" i="3" a="1"/>
  <c r="V46" i="3" s="1"/>
  <c r="U46" i="3" a="1"/>
  <c r="U46" i="3" s="1"/>
  <c r="T46" i="3" a="1"/>
  <c r="T46" i="3" s="1"/>
  <c r="S46" i="3" a="1"/>
  <c r="S46" i="3" s="1"/>
  <c r="R46" i="3" a="1"/>
  <c r="R46" i="3" s="1"/>
  <c r="Q46" i="3" a="1"/>
  <c r="Q46" i="3" s="1"/>
  <c r="P46" i="3" a="1"/>
  <c r="P46" i="3" s="1"/>
  <c r="O46" i="3" a="1"/>
  <c r="O46" i="3" s="1"/>
  <c r="N46" i="3" a="1"/>
  <c r="N46" i="3" s="1"/>
  <c r="M46" i="3" a="1"/>
  <c r="M46" i="3" s="1"/>
  <c r="L46" i="3" a="1"/>
  <c r="L46" i="3" s="1"/>
  <c r="K46" i="3" a="1"/>
  <c r="K46" i="3" s="1"/>
  <c r="J46" i="3" a="1"/>
  <c r="J46" i="3" s="1"/>
  <c r="I46" i="3" a="1"/>
  <c r="I46" i="3" s="1"/>
  <c r="H46" i="3" a="1"/>
  <c r="H46" i="3" s="1"/>
  <c r="G46" i="3" a="1"/>
  <c r="G46" i="3" s="1"/>
  <c r="F46" i="3" a="1"/>
  <c r="F46" i="3" s="1"/>
  <c r="E46" i="3" a="1"/>
  <c r="E46" i="3" s="1"/>
  <c r="B46" i="3" a="1"/>
  <c r="B46" i="3" s="1"/>
  <c r="AT45" i="3"/>
  <c r="AP45" i="3"/>
  <c r="AO45" i="3"/>
  <c r="AN45" i="3"/>
  <c r="AM45" i="3"/>
  <c r="AL45" i="3"/>
  <c r="AK45" i="3"/>
  <c r="AJ45" i="3"/>
  <c r="AI45" i="3"/>
  <c r="AH45" i="3"/>
  <c r="AG45" i="3"/>
  <c r="AF45" i="3"/>
  <c r="AE45" i="3"/>
  <c r="AD45" i="3"/>
  <c r="AC45" i="3"/>
  <c r="AB45" i="3"/>
  <c r="AA45" i="3"/>
  <c r="Z45" i="3"/>
  <c r="Y45" i="3"/>
  <c r="X45" i="3"/>
  <c r="W45" i="3"/>
  <c r="V45" i="3"/>
  <c r="U45" i="3"/>
  <c r="T45" i="3"/>
  <c r="S45" i="3"/>
  <c r="R45" i="3"/>
  <c r="Q45" i="3"/>
  <c r="P45" i="3"/>
  <c r="O45" i="3"/>
  <c r="N45" i="3"/>
  <c r="M45" i="3"/>
  <c r="L45" i="3"/>
  <c r="K45" i="3"/>
  <c r="J45" i="3"/>
  <c r="I45" i="3"/>
  <c r="H45" i="3"/>
  <c r="G45" i="3"/>
  <c r="F45" i="3"/>
  <c r="E45" i="3"/>
  <c r="B45" i="3"/>
  <c r="AT44" i="3" a="1"/>
  <c r="AT44" i="3" s="1"/>
  <c r="AR44" i="3" a="1"/>
  <c r="AR44" i="3" s="1"/>
  <c r="AP44" i="3" a="1"/>
  <c r="AP44" i="3" s="1"/>
  <c r="AO44" i="3" a="1"/>
  <c r="AO44" i="3" s="1"/>
  <c r="AN44" i="3" a="1"/>
  <c r="AN44" i="3" s="1"/>
  <c r="AM44" i="3" a="1"/>
  <c r="AM44" i="3" s="1"/>
  <c r="AL44" i="3" a="1"/>
  <c r="AL44" i="3" s="1"/>
  <c r="AK44" i="3" a="1"/>
  <c r="AK44" i="3" s="1"/>
  <c r="AJ44" i="3" a="1"/>
  <c r="AJ44" i="3" s="1"/>
  <c r="AI44" i="3" a="1"/>
  <c r="AI44" i="3" s="1"/>
  <c r="AH44" i="3" a="1"/>
  <c r="AH44" i="3" s="1"/>
  <c r="AG44" i="3" a="1"/>
  <c r="AG44" i="3" s="1"/>
  <c r="AF44" i="3" a="1"/>
  <c r="AF44" i="3" s="1"/>
  <c r="AE44" i="3" a="1"/>
  <c r="AE44" i="3" s="1"/>
  <c r="AD44" i="3" a="1"/>
  <c r="AD44" i="3" s="1"/>
  <c r="AC44" i="3" a="1"/>
  <c r="AC44" i="3" s="1"/>
  <c r="AB44" i="3" a="1"/>
  <c r="AB44" i="3" s="1"/>
  <c r="AA44" i="3" a="1"/>
  <c r="AA44" i="3" s="1"/>
  <c r="Z44" i="3" a="1"/>
  <c r="Z44" i="3" s="1"/>
  <c r="Y44" i="3" a="1"/>
  <c r="Y44" i="3" s="1"/>
  <c r="X44" i="3" a="1"/>
  <c r="X44" i="3" s="1"/>
  <c r="W44" i="3" a="1"/>
  <c r="W44" i="3" s="1"/>
  <c r="V44" i="3" a="1"/>
  <c r="V44" i="3" s="1"/>
  <c r="U44" i="3" a="1"/>
  <c r="U44" i="3" s="1"/>
  <c r="T44" i="3" a="1"/>
  <c r="T44" i="3" s="1"/>
  <c r="S44" i="3" a="1"/>
  <c r="S44" i="3" s="1"/>
  <c r="R44" i="3" a="1"/>
  <c r="R44" i="3" s="1"/>
  <c r="Q44" i="3" a="1"/>
  <c r="Q44" i="3" s="1"/>
  <c r="P44" i="3" a="1"/>
  <c r="P44" i="3" s="1"/>
  <c r="O44" i="3" a="1"/>
  <c r="O44" i="3" s="1"/>
  <c r="N44" i="3" a="1"/>
  <c r="N44" i="3" s="1"/>
  <c r="M44" i="3" a="1"/>
  <c r="M44" i="3" s="1"/>
  <c r="L44" i="3" a="1"/>
  <c r="L44" i="3" s="1"/>
  <c r="K44" i="3" a="1"/>
  <c r="K44" i="3" s="1"/>
  <c r="J44" i="3" a="1"/>
  <c r="J44" i="3" s="1"/>
  <c r="I44" i="3" a="1"/>
  <c r="I44" i="3" s="1"/>
  <c r="H44" i="3" a="1"/>
  <c r="H44" i="3" s="1"/>
  <c r="G44" i="3" a="1"/>
  <c r="G44" i="3" s="1"/>
  <c r="F44" i="3" a="1"/>
  <c r="F44" i="3" s="1"/>
  <c r="E44" i="3" a="1"/>
  <c r="E44" i="3" s="1"/>
  <c r="D44" i="3" a="1"/>
  <c r="D44" i="3" s="1"/>
  <c r="C44" i="3" a="1"/>
  <c r="C44" i="3" s="1"/>
  <c r="AS10" i="3"/>
  <c r="AQ10" i="3"/>
  <c r="AO5" i="3"/>
  <c r="F5" i="3"/>
  <c r="AO3" i="3"/>
  <c r="F3" i="3"/>
  <c r="F1" i="3"/>
  <c r="AI56" i="2"/>
  <c r="AE56" i="2"/>
  <c r="AE54" i="2"/>
  <c r="AE5" i="2"/>
  <c r="E5" i="2"/>
  <c r="AE3" i="2"/>
  <c r="E3" i="2"/>
  <c r="E1" i="2"/>
  <c r="E72" i="1"/>
  <c r="AV44" i="2"/>
  <c r="F52" i="2"/>
  <c r="P45" i="5" l="1"/>
  <c r="Q37" i="6"/>
  <c r="AT34" i="2"/>
  <c r="AV34" i="2" s="1"/>
  <c r="AT28" i="2"/>
  <c r="AV28" i="2" s="1"/>
  <c r="AT19" i="2"/>
  <c r="AV19" i="2" s="1"/>
  <c r="AT43" i="2"/>
  <c r="AT30" i="2"/>
  <c r="AV30" i="2" s="1"/>
  <c r="AT18" i="2"/>
  <c r="AV18" i="2" s="1"/>
  <c r="AT42" i="2"/>
  <c r="AV42" i="2" s="1"/>
  <c r="AT26" i="2"/>
  <c r="AV26" i="2" s="1"/>
  <c r="AT45" i="2"/>
  <c r="AV45" i="2" s="1"/>
  <c r="AT38" i="2"/>
  <c r="AV38" i="2" s="1"/>
  <c r="AT35" i="2"/>
  <c r="AV35" i="2" s="1"/>
  <c r="AT20" i="2"/>
  <c r="AV20" i="2" s="1"/>
  <c r="AT16" i="2"/>
  <c r="AV16" i="2" s="1"/>
  <c r="AU32" i="2"/>
  <c r="AW32" i="2" s="1"/>
  <c r="AU39" i="2"/>
  <c r="AW39" i="2" s="1"/>
  <c r="AU43" i="2"/>
  <c r="AW43" i="2" s="1"/>
  <c r="J11" i="12"/>
  <c r="J9" i="12"/>
  <c r="AU22" i="2"/>
  <c r="AW22" i="2" s="1"/>
  <c r="AU23" i="2"/>
  <c r="AW23" i="2" s="1"/>
  <c r="AU27" i="2"/>
  <c r="AW27" i="2" s="1"/>
  <c r="AU36" i="2"/>
  <c r="AW36" i="2" s="1"/>
  <c r="AU46" i="2"/>
  <c r="AW46" i="2" s="1"/>
  <c r="Q31" i="4"/>
  <c r="AU26" i="2"/>
  <c r="AW26" i="2" s="1"/>
  <c r="AU18" i="2"/>
  <c r="AU24" i="2"/>
  <c r="AW24" i="2" s="1"/>
  <c r="AU30" i="2"/>
  <c r="AW30" i="2" s="1"/>
  <c r="AU34" i="2"/>
  <c r="AW34" i="2" s="1"/>
  <c r="AU37" i="2"/>
  <c r="AW37" i="2" s="1"/>
  <c r="AU21" i="2"/>
  <c r="AW21" i="2" s="1"/>
  <c r="AU25" i="2"/>
  <c r="AW25" i="2" s="1"/>
  <c r="AU31" i="2"/>
  <c r="AW31" i="2" s="1"/>
  <c r="AU38" i="2"/>
  <c r="AW38" i="2" s="1"/>
  <c r="AU42" i="2"/>
  <c r="AW42" i="2" s="1"/>
  <c r="N43" i="5"/>
  <c r="O43" i="5" s="1"/>
  <c r="N21" i="5"/>
  <c r="N31" i="5"/>
  <c r="O31" i="5" s="1"/>
  <c r="N27" i="5"/>
  <c r="N36" i="5"/>
  <c r="O36" i="5" s="1"/>
  <c r="N16" i="5"/>
  <c r="Y16" i="5" s="1"/>
  <c r="U51" i="11"/>
  <c r="B51" i="3"/>
  <c r="B56" i="2"/>
  <c r="A49" i="5"/>
  <c r="N40" i="4"/>
  <c r="Q40" i="4" s="1"/>
  <c r="A46" i="6"/>
  <c r="N39" i="5"/>
  <c r="Y39" i="5" s="1"/>
  <c r="N28" i="5"/>
  <c r="O28" i="5" s="1"/>
  <c r="N20" i="5"/>
  <c r="O20" i="5" s="1"/>
  <c r="N30" i="4"/>
  <c r="O30" i="4" s="1"/>
  <c r="R51" i="11"/>
  <c r="J37" i="12" s="1"/>
  <c r="A54" i="11"/>
  <c r="N35" i="5"/>
  <c r="Y35" i="5" s="1"/>
  <c r="N23" i="5"/>
  <c r="Y23" i="5" s="1"/>
  <c r="N13" i="5"/>
  <c r="O13" i="5" s="1"/>
  <c r="N18" i="4"/>
  <c r="O17" i="5"/>
  <c r="Y17" i="5"/>
  <c r="N40" i="5"/>
  <c r="Y40" i="5" s="1"/>
  <c r="N32" i="5"/>
  <c r="Y32" i="5" s="1"/>
  <c r="N24" i="5"/>
  <c r="O24" i="5" s="1"/>
  <c r="Q40" i="6"/>
  <c r="N12" i="4"/>
  <c r="Q12" i="4" s="1"/>
  <c r="N23" i="4"/>
  <c r="N35" i="4"/>
  <c r="Q35" i="4" s="1"/>
  <c r="N15" i="4"/>
  <c r="O15" i="4" s="1"/>
  <c r="N36" i="4"/>
  <c r="Q36" i="4" s="1"/>
  <c r="N14" i="5"/>
  <c r="N18" i="5"/>
  <c r="N22" i="5"/>
  <c r="N25" i="5"/>
  <c r="N29" i="5"/>
  <c r="Y29" i="5" s="1"/>
  <c r="N33" i="5"/>
  <c r="N37" i="5"/>
  <c r="N41" i="5"/>
  <c r="O41" i="5" s="1"/>
  <c r="N15" i="5"/>
  <c r="N19" i="5"/>
  <c r="N26" i="5"/>
  <c r="O26" i="5" s="1"/>
  <c r="N30" i="5"/>
  <c r="O30" i="5" s="1"/>
  <c r="N34" i="5"/>
  <c r="O34" i="5" s="1"/>
  <c r="N38" i="5"/>
  <c r="N42" i="5"/>
  <c r="V51" i="11"/>
  <c r="M45" i="7"/>
  <c r="Q42" i="6"/>
  <c r="Q41" i="6"/>
  <c r="N38" i="4"/>
  <c r="N33" i="4"/>
  <c r="N28" i="4"/>
  <c r="Q28" i="4" s="1"/>
  <c r="N22" i="4"/>
  <c r="O22" i="4" s="1"/>
  <c r="N13" i="4"/>
  <c r="J10" i="6"/>
  <c r="O16" i="5"/>
  <c r="O31" i="4"/>
  <c r="N26" i="4"/>
  <c r="Q26" i="4" s="1"/>
  <c r="N20" i="4"/>
  <c r="N16" i="4"/>
  <c r="N11" i="4"/>
  <c r="R45" i="5"/>
  <c r="Y21" i="5"/>
  <c r="O21" i="5"/>
  <c r="A51" i="7"/>
  <c r="A56" i="12"/>
  <c r="A47" i="4"/>
  <c r="Q45" i="5"/>
  <c r="N39" i="4"/>
  <c r="N34" i="4"/>
  <c r="N32" i="4"/>
  <c r="N29" i="4"/>
  <c r="N27" i="4"/>
  <c r="N25" i="4"/>
  <c r="N21" i="4"/>
  <c r="AW16" i="2"/>
  <c r="N41" i="4"/>
  <c r="N37" i="4"/>
  <c r="N24" i="4"/>
  <c r="N19" i="4"/>
  <c r="N17" i="4"/>
  <c r="N14" i="4"/>
  <c r="N45" i="7"/>
  <c r="Q30" i="4" l="1"/>
  <c r="O40" i="5"/>
  <c r="O36" i="4"/>
  <c r="AT47" i="2"/>
  <c r="AU47" i="2"/>
  <c r="Y36" i="5"/>
  <c r="Q15" i="4"/>
  <c r="Y43" i="5"/>
  <c r="AV43" i="2"/>
  <c r="AV47" i="2" s="1"/>
  <c r="AW18" i="2"/>
  <c r="AW47" i="2" s="1"/>
  <c r="Y26" i="5"/>
  <c r="O23" i="5"/>
  <c r="Y34" i="5"/>
  <c r="Y20" i="5"/>
  <c r="Y31" i="5"/>
  <c r="O32" i="5"/>
  <c r="O29" i="5"/>
  <c r="O40" i="4"/>
  <c r="O35" i="5"/>
  <c r="O26" i="4"/>
  <c r="O27" i="5"/>
  <c r="Y27" i="5"/>
  <c r="O35" i="4"/>
  <c r="O39" i="5"/>
  <c r="N45" i="5"/>
  <c r="J33" i="12" s="1"/>
  <c r="Q22" i="4"/>
  <c r="Y28" i="5"/>
  <c r="Y13" i="5"/>
  <c r="O18" i="4"/>
  <c r="Q18" i="4"/>
  <c r="Y38" i="5"/>
  <c r="O38" i="5"/>
  <c r="Y19" i="5"/>
  <c r="O19" i="5"/>
  <c r="O33" i="5"/>
  <c r="Y33" i="5"/>
  <c r="Y24" i="5"/>
  <c r="O12" i="4"/>
  <c r="Y15" i="5"/>
  <c r="O15" i="5"/>
  <c r="O14" i="5"/>
  <c r="Y14" i="5"/>
  <c r="O23" i="4"/>
  <c r="Q23" i="4"/>
  <c r="Y41" i="5"/>
  <c r="Y30" i="5"/>
  <c r="O42" i="5"/>
  <c r="Y42" i="5"/>
  <c r="O37" i="5"/>
  <c r="Y37" i="5"/>
  <c r="O22" i="5"/>
  <c r="Y22" i="5"/>
  <c r="O25" i="5"/>
  <c r="Y25" i="5"/>
  <c r="Y18" i="5"/>
  <c r="O18" i="5"/>
  <c r="Q11" i="4"/>
  <c r="O11" i="4"/>
  <c r="O13" i="4"/>
  <c r="Q13" i="4"/>
  <c r="Q38" i="4"/>
  <c r="O38" i="4"/>
  <c r="O16" i="4"/>
  <c r="Q16" i="4"/>
  <c r="Q20" i="4"/>
  <c r="O20" i="4"/>
  <c r="O28" i="4"/>
  <c r="Q33" i="4"/>
  <c r="O33" i="4"/>
  <c r="O27" i="4"/>
  <c r="Q27" i="4"/>
  <c r="Q17" i="4"/>
  <c r="O17" i="4"/>
  <c r="Q41" i="4"/>
  <c r="O41" i="4"/>
  <c r="O25" i="4"/>
  <c r="Q25" i="4"/>
  <c r="O34" i="4"/>
  <c r="Q34" i="4"/>
  <c r="O19" i="4"/>
  <c r="Q19" i="4"/>
  <c r="O39" i="4"/>
  <c r="Q39" i="4"/>
  <c r="O24" i="4"/>
  <c r="Q24" i="4"/>
  <c r="Q29" i="4"/>
  <c r="O29" i="4"/>
  <c r="O14" i="4"/>
  <c r="Q14" i="4"/>
  <c r="N43" i="4"/>
  <c r="Q37" i="4"/>
  <c r="O37" i="4"/>
  <c r="Q21" i="4"/>
  <c r="O21" i="4"/>
  <c r="O32" i="4"/>
  <c r="Q32" i="4"/>
  <c r="D9" i="12" l="1"/>
  <c r="D10" i="12" s="1"/>
  <c r="J8" i="12"/>
  <c r="D8" i="12"/>
  <c r="O45" i="5"/>
  <c r="Y45" i="5"/>
  <c r="O43" i="4"/>
  <c r="Q43" i="4"/>
  <c r="DQ15" i="1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lee_overington</author>
  </authors>
  <commentList>
    <comment ref="Q12" authorId="0" shapeId="0" xr:uid="{00000000-0006-0000-0400-000001000000}">
      <text>
        <r>
          <rPr>
            <sz val="8"/>
            <color indexed="8"/>
            <rFont val="Tahoma"/>
            <family val="2"/>
          </rPr>
          <t>Missing Required</t>
        </r>
      </text>
    </comment>
    <comment ref="R12" authorId="0" shapeId="0" xr:uid="{00000000-0006-0000-0400-000002000000}">
      <text>
        <r>
          <rPr>
            <sz val="8"/>
            <color indexed="8"/>
            <rFont val="Tahoma"/>
            <family val="2"/>
          </rPr>
          <t>Missing NOT Required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Lee_Overington</author>
  </authors>
  <commentList>
    <comment ref="A42" authorId="0" shapeId="0" xr:uid="{00000000-0006-0000-0500-000001000000}">
      <text>
        <r>
          <rPr>
            <b/>
            <sz val="8"/>
            <color indexed="8"/>
            <rFont val="Tahoma"/>
            <family val="2"/>
          </rPr>
          <t xml:space="preserve">IMPORTANT: 
</t>
        </r>
        <r>
          <rPr>
            <sz val="8"/>
            <color indexed="8"/>
            <rFont val="Tahoma"/>
            <family val="2"/>
          </rPr>
          <t>Entering a filter number in this cell will add a NEW blank row.</t>
        </r>
        <r>
          <rPr>
            <sz val="8"/>
            <color indexed="10"/>
            <rFont val="Tahoma"/>
            <family val="2"/>
          </rPr>
          <t xml:space="preserve"> </t>
        </r>
        <r>
          <rPr>
            <i/>
            <sz val="8"/>
            <color indexed="10"/>
            <rFont val="Tahoma"/>
            <family val="2"/>
          </rPr>
          <t>Use only when needed</t>
        </r>
        <r>
          <rPr>
            <sz val="8"/>
            <color indexed="10"/>
            <rFont val="Tahoma"/>
            <family val="2"/>
          </rPr>
          <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lee_overington</author>
    <author>Lee_Overington</author>
  </authors>
  <commentList>
    <comment ref="F22" authorId="0" shapeId="0" xr:uid="{00000000-0006-0000-0800-000001000000}">
      <text>
        <r>
          <rPr>
            <sz val="8"/>
            <color indexed="8"/>
            <rFont val="Tahoma"/>
            <family val="2"/>
          </rPr>
          <t xml:space="preserve">MRT or other site of high water age </t>
        </r>
      </text>
    </comment>
    <comment ref="R23" authorId="0" shapeId="0" xr:uid="{00000000-0006-0000-0800-000002000000}">
      <text>
        <r>
          <rPr>
            <sz val="8"/>
            <color indexed="8"/>
            <rFont val="Tahoma"/>
            <family val="2"/>
          </rPr>
          <t>used for Summary sheet calc</t>
        </r>
      </text>
    </comment>
    <comment ref="F26" authorId="1" shapeId="0" xr:uid="{00000000-0006-0000-0800-000003000000}">
      <text>
        <r>
          <rPr>
            <sz val="8"/>
            <color indexed="8"/>
            <rFont val="Tahoma"/>
            <family val="2"/>
          </rPr>
          <t xml:space="preserve"> Report total chlorine when disinfecting with chlorine and ammonia (chloramines).
 Report free chlorine when disinfecting with chlorine only, for example during "burnout periods".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Lee_Overington</author>
  </authors>
  <commentList>
    <comment ref="C1" authorId="0" shapeId="0" xr:uid="{00000000-0006-0000-0A00-000001000000}">
      <text>
        <r>
          <rPr>
            <sz val="8"/>
            <color indexed="8"/>
            <rFont val="Tahoma"/>
            <family val="2"/>
          </rPr>
          <t>4/16/08: deleted Secondary Post Alkali; Secondary Oxidant; dropped the word "Primary"</t>
        </r>
      </text>
    </comment>
    <comment ref="E1" authorId="0" shapeId="0" xr:uid="{00000000-0006-0000-0A00-000002000000}">
      <text>
        <r>
          <rPr>
            <sz val="8"/>
            <color indexed="8"/>
            <rFont val="Tahoma"/>
            <family val="2"/>
          </rPr>
          <t>4/16/08: deleted "Mid-month Chemical Change"</t>
        </r>
      </text>
    </comment>
    <comment ref="G1" authorId="0" shapeId="0" xr:uid="{00000000-0006-0000-0A00-000003000000}">
      <text>
        <r>
          <rPr>
            <sz val="8"/>
            <color indexed="8"/>
            <rFont val="Tahoma"/>
            <family val="2"/>
          </rPr>
          <t>4/16/08: deleted "Mid-month Chemical Change" from all 13 original Chem Categories</t>
        </r>
      </text>
    </comment>
  </commentList>
</comments>
</file>

<file path=xl/sharedStrings.xml><?xml version="1.0" encoding="utf-8"?>
<sst xmlns="http://schemas.openxmlformats.org/spreadsheetml/2006/main" count="5257" uniqueCount="1022">
  <si>
    <t xml:space="preserve"> </t>
  </si>
  <si>
    <t>Monthly Operating Report (MOR)</t>
  </si>
  <si>
    <t>Surface Water Plant Operations and Distribution</t>
  </si>
  <si>
    <t>Reporting Month / Year:</t>
  </si>
  <si>
    <t>PWS ID Number:</t>
  </si>
  <si>
    <t>Water System Name:</t>
  </si>
  <si>
    <t>Water System Population:</t>
  </si>
  <si>
    <t>Plant</t>
  </si>
  <si>
    <t>Distribution</t>
  </si>
  <si>
    <t>Facility ID Number:</t>
  </si>
  <si>
    <t>Facility Name:</t>
  </si>
  <si>
    <t>Facility Classification:</t>
  </si>
  <si>
    <t>Report Completed By:</t>
  </si>
  <si>
    <t>Certificate Grade:</t>
  </si>
  <si>
    <t>Certificate Number:</t>
  </si>
  <si>
    <t>Sample Point ID Number:</t>
  </si>
  <si>
    <t>Remarks for Plant Operations:</t>
  </si>
  <si>
    <t>Remarks for Distribution:</t>
  </si>
  <si>
    <t>Contents:</t>
  </si>
  <si>
    <t>1940 - Plant Op.</t>
  </si>
  <si>
    <t>1940-II - Phy. &amp; Chem.</t>
  </si>
  <si>
    <t>1940-III - CFE Turb.</t>
  </si>
  <si>
    <t>1940-IV - EP DI</t>
  </si>
  <si>
    <t>1940-V - IFE Turb.</t>
  </si>
  <si>
    <t>Chloramination</t>
  </si>
  <si>
    <t>DBP-1-chlorine dioxide-chlorite</t>
  </si>
  <si>
    <t>Dist Sys Monitoring</t>
  </si>
  <si>
    <t>PWSS</t>
  </si>
  <si>
    <t>MONTH / YEAR</t>
  </si>
  <si>
    <t>PLANT OPERATIONS REPORT - FOR SURFACE WATER SYSTEMS</t>
  </si>
  <si>
    <t>PWSID:</t>
  </si>
  <si>
    <t>FACILITY ID:</t>
  </si>
  <si>
    <t>WATER SYSTEM NAME:</t>
  </si>
  <si>
    <t>FACILITY NAME:</t>
  </si>
  <si>
    <t xml:space="preserve">
</t>
  </si>
  <si>
    <t>FILTER OPERATION</t>
  </si>
  <si>
    <t>CHEMICALS USED (POUNDS)</t>
  </si>
  <si>
    <t>CHEMICAL DOSAGES (mg/L)</t>
  </si>
  <si>
    <t>Date</t>
  </si>
  <si>
    <t>Raw MGD Pumped From Source</t>
  </si>
  <si>
    <t>Raw MGD Treated</t>
  </si>
  <si>
    <t>Filtered MGD</t>
  </si>
  <si>
    <t>Finished MGD Pumped</t>
  </si>
  <si>
    <t>Hours Finished Water Pumped</t>
  </si>
  <si>
    <t>Hours of Filter Operation</t>
  </si>
  <si>
    <t>Max. Filter Rate (gpm / ft2)</t>
  </si>
  <si>
    <t>Max. Run Length (hours)</t>
  </si>
  <si>
    <t>No. of Units Used</t>
  </si>
  <si>
    <t>No. Washed</t>
  </si>
  <si>
    <t>Backwash Water Used (1000 gal)</t>
  </si>
  <si>
    <t xml:space="preserve">Calculations Based On:   </t>
  </si>
  <si>
    <t>Calculations Based On:</t>
  </si>
  <si>
    <t>Concentration Level ( % )</t>
  </si>
  <si>
    <t>(8,5)</t>
  </si>
  <si>
    <t>(4,2)</t>
  </si>
  <si>
    <t>(5,2)</t>
  </si>
  <si>
    <t>(2,0)</t>
  </si>
  <si>
    <t>(4,0)</t>
  </si>
  <si>
    <t>(8,2)</t>
  </si>
  <si>
    <t>(7,2)</t>
  </si>
  <si>
    <t>TOT</t>
  </si>
  <si>
    <t>AVG</t>
  </si>
  <si>
    <t>MAX</t>
  </si>
  <si>
    <t>MIN</t>
  </si>
  <si>
    <t>Percent Backwash Water Used :</t>
  </si>
  <si>
    <r>
      <t xml:space="preserve">Date Sedimentation Basins Last Cleaned </t>
    </r>
    <r>
      <rPr>
        <sz val="10"/>
        <rFont val="Arial"/>
        <family val="2"/>
      </rPr>
      <t>*</t>
    </r>
  </si>
  <si>
    <t xml:space="preserve"> (as: m/d/yy)</t>
  </si>
  <si>
    <t>NCDENR/DEH</t>
  </si>
  <si>
    <t>* If cleaned continuously, enter last day of month.</t>
  </si>
  <si>
    <t>COMPLETED BY:</t>
  </si>
  <si>
    <t>CERTIFICATE GRADE:</t>
  </si>
  <si>
    <t>CERTIFICATE NUMBER</t>
  </si>
  <si>
    <t>MONTH / YEAR:</t>
  </si>
  <si>
    <t>PHYSICAL TESTS AND CHEMICAL ANALYSIS REPORT - FOR SURFACE WATER SYSTEMS</t>
  </si>
  <si>
    <t>Total Hardness</t>
  </si>
  <si>
    <t>Manganese</t>
  </si>
  <si>
    <t>Conductivity</t>
  </si>
  <si>
    <t>Residual</t>
  </si>
  <si>
    <t>Turbidity (NTU)</t>
  </si>
  <si>
    <t>Color (uc)</t>
  </si>
  <si>
    <t>pH</t>
  </si>
  <si>
    <t>Carbon Dioxide (mg/L)</t>
  </si>
  <si>
    <t>Total Alkalinity (mg/L)</t>
  </si>
  <si>
    <t>(mg/L)</t>
  </si>
  <si>
    <t>Iron (mg/L)</t>
  </si>
  <si>
    <r>
      <t>μohms @ 25</t>
    </r>
    <r>
      <rPr>
        <vertAlign val="superscript"/>
        <sz val="8"/>
        <rFont val="Arial"/>
        <family val="2"/>
      </rPr>
      <t>o</t>
    </r>
    <r>
      <rPr>
        <sz val="8"/>
        <rFont val="Arial"/>
        <family val="2"/>
      </rPr>
      <t>C</t>
    </r>
  </si>
  <si>
    <t>Phosphate (mg/L)</t>
  </si>
  <si>
    <t>Disinfectant (mg/L)</t>
  </si>
  <si>
    <t>CT</t>
  </si>
  <si>
    <t>Coliform</t>
  </si>
  <si>
    <r>
      <t xml:space="preserve">Temp. </t>
    </r>
    <r>
      <rPr>
        <vertAlign val="superscript"/>
        <sz val="8"/>
        <rFont val="Arial"/>
        <family val="2"/>
      </rPr>
      <t>o</t>
    </r>
    <r>
      <rPr>
        <sz val="8"/>
        <rFont val="Arial"/>
        <family val="2"/>
      </rPr>
      <t>C  Raw Water</t>
    </r>
  </si>
  <si>
    <t>Raw Water
(max)</t>
  </si>
  <si>
    <t>Settled Water
(max)</t>
  </si>
  <si>
    <t>Number of Tests Finished Water</t>
  </si>
  <si>
    <t>Finished Water
(max)</t>
  </si>
  <si>
    <t xml:space="preserve">Raw Water
 (max) </t>
  </si>
  <si>
    <t xml:space="preserve">Raw Water
 (min) </t>
  </si>
  <si>
    <t>Pre-Filtered Water (max)</t>
  </si>
  <si>
    <t>Pre-Filtered Water (min)</t>
  </si>
  <si>
    <t>Finished Water
 (max)</t>
  </si>
  <si>
    <t>Finished Water
 (min)</t>
  </si>
  <si>
    <t>Finished Water
 (avg)</t>
  </si>
  <si>
    <t>Raw Water
(avg)</t>
  </si>
  <si>
    <t>Pre-Filtered Water (avg)</t>
  </si>
  <si>
    <t>Finished Water
(avg)</t>
  </si>
  <si>
    <t>Finished Water (avg)</t>
  </si>
  <si>
    <r>
      <t>Raw Water (CaCO</t>
    </r>
    <r>
      <rPr>
        <vertAlign val="subscript"/>
        <sz val="8"/>
        <rFont val="Arial"/>
        <family val="2"/>
      </rPr>
      <t>3</t>
    </r>
    <r>
      <rPr>
        <sz val="8"/>
        <rFont val="Arial"/>
        <family val="2"/>
      </rPr>
      <t>) (avg)</t>
    </r>
  </si>
  <si>
    <r>
      <t>Finished Water (CaCO</t>
    </r>
    <r>
      <rPr>
        <vertAlign val="subscript"/>
        <sz val="8"/>
        <rFont val="Arial"/>
        <family val="2"/>
      </rPr>
      <t>3</t>
    </r>
    <r>
      <rPr>
        <sz val="8"/>
        <rFont val="Arial"/>
        <family val="2"/>
      </rPr>
      <t>) (avg)</t>
    </r>
  </si>
  <si>
    <t>Finished Water Calcium (mg/L) (avg)</t>
  </si>
  <si>
    <t>Finished Water (max)</t>
  </si>
  <si>
    <t>Fluoride - Finished Water (mg/L) (avg)</t>
  </si>
  <si>
    <t>Nitrate - Finished Water (mg/L) (max)</t>
  </si>
  <si>
    <t>Total - Raw Water (min)</t>
  </si>
  <si>
    <t>Finshed Water (min)</t>
  </si>
  <si>
    <t>Orthophosphate - Finished Water (mg/L) (avg)</t>
  </si>
  <si>
    <t>Finished Water Silica (mg/L) (avg)</t>
  </si>
  <si>
    <t>Minimum Before Filter</t>
  </si>
  <si>
    <t>Minimum at CFE</t>
  </si>
  <si>
    <t>Ozone (min)</t>
  </si>
  <si>
    <t>Source Bromide (mg/L) (max)</t>
  </si>
  <si>
    <t>Entry Point Bromate (mg/L) (max)</t>
  </si>
  <si>
    <t>Calculated Giardia Log Removal (min)</t>
  </si>
  <si>
    <t>CT Ratio (min)
CT Calc / CT99.9</t>
  </si>
  <si>
    <t>Raw Water Total (coliforms/100 ml) (max)</t>
  </si>
  <si>
    <r>
      <t xml:space="preserve">Raw Water Fecal / </t>
    </r>
    <r>
      <rPr>
        <i/>
        <sz val="8"/>
        <rFont val="Arial"/>
        <family val="2"/>
      </rPr>
      <t xml:space="preserve">E.coli </t>
    </r>
    <r>
      <rPr>
        <sz val="8"/>
        <rFont val="Arial"/>
        <family val="2"/>
      </rPr>
      <t>(coliforms/ 100 ml) (max)</t>
    </r>
  </si>
  <si>
    <t>Filtered Water Total (P/A)</t>
  </si>
  <si>
    <t>Finished Water Total (P/A)</t>
  </si>
  <si>
    <t>(3,1)</t>
  </si>
  <si>
    <t>(8,3)</t>
  </si>
  <si>
    <t>(6,3)</t>
  </si>
  <si>
    <t>(5,0)</t>
  </si>
  <si>
    <t>(7,4)</t>
  </si>
  <si>
    <t>(5,3)</t>
  </si>
  <si>
    <t>(6,4)</t>
  </si>
  <si>
    <t>VC(1)</t>
  </si>
  <si>
    <t>(7,0)</t>
  </si>
  <si>
    <t>N/A</t>
  </si>
  <si>
    <t>CERTIFICATE NUM.:</t>
  </si>
  <si>
    <t>COMBINED FILTER EFFLUENT TURBIDITY MONITORING REPORT</t>
  </si>
  <si>
    <t>SAMPLE POINT:</t>
  </si>
  <si>
    <t>DATE</t>
  </si>
  <si>
    <t>TIME</t>
  </si>
  <si>
    <t>RESULT (NTU)</t>
  </si>
  <si>
    <t>Reqd</t>
  </si>
  <si>
    <t>Under</t>
  </si>
  <si>
    <t>Taken</t>
  </si>
  <si>
    <t>Missing Hrs Entry</t>
  </si>
  <si>
    <t>0:00 - 4:00</t>
  </si>
  <si>
    <t>4:00 - 8:00</t>
  </si>
  <si>
    <t>8:00 - 12:00</t>
  </si>
  <si>
    <t>12:00 - 16:00</t>
  </si>
  <si>
    <t>16:00 - 20:00</t>
  </si>
  <si>
    <t>20:00 - 0:00</t>
  </si>
  <si>
    <t>Maximum Value:</t>
  </si>
  <si>
    <t>Average Value:</t>
  </si>
  <si>
    <t>Number of Samples:</t>
  </si>
  <si>
    <t>SUM ---&gt;</t>
  </si>
  <si>
    <t>CERTIFICATE NUMBER:</t>
  </si>
  <si>
    <t>ENTRY POINT RESIDUAL DISINFECTANT MONITORING REPORT</t>
  </si>
  <si>
    <t>DISINFECTANT USED:</t>
  </si>
  <si>
    <t>Chlorine</t>
  </si>
  <si>
    <t>RESULT (mg/L)</t>
  </si>
  <si>
    <t>Missing</t>
  </si>
  <si>
    <t>Minimum Value:</t>
  </si>
  <si>
    <t>SUM =</t>
  </si>
  <si>
    <t>INDIVIDUAL FILTER EFFLUENT TURBIDITY MONITORING REPORT</t>
  </si>
  <si>
    <t>MONTH  / YEAR:</t>
  </si>
  <si>
    <t xml:space="preserve">                       FACILITY ID:</t>
  </si>
  <si>
    <t xml:space="preserve">                       FACILITY NAME:</t>
  </si>
  <si>
    <t xml:space="preserve">   During this month, there were no issues with continuous monitoring equipment, and no individual filter turbidity exceedances.</t>
  </si>
  <si>
    <t xml:space="preserve">  Check mark indicates agreement with statement above. Please check default answers below for accuracy.</t>
  </si>
  <si>
    <r>
      <t xml:space="preserve">  1)  Was each filter </t>
    </r>
    <r>
      <rPr>
        <u/>
        <sz val="11"/>
        <rFont val="Arial"/>
        <family val="2"/>
      </rPr>
      <t>continuously</t>
    </r>
    <r>
      <rPr>
        <sz val="11"/>
        <rFont val="Arial"/>
        <family val="2"/>
      </rPr>
      <t xml:space="preserve"> monitored for turbidity?</t>
    </r>
  </si>
  <si>
    <t xml:space="preserve"> a)  Does system consist of two or fewer filters?</t>
  </si>
  <si>
    <t xml:space="preserve"> b)  Was combined filter effluent turbidity monitored continuously in lieu of individual filter effluent turbidity?</t>
  </si>
  <si>
    <r>
      <t xml:space="preserve">  2)  Was each filter's monitoring results </t>
    </r>
    <r>
      <rPr>
        <u/>
        <sz val="11"/>
        <rFont val="Arial"/>
        <family val="2"/>
      </rPr>
      <t>recorded every 15 minutes</t>
    </r>
    <r>
      <rPr>
        <sz val="11"/>
        <rFont val="Arial"/>
        <family val="2"/>
      </rPr>
      <t>?</t>
    </r>
  </si>
  <si>
    <t xml:space="preserve">  3)  Was there a failure of the continuous turbidity monitoring equipment?</t>
  </si>
  <si>
    <t xml:space="preserve"> a)  Were grab samples taken every four hours in lieu of continuous turbidity monitoring until the turbidimeter(s) 
       were back on-line?</t>
  </si>
  <si>
    <t xml:space="preserve"> b)  Did continuous turbidity monitoring resume within 14 days of failure?</t>
  </si>
  <si>
    <t xml:space="preserve"> b)  Did continuous turbidity monitoring resume within 5 working days of failure?</t>
  </si>
  <si>
    <t xml:space="preserve">  4)  Was any individual filter turbidity level &gt; 1.0 NTU in two consecutive measurements?  </t>
  </si>
  <si>
    <t xml:space="preserve">  5)  Was any individual filter turbidity level &gt; 0.5 NTU in two consecutive measurements at the end of 4 hours 
        of operation after the filter has been backwashed or otherwise taken offline?</t>
  </si>
  <si>
    <t xml:space="preserve">  6)  Was any individual filter turbidity level &gt; 1.0 NTU in two consecutive measurements in each 3 consecutive months?</t>
  </si>
  <si>
    <t xml:space="preserve">  7)  Was any individual filter turbidity level &gt; 2.0 NTU in two consecutive measurements in 2 consecutive months?</t>
  </si>
  <si>
    <t>Filter #</t>
  </si>
  <si>
    <t>Maximum Turbidity</t>
  </si>
  <si>
    <r>
      <t xml:space="preserve">Date Exceeded 
</t>
    </r>
    <r>
      <rPr>
        <sz val="8"/>
        <rFont val="Arial"/>
        <family val="2"/>
      </rPr>
      <t>(one row per day per filter)</t>
    </r>
  </si>
  <si>
    <t>Reason for, and Duration (hrs) of Exceedance</t>
  </si>
  <si>
    <t>Corrective Action Taken</t>
  </si>
  <si>
    <t>VC(10)</t>
  </si>
  <si>
    <t>VC(255)</t>
  </si>
  <si>
    <t>CHLORAMINATION OPERATIONS REPORT</t>
  </si>
  <si>
    <t>CHEMICALS USED</t>
  </si>
  <si>
    <t>CHLORAMINATION WATER QUALITY 
Entry Point--Finished Water Analysis</t>
  </si>
  <si>
    <t>Disinfectant 
(% strength)</t>
  </si>
  <si>
    <r>
      <t>Free Cl</t>
    </r>
    <r>
      <rPr>
        <vertAlign val="subscript"/>
        <sz val="8"/>
        <rFont val="Arial"/>
        <family val="2"/>
      </rPr>
      <t>2</t>
    </r>
    <r>
      <rPr>
        <sz val="8"/>
        <rFont val="Arial"/>
        <family val="2"/>
      </rPr>
      <t xml:space="preserve"> 
(mg/L at NH</t>
    </r>
    <r>
      <rPr>
        <vertAlign val="subscript"/>
        <sz val="8"/>
        <rFont val="Arial"/>
        <family val="2"/>
      </rPr>
      <t>3</t>
    </r>
    <r>
      <rPr>
        <sz val="8"/>
        <rFont val="Arial"/>
        <family val="2"/>
      </rPr>
      <t xml:space="preserve"> feed)</t>
    </r>
  </si>
  <si>
    <t>Ammonia 
(%)</t>
  </si>
  <si>
    <r>
      <t>Cl</t>
    </r>
    <r>
      <rPr>
        <vertAlign val="subscript"/>
        <sz val="8"/>
        <rFont val="Arial"/>
        <family val="2"/>
      </rPr>
      <t>2</t>
    </r>
    <r>
      <rPr>
        <sz val="8"/>
        <rFont val="Arial"/>
        <family val="2"/>
      </rPr>
      <t>:NH</t>
    </r>
    <r>
      <rPr>
        <vertAlign val="subscript"/>
        <sz val="8"/>
        <rFont val="Arial"/>
        <family val="2"/>
      </rPr>
      <t>3</t>
    </r>
    <r>
      <rPr>
        <sz val="8"/>
        <rFont val="Arial"/>
        <family val="2"/>
      </rPr>
      <t xml:space="preserve"> 
Ratio</t>
    </r>
  </si>
  <si>
    <t>Total Chlorine 
Residual 
(mg/L)</t>
  </si>
  <si>
    <t>Free Chlorine 
(mg/L)</t>
  </si>
  <si>
    <t>Mono-chloramine 
(mg/L)</t>
  </si>
  <si>
    <t xml:space="preserve">Free Ammonia 
(mg/L)
</t>
  </si>
  <si>
    <t>Nitrite 
(mg/L)</t>
  </si>
  <si>
    <t>Nitrate 
(mg/L)</t>
  </si>
  <si>
    <t xml:space="preserve">AMPFCS
</t>
  </si>
  <si>
    <t>Free Chlorine</t>
  </si>
  <si>
    <t>(5,4)</t>
  </si>
  <si>
    <t>FACILITY ID</t>
  </si>
  <si>
    <t>SAMPLE POINT</t>
  </si>
  <si>
    <t/>
  </si>
  <si>
    <t>ACC 1</t>
  </si>
  <si>
    <t>ACC 2</t>
  </si>
  <si>
    <t>ACC 3</t>
  </si>
  <si>
    <t>ACC 4</t>
  </si>
  <si>
    <t>ACC 5</t>
  </si>
  <si>
    <t>ACC 6</t>
  </si>
  <si>
    <t>Method of Calculation</t>
  </si>
  <si>
    <t>ACC 7</t>
  </si>
  <si>
    <t>CHLORINE DIOXIDE / CHLORITE OPERATIONS REPORT</t>
  </si>
  <si>
    <t>Chlorine Dioxide</t>
  </si>
  <si>
    <t xml:space="preserve">Chlorite   </t>
  </si>
  <si>
    <t>Daily Chlorine Dioxide at Entry Point (mg/L)</t>
  </si>
  <si>
    <t>Site #1 Location Code</t>
  </si>
  <si>
    <t>Result (mg/L)</t>
  </si>
  <si>
    <t>Site #2 Location Code</t>
  </si>
  <si>
    <t>Site #3 Location Code</t>
  </si>
  <si>
    <t xml:space="preserve"> Daily Chlorite at Entry Point       (mg/L)</t>
  </si>
  <si>
    <t>First Customer Location Code</t>
  </si>
  <si>
    <t>Rep Dist Site Location Code</t>
  </si>
  <si>
    <t>Result       (mg/L)</t>
  </si>
  <si>
    <t>Maximum Res. Time Location Code</t>
  </si>
  <si>
    <t>Avg. of 3 Sample Set      (mg/L)</t>
  </si>
  <si>
    <t>VC(3)</t>
  </si>
  <si>
    <t>Chlorite</t>
  </si>
  <si>
    <t xml:space="preserve">Acute MRDL Violation?   </t>
  </si>
  <si>
    <t xml:space="preserve">MCL Violation?   </t>
  </si>
  <si>
    <t xml:space="preserve">Non Acute MRDL Violation?   </t>
  </si>
  <si>
    <t>PWSID#:</t>
  </si>
  <si>
    <t>Heterotrophic Plate Count 
(cfu/mL or MPN)</t>
  </si>
  <si>
    <t>VC(7)</t>
  </si>
  <si>
    <t>VC(4)</t>
  </si>
  <si>
    <t>(6,0)</t>
  </si>
  <si>
    <t>DISTRIBUTION SYS CLASS:</t>
  </si>
  <si>
    <t>MIN REQUIRED TESTS / WK:</t>
  </si>
  <si>
    <r>
      <t>Total Samples Taken</t>
    </r>
    <r>
      <rPr>
        <b/>
        <vertAlign val="superscript"/>
        <sz val="10"/>
        <color indexed="12"/>
        <rFont val="Arial"/>
        <family val="2"/>
      </rPr>
      <t>1</t>
    </r>
    <r>
      <rPr>
        <b/>
        <sz val="10"/>
        <color indexed="12"/>
        <rFont val="Arial"/>
        <family val="2"/>
      </rPr>
      <t>:</t>
    </r>
  </si>
  <si>
    <r>
      <t>1</t>
    </r>
    <r>
      <rPr>
        <sz val="8"/>
        <rFont val="Arial"/>
        <family val="2"/>
      </rPr>
      <t xml:space="preserve"> Entering values in the "Total Samples Taken" cell will dynamically adjust the number of data entry rows. 
</t>
    </r>
    <r>
      <rPr>
        <vertAlign val="superscript"/>
        <sz val="8"/>
        <rFont val="Arial"/>
        <family val="2"/>
      </rPr>
      <t>2</t>
    </r>
    <r>
      <rPr>
        <sz val="8"/>
        <rFont val="Arial"/>
        <family val="2"/>
      </rPr>
      <t xml:space="preserve"> Or other site of high water age 
</t>
    </r>
    <r>
      <rPr>
        <vertAlign val="superscript"/>
        <sz val="8"/>
        <rFont val="Arial"/>
        <family val="2"/>
      </rPr>
      <t>3</t>
    </r>
    <r>
      <rPr>
        <sz val="8"/>
        <rFont val="Arial"/>
        <family val="2"/>
      </rPr>
      <t xml:space="preserve"> Report total chlorine when disinfecting with chlorine and ammonia (chloramines). 
  Report free chlorine when disinfecting with chlorine only, for example during "burnout periods".</t>
    </r>
  </si>
  <si>
    <t>Number of Samples</t>
  </si>
  <si>
    <t>Collection
Date</t>
  </si>
  <si>
    <t>Location
Code</t>
  </si>
  <si>
    <t>Sample Address</t>
  </si>
  <si>
    <r>
      <t>MRT</t>
    </r>
    <r>
      <rPr>
        <vertAlign val="superscript"/>
        <sz val="8"/>
        <rFont val="Arial"/>
        <family val="2"/>
      </rPr>
      <t>2</t>
    </r>
    <r>
      <rPr>
        <sz val="8"/>
        <rFont val="Arial"/>
        <family val="2"/>
      </rPr>
      <t xml:space="preserve"> Site Residual Disinfectant</t>
    </r>
  </si>
  <si>
    <t>Additional Monitoring 
Parameters for Chloramine Systems</t>
  </si>
  <si>
    <t>Fluoride
(mg/L)</t>
  </si>
  <si>
    <r>
      <t>Ortho PO</t>
    </r>
    <r>
      <rPr>
        <vertAlign val="subscript"/>
        <sz val="8"/>
        <rFont val="Arial"/>
        <family val="2"/>
      </rPr>
      <t xml:space="preserve">4
</t>
    </r>
    <r>
      <rPr>
        <sz val="8"/>
        <rFont val="Arial"/>
        <family val="2"/>
      </rPr>
      <t>(mg/L)</t>
    </r>
  </si>
  <si>
    <r>
      <t>Total Hardness 
CaCo</t>
    </r>
    <r>
      <rPr>
        <vertAlign val="subscript"/>
        <sz val="8"/>
        <rFont val="Arial"/>
        <family val="2"/>
      </rPr>
      <t xml:space="preserve">3
</t>
    </r>
    <r>
      <rPr>
        <sz val="8"/>
        <rFont val="Arial"/>
        <family val="2"/>
      </rPr>
      <t>(mg/L)</t>
    </r>
  </si>
  <si>
    <t>Iron
(mg/L)</t>
  </si>
  <si>
    <t>Manganese
(mg/L)</t>
  </si>
  <si>
    <t>Free
Chlorine
(mg/L)</t>
  </si>
  <si>
    <r>
      <t>Total / Free</t>
    </r>
    <r>
      <rPr>
        <vertAlign val="superscript"/>
        <sz val="8"/>
        <rFont val="Arial"/>
        <family val="2"/>
      </rPr>
      <t>3</t>
    </r>
    <r>
      <rPr>
        <sz val="8"/>
        <rFont val="Arial"/>
        <family val="2"/>
      </rPr>
      <t xml:space="preserve">
Chlorine
(mg/L)</t>
    </r>
  </si>
  <si>
    <t>Total
Chlorine
(mg/L)</t>
  </si>
  <si>
    <t>Mono-
chloramine
(mg/L)</t>
  </si>
  <si>
    <t>Free
Ammonia
(mg/L)</t>
  </si>
  <si>
    <t>MRT Tot/Free Chlorine</t>
  </si>
  <si>
    <t xml:space="preserve">TOT: </t>
  </si>
  <si>
    <t xml:space="preserve">AVG: </t>
  </si>
  <si>
    <t xml:space="preserve">MAX: </t>
  </si>
  <si>
    <t xml:space="preserve">MIN: </t>
  </si>
  <si>
    <t>Monthly Operating Reports (MORs) Summary</t>
  </si>
  <si>
    <t>(No user data entry – all values are auto-populated.)</t>
  </si>
  <si>
    <t>Year:</t>
  </si>
  <si>
    <t xml:space="preserve">PWS Name: </t>
  </si>
  <si>
    <t xml:space="preserve">PWSID# : </t>
  </si>
  <si>
    <t>Month:</t>
  </si>
  <si>
    <t xml:space="preserve">Facility Name: </t>
  </si>
  <si>
    <t>Combined Filter Effluent (CFE)Turbidity</t>
  </si>
  <si>
    <t>Samples exceeding 1 NTU (count):</t>
  </si>
  <si>
    <t>Number of samples required:</t>
  </si>
  <si>
    <t>Samples exceeding .3 NTU (count):</t>
  </si>
  <si>
    <t>Number of samples taken:</t>
  </si>
  <si>
    <t>Samples exceeding .3 NTU (pct):</t>
  </si>
  <si>
    <t>Highest single turbidity reading NTU:</t>
  </si>
  <si>
    <t xml:space="preserve">Monthly average turbidity NTU:  </t>
  </si>
  <si>
    <t>Individual Filter Effluent (IFE) Turbidity</t>
  </si>
  <si>
    <t>1)</t>
  </si>
  <si>
    <r>
      <t xml:space="preserve">Was each filter </t>
    </r>
    <r>
      <rPr>
        <u/>
        <sz val="11"/>
        <rFont val="Times New Roman"/>
        <family val="1"/>
      </rPr>
      <t>continuously</t>
    </r>
    <r>
      <rPr>
        <sz val="11"/>
        <rFont val="Times New Roman"/>
        <family val="1"/>
      </rPr>
      <t xml:space="preserve"> monitored for turbidity?</t>
    </r>
  </si>
  <si>
    <t>Yes</t>
  </si>
  <si>
    <t>No</t>
  </si>
  <si>
    <t>a)</t>
  </si>
  <si>
    <t>Does system consist of two or fewer filters?</t>
  </si>
  <si>
    <t>b)</t>
  </si>
  <si>
    <t>Was combined filter effluent turbidity monitored continuously in lieu of individual filter effluent turbidity?</t>
  </si>
  <si>
    <t>2)</t>
  </si>
  <si>
    <r>
      <t xml:space="preserve">Was each filter's monitoring results </t>
    </r>
    <r>
      <rPr>
        <u/>
        <sz val="11"/>
        <rFont val="Times New Roman"/>
        <family val="1"/>
      </rPr>
      <t>recorded every 15 minutes</t>
    </r>
    <r>
      <rPr>
        <sz val="11"/>
        <rFont val="Times New Roman"/>
        <family val="1"/>
      </rPr>
      <t>?</t>
    </r>
  </si>
  <si>
    <t>3)</t>
  </si>
  <si>
    <t>Was there a failure of the continuous turbidity monitoring equipment?</t>
  </si>
  <si>
    <t>Were grab samples taken every four hours in lieu of continuous turbidity monitoring until the turbidimeter(s) were back on-line?</t>
  </si>
  <si>
    <t>Did continuous turbidity monitoring resume within 14 days of failure?</t>
  </si>
  <si>
    <t>Did continuous turbidity monitoring resume within 5 working days of 
failure?</t>
  </si>
  <si>
    <t>4)</t>
  </si>
  <si>
    <t>Was any individual filter turbidity level &gt; 1.0 NTU in two consecutive</t>
  </si>
  <si>
    <t xml:space="preserve">measurements ?  </t>
  </si>
  <si>
    <t>5)</t>
  </si>
  <si>
    <t>Was any individual filter turbidity level &gt; 0.5 NTU in two consecutive</t>
  </si>
  <si>
    <t>measurements at the end of 4 hours of operation after the filter has been</t>
  </si>
  <si>
    <t>backwashed or otherwise taken offline ?</t>
  </si>
  <si>
    <t>6)</t>
  </si>
  <si>
    <t>measurements in each 3 consecutive months ?</t>
  </si>
  <si>
    <t>7)</t>
  </si>
  <si>
    <t>Was any individual filter turbidity level &gt; 2.0 NTU in two consecutive</t>
  </si>
  <si>
    <t>measurements in 2 consecutive months ?</t>
  </si>
  <si>
    <t>Entry Point Residual Disinfectant Concentration (EPRD)</t>
  </si>
  <si>
    <t>Disinfectant Used</t>
  </si>
  <si>
    <t>Number of samples required</t>
  </si>
  <si>
    <t>Minimum EPRD concentration</t>
  </si>
  <si>
    <t xml:space="preserve">Number of samples taken    </t>
  </si>
  <si>
    <t>Distribution Residual Disinfectant Concentration</t>
  </si>
  <si>
    <t>Contact Time (CT) Ratio</t>
  </si>
  <si>
    <t>Lowest CT ratio reading</t>
  </si>
  <si>
    <t>Number of CT ratios required</t>
  </si>
  <si>
    <t>Number of CT ratios below 1.0</t>
  </si>
  <si>
    <t xml:space="preserve">Number of CT ratios calculated    </t>
  </si>
  <si>
    <t>Current Month Dates</t>
  </si>
  <si>
    <t>Chemical Category ID</t>
  </si>
  <si>
    <t>Chemical Categories</t>
  </si>
  <si>
    <t>Chemica ID</t>
  </si>
  <si>
    <t>Chemicals</t>
  </si>
  <si>
    <t>Coagulant</t>
  </si>
  <si>
    <t>Pre and Post Alkali</t>
  </si>
  <si>
    <t>Pre and Post Disinfectant</t>
  </si>
  <si>
    <t>Ammonia Type</t>
  </si>
  <si>
    <t>Corrosion Inhibitor</t>
  </si>
  <si>
    <t>pH Adjustment</t>
  </si>
  <si>
    <t>Oxidant</t>
  </si>
  <si>
    <t>Pre Treatment</t>
  </si>
  <si>
    <t>Fluoride</t>
  </si>
  <si>
    <t>Nitrate, Finished Water</t>
  </si>
  <si>
    <t>Phosphate, Finished Water</t>
  </si>
  <si>
    <t>Total and Fecal Coliforms</t>
  </si>
  <si>
    <t>Total and Fecal MCL</t>
  </si>
  <si>
    <t>Disinfectant Residual</t>
  </si>
  <si>
    <t>Coliform, Filtered or Finished</t>
  </si>
  <si>
    <t>Yes / No</t>
  </si>
  <si>
    <t>TOC Compliance Method</t>
  </si>
  <si>
    <t>ND / &lt;1</t>
  </si>
  <si>
    <t>&lt; / &gt;</t>
  </si>
  <si>
    <t>Sample Type</t>
  </si>
  <si>
    <t>Sample Point in Type:</t>
  </si>
  <si>
    <t>Routine Sample Point</t>
  </si>
  <si>
    <t>Repeat Sample Point</t>
  </si>
  <si>
    <t>MGD Col Num</t>
  </si>
  <si>
    <t>Calculation Basis</t>
  </si>
  <si>
    <t>Fecal / e.Coli</t>
  </si>
  <si>
    <t>Not Applicable</t>
  </si>
  <si>
    <t>Ammonia</t>
  </si>
  <si>
    <t>Aeration</t>
  </si>
  <si>
    <t>Aluminum Chloride</t>
  </si>
  <si>
    <t>Lime</t>
  </si>
  <si>
    <t>Anhydrous</t>
  </si>
  <si>
    <t>Hexa Meta Phosphate</t>
  </si>
  <si>
    <t>CO2</t>
  </si>
  <si>
    <r>
      <t>Copper Sulfate (CuSO</t>
    </r>
    <r>
      <rPr>
        <vertAlign val="subscript"/>
        <sz val="10"/>
        <rFont val="Arial"/>
        <family val="2"/>
      </rPr>
      <t>4</t>
    </r>
    <r>
      <rPr>
        <sz val="10"/>
        <rFont val="Arial"/>
        <family val="2"/>
      </rPr>
      <t>)</t>
    </r>
  </si>
  <si>
    <t>HFS</t>
  </si>
  <si>
    <t>Certified Lab</t>
  </si>
  <si>
    <t>Meta</t>
  </si>
  <si>
    <t>A</t>
  </si>
  <si>
    <t>STEP 1</t>
  </si>
  <si>
    <t>RAA</t>
  </si>
  <si>
    <t>&lt; 1</t>
  </si>
  <si>
    <t>&lt;</t>
  </si>
  <si>
    <t>Routine</t>
  </si>
  <si>
    <t>RTOR</t>
  </si>
  <si>
    <t>Repeat</t>
  </si>
  <si>
    <t>RPDN</t>
  </si>
  <si>
    <t>Source</t>
  </si>
  <si>
    <t>e.Coli</t>
  </si>
  <si>
    <t>Aluminum Sulfate</t>
  </si>
  <si>
    <t>Soda Ash</t>
  </si>
  <si>
    <t>Chlorine Gas</t>
  </si>
  <si>
    <t>Aqueous</t>
  </si>
  <si>
    <t>Ortho Phosphate</t>
  </si>
  <si>
    <t>Sodium Hydroxide (NaOH)</t>
  </si>
  <si>
    <t>Calcium Hypochlorite</t>
  </si>
  <si>
    <t>Other Algaecide</t>
  </si>
  <si>
    <t>Sodium Fluoride</t>
  </si>
  <si>
    <t>Non-Certified Lab</t>
  </si>
  <si>
    <t>Total</t>
  </si>
  <si>
    <t>Chloramines</t>
  </si>
  <si>
    <t>P</t>
  </si>
  <si>
    <t>SUB</t>
  </si>
  <si>
    <t>ND</t>
  </si>
  <si>
    <t>&gt;</t>
  </si>
  <si>
    <t>RPOR</t>
  </si>
  <si>
    <t>Treated</t>
  </si>
  <si>
    <t>Fecal</t>
  </si>
  <si>
    <t>Ferric Chloride</t>
  </si>
  <si>
    <t>Sodium Bicarbonate</t>
  </si>
  <si>
    <t>Ozone</t>
  </si>
  <si>
    <t>Other</t>
  </si>
  <si>
    <t>Poly Phosphate</t>
  </si>
  <si>
    <t>Sulfuric Acid</t>
  </si>
  <si>
    <t>Chlorine (Gas)</t>
  </si>
  <si>
    <t>Polymer</t>
  </si>
  <si>
    <t>Sodium Silica Fluoride</t>
  </si>
  <si>
    <t>Both</t>
  </si>
  <si>
    <t>Inv</t>
  </si>
  <si>
    <t>RPUP</t>
  </si>
  <si>
    <t>Filtered</t>
  </si>
  <si>
    <t>Ferric Sulfate</t>
  </si>
  <si>
    <t>Sodium Hydroxide</t>
  </si>
  <si>
    <t>Sodium Hypochlorite</t>
  </si>
  <si>
    <t>Silica</t>
  </si>
  <si>
    <t>Potassium Permanganate (KMnO4)</t>
  </si>
  <si>
    <t>Finished</t>
  </si>
  <si>
    <t>Polyaluminum Chloride (PAC)</t>
  </si>
  <si>
    <t>Hydrogen Peroxide</t>
  </si>
  <si>
    <t>Powdered Activated Carbon (PAC)</t>
  </si>
  <si>
    <t>Post Alkali</t>
  </si>
  <si>
    <t>Bleach</t>
  </si>
  <si>
    <t>Polymers</t>
  </si>
  <si>
    <t>Monochloramine</t>
  </si>
  <si>
    <t>Trihalomethane Reducer (THMR)</t>
  </si>
  <si>
    <t>Post Disinfectant</t>
  </si>
  <si>
    <t>Post pH Adjustment</t>
  </si>
  <si>
    <t>Pre Alkali</t>
  </si>
  <si>
    <t>Pre Disinfectant</t>
  </si>
  <si>
    <t>Sodium Permanganate (NaMnO4)</t>
  </si>
  <si>
    <t>Pre pH Adjustment</t>
  </si>
  <si>
    <t>Ultraviolet Light</t>
  </si>
  <si>
    <t>Copper Sulfate (CuSO4)</t>
  </si>
  <si>
    <t>Gas</t>
  </si>
  <si>
    <t xml:space="preserve">1940 - Plant Op.
</t>
  </si>
  <si>
    <t>Col A — Date</t>
  </si>
  <si>
    <t>Col B — Raw MGD Pumped From Source</t>
  </si>
  <si>
    <t>Col C — Raw MGD Treated</t>
  </si>
  <si>
    <t>Col D — Filtered MGD</t>
  </si>
  <si>
    <t>Col E — Finished MGD Pumped</t>
  </si>
  <si>
    <t>Col F — Hours Finished Water Pumped</t>
  </si>
  <si>
    <t>Col G — Hours of Filter Operation</t>
  </si>
  <si>
    <t>Col H — Max. Filter Rate (gpm / ft2)</t>
  </si>
  <si>
    <t>Col I — Max. Run Length (hours)</t>
  </si>
  <si>
    <t>Col J — No. of Units Used</t>
  </si>
  <si>
    <t>Col K — No. Washed</t>
  </si>
  <si>
    <t>Col L — Backwash Water Used (1000 gal)</t>
  </si>
  <si>
    <t xml:space="preserve">Col M — </t>
  </si>
  <si>
    <t xml:space="preserve">Col N — </t>
  </si>
  <si>
    <t xml:space="preserve">Col O — </t>
  </si>
  <si>
    <t xml:space="preserve">Col P — </t>
  </si>
  <si>
    <t xml:space="preserve">Col Q — </t>
  </si>
  <si>
    <t xml:space="preserve">Col R — </t>
  </si>
  <si>
    <t xml:space="preserve">Col S — </t>
  </si>
  <si>
    <t xml:space="preserve">Col T — </t>
  </si>
  <si>
    <t xml:space="preserve">Col U — </t>
  </si>
  <si>
    <t xml:space="preserve">Col V — </t>
  </si>
  <si>
    <t xml:space="preserve">Col W — </t>
  </si>
  <si>
    <t xml:space="preserve">Col X — </t>
  </si>
  <si>
    <t xml:space="preserve">Col Y — </t>
  </si>
  <si>
    <t xml:space="preserve">Col Z — </t>
  </si>
  <si>
    <t xml:space="preserve">Col AA — </t>
  </si>
  <si>
    <t>Validation USER ALERT</t>
  </si>
  <si>
    <t xml:space="preserve">Enter a value between 0 and 999.999
Please use no more than three (3) decimals.
Use a blank cell (and NOT zero) to indicate no activity / measurement.
</t>
  </si>
  <si>
    <t xml:space="preserve">Enter a value between 0 and 24
Please use no more than two (2) decimal(s).
Use a blank cell (and NOT zero) to indicate no activity / measurement.
</t>
  </si>
  <si>
    <t xml:space="preserve">Enter a value between 0 and 99.99
Please use no more than two (2) decimals.
Use a blank cell (and NOT zero) to indicate no activity / measurement.
</t>
  </si>
  <si>
    <t xml:space="preserve">Enter a value between 0 and 999.99
Please use no more than two (2) decimals.
Use a blank cell (and NOT zero) to indicate no activity / measurement.
</t>
  </si>
  <si>
    <t xml:space="preserve">Enter a value between 0 and 99
Whole numbers are required.
</t>
  </si>
  <si>
    <t xml:space="preserve">Enter a value between 0 and 9,999
Whole numbers are required.
</t>
  </si>
  <si>
    <t xml:space="preserve">Enter a value between 0 and 999999.99
Please use no more than two (2) decimal(s).
Use a blank cell (and NOT zero) to indicate no activity / measurement.
</t>
  </si>
  <si>
    <t xml:space="preserve">Enter a value between 0 and 99999.99
Please use no more than two (2) decimal(s).
Use a blank cell (and NOT zero) to indicate no activity / measurement.
</t>
  </si>
  <si>
    <t>Validation TITLE</t>
  </si>
  <si>
    <t xml:space="preserve">   IMPORTANT!  Invalid Entry ...</t>
  </si>
  <si>
    <t>Validation TYPE</t>
  </si>
  <si>
    <t>xlValidateCustom</t>
  </si>
  <si>
    <t>Validation OPERATOR</t>
  </si>
  <si>
    <t>xlBetween</t>
  </si>
  <si>
    <t>MINIMUM Value</t>
  </si>
  <si>
    <t>=OR(AND(RC&gt;0.00000000001,RC&lt;=999.999),LEN(RC)=0)</t>
  </si>
  <si>
    <t>=OR(AND(RC&gt;=0,RC&lt;=24),LEN(RC)=0)</t>
  </si>
  <si>
    <t>=OR(AND(RC&gt;0.01,RC&lt;=99.99),LEN(RC)=0)</t>
  </si>
  <si>
    <t>=OR(AND(RC&gt;0.01,RC&lt;=999.99),LEN(RC)=0)</t>
  </si>
  <si>
    <t>=OR(AND(RC&gt;=0,RC&lt;=99),LEN(RC)=0)</t>
  </si>
  <si>
    <t>=OR(AND(RC&gt;=0,RC&lt;=9999),LEN(RC)=0)</t>
  </si>
  <si>
    <t>=OR(AND(RC&gt;=0,RC&lt;=999999.99),LEN(RC)=0)</t>
  </si>
  <si>
    <t>=OR(AND(RC&gt;=0,RC&lt;=99999.99),LEN(RC)=0)</t>
  </si>
  <si>
    <t>MAXIMUM Value</t>
  </si>
  <si>
    <t>CSV Data Typing Info</t>
  </si>
  <si>
    <t xml:space="preserve">1940-II - Phy. &amp; Chem.
</t>
  </si>
  <si>
    <t>Col B — Temp. oC  Raw Water</t>
  </si>
  <si>
    <t>Col C — Raw Water
(max)</t>
  </si>
  <si>
    <t>Col D — Settled Water
(max)</t>
  </si>
  <si>
    <t>Col E — Number of Tests Finished Water</t>
  </si>
  <si>
    <t>Col F — Raw Water
(max)</t>
  </si>
  <si>
    <t>Col G — Finished Water
(max)</t>
  </si>
  <si>
    <t xml:space="preserve">Col H — Raw Water
 (max) </t>
  </si>
  <si>
    <t xml:space="preserve">Col I — Raw Water
 (min) </t>
  </si>
  <si>
    <t>Col J — Pre-Filtered Water (max)</t>
  </si>
  <si>
    <t>Col K — Pre-Filtered Water (min)</t>
  </si>
  <si>
    <t>Col L — Finished Water
 (max)</t>
  </si>
  <si>
    <t>Col M — Finished Water
 (min)</t>
  </si>
  <si>
    <t>Col N — Finished Water
 (avg)</t>
  </si>
  <si>
    <t>Col O — Raw Water
(avg)</t>
  </si>
  <si>
    <t>Col P — Pre-Filtered Water (avg)</t>
  </si>
  <si>
    <t>Col Q — Finished Water
(avg)</t>
  </si>
  <si>
    <t>Col R — Raw Water
(avg)</t>
  </si>
  <si>
    <t>Col S — Pre-Filtered Water (avg)</t>
  </si>
  <si>
    <t>Col T — Finished Water (avg)</t>
  </si>
  <si>
    <t>Col U — Raw Water (CaCO3) (avg)</t>
  </si>
  <si>
    <t>Col V — Finished Water (CaCO3) (avg)</t>
  </si>
  <si>
    <t>Col W — Finished Water Calcium (mg/L) (avg)</t>
  </si>
  <si>
    <t>Col X — Raw Water
(max)</t>
  </si>
  <si>
    <t>Col Y — Finished Water (max)</t>
  </si>
  <si>
    <t>Col Z — Raw Water
(max)</t>
  </si>
  <si>
    <t>Col AA — Finished Water (max)</t>
  </si>
  <si>
    <t>Col AB — Fluoride - Finished Water (mg/L) (avg)</t>
  </si>
  <si>
    <t>Col AC — Raw Water
(max)</t>
  </si>
  <si>
    <t>Col AD — Finished Water (avg)</t>
  </si>
  <si>
    <t>Col AE — Nitrate - Finished Water (mg/L) (max)</t>
  </si>
  <si>
    <t>Col AF — Total - Raw Water (min)</t>
  </si>
  <si>
    <t>Col AG — Finshed Water (min)</t>
  </si>
  <si>
    <t>Col AH — Orthophosphate - Finished Water (mg/L) (avg)</t>
  </si>
  <si>
    <t>Col AI — Finished Water Silica (mg/L) (avg)</t>
  </si>
  <si>
    <t>Col AJ — Minimum Before Filter</t>
  </si>
  <si>
    <t>Col AK — Minimum at CFE</t>
  </si>
  <si>
    <t>Col AL — Ozone (min)</t>
  </si>
  <si>
    <t>Col AM — Source Bromide (mg/L) (max)</t>
  </si>
  <si>
    <t>Col AN — Entry Point Bromate (mg/L) (max)</t>
  </si>
  <si>
    <t>Col AO — Calculated Giardia Log Removal (min)</t>
  </si>
  <si>
    <t>Col AP — CT Ratio (min)
CT Calc / CT99.9</t>
  </si>
  <si>
    <t xml:space="preserve">Col AQ — </t>
  </si>
  <si>
    <t>Col AR — Raw Water Total (coliforms/100 ml) (max)</t>
  </si>
  <si>
    <t xml:space="preserve">Col AS — </t>
  </si>
  <si>
    <t>Col AT — Raw Water Fecal / E.coli (coliforms/ 100 ml) (max)</t>
  </si>
  <si>
    <t>Col AU — Filtered Water Total (P/A)</t>
  </si>
  <si>
    <t>Col AV — Finished Water Total (P/A)</t>
  </si>
  <si>
    <t xml:space="preserve">Enter a value between 0 and 99.9
Please use no more than one (1) decimals.
Use a blank cell (and NOT zero) to indicate no activity / measurement.
</t>
  </si>
  <si>
    <t xml:space="preserve">Enter a value between 0 and 99,999
Whole numbers are required.
</t>
  </si>
  <si>
    <t xml:space="preserve">Enter a value between 0 and 14
Please use no more than one (1) decimal(s).
Use a blank cell (and NOT zero) to indicate no activity / measurement.
</t>
  </si>
  <si>
    <t xml:space="preserve">Enter a value between 0 and 999.999
Please use no more than three (3) decimal(s).
Use a blank cell (and NOT zero) to indicate no activity / measurement.
</t>
  </si>
  <si>
    <t xml:space="preserve">Enter a value between 0 and 999.9999
Please use no more than four (4) decimal(s).
Use a blank cell (and NOT zero) to indicate no activity / measurement.
</t>
  </si>
  <si>
    <t xml:space="preserve">Enter a value between 0 and 99.999
Please use no more than three (3) decimal(s).
Use a blank cell (and NOT zero) to indicate no activity / measurement.
</t>
  </si>
  <si>
    <t xml:space="preserve">Enter a value between 0 and 99.99
Please use no more than two (2) decimal(s).
Use a blank cell (and NOT zero) to indicate no activity / measurement.
</t>
  </si>
  <si>
    <t xml:space="preserve">Enter a value between 0 and 99.9999
Please use no more than four (4) decimal(s).
Use a blank cell (and NOT zero) to indicate no activity / measurement.
</t>
  </si>
  <si>
    <t xml:space="preserve">Enter a value between 0 and 9,999,999
Whole numbers are required.
</t>
  </si>
  <si>
    <t xml:space="preserve">The value you entered is NOT valid. 
Please select from the designated drop-down list.
</t>
  </si>
  <si>
    <t>xlValidateList</t>
  </si>
  <si>
    <t>=OR(AND(RC&gt;0.1,RC&lt;=99.9),LEN(RC)=0)</t>
  </si>
  <si>
    <t>=OR(AND(RC&gt;0.00000000001,RC&lt;=99999.999),LEN(RC)=0)</t>
  </si>
  <si>
    <t>=OR(AND(RC&gt;=0,RC&lt;=99999),LEN(RC)=0)</t>
  </si>
  <si>
    <t>=OR(AND(RC&gt;=0,RC&lt;=999.99),LEN(RC)=0)</t>
  </si>
  <si>
    <t>=OR(AND(RC&gt;=0,RC&lt;=14),LEN(RC)=0)</t>
  </si>
  <si>
    <t>=OR(AND(RC&gt;=0,RC&lt;=999.999),LEN(RC)=0)</t>
  </si>
  <si>
    <t>=OR(AND(RC&gt;=0,RC&lt;=999.9999),LEN(RC)=0)</t>
  </si>
  <si>
    <t>=OR(AND(RC&gt;=0,RC&lt;=99.999),LEN(RC)=0)</t>
  </si>
  <si>
    <t>=OR(AND(RC&gt;=0,RC&lt;=99.99),LEN(RC)=0)</t>
  </si>
  <si>
    <t>=OR(AND(RC&gt;=0,RC&lt;=99.9999),LEN(RC)=0)</t>
  </si>
  <si>
    <t>=OR(AND(RC&gt;=0,RC&lt;=9999999),LEN(RC)=0)</t>
  </si>
  <si>
    <t>=val_ColiformFiltered_Finished</t>
  </si>
  <si>
    <t xml:space="preserve">1940-III - CFE Turb.
</t>
  </si>
  <si>
    <t>Col A — DATE</t>
  </si>
  <si>
    <t>Col B — TIME</t>
  </si>
  <si>
    <t>Col C — RESULT (NTU)</t>
  </si>
  <si>
    <t>Col D — TIME</t>
  </si>
  <si>
    <t>Col E — RESULT (NTU)</t>
  </si>
  <si>
    <t>Col F — TIME</t>
  </si>
  <si>
    <t>Col G — RESULT (NTU)</t>
  </si>
  <si>
    <t>Col H — TIME</t>
  </si>
  <si>
    <t>Col I — RESULT (NTU)</t>
  </si>
  <si>
    <t>Col J — TIME</t>
  </si>
  <si>
    <t>Col K — RESULT (NTU)</t>
  </si>
  <si>
    <t>Col L — TIME</t>
  </si>
  <si>
    <t>Col M — RESULT (NTU)</t>
  </si>
  <si>
    <t xml:space="preserve">Enter a value between 0 and 99.999
Please use no more than three (3) decimals.
Use a blank cell (and NOT zero) to indicate no activity / measurement.
</t>
  </si>
  <si>
    <t>=OR(AND(RC&gt;0.001,RC&lt;=99.999),LEN(RC)=0)</t>
  </si>
  <si>
    <t xml:space="preserve">1940-IV - EP DI
</t>
  </si>
  <si>
    <t>Col C — RESULT (mg/L)</t>
  </si>
  <si>
    <t>Col E — RESULT (mg/L)</t>
  </si>
  <si>
    <t>Col G — RESULT (mg/L)</t>
  </si>
  <si>
    <t>Col I — RESULT (mg/L)</t>
  </si>
  <si>
    <t>Col K — RESULT (mg/L)</t>
  </si>
  <si>
    <t>Col M — RESULT (mg/L)</t>
  </si>
  <si>
    <t xml:space="preserve">Enter a value between 0 (midnight) and 23:59 (one minute before midnight). 
Alternatively, enter times following 12 (noon) in the normal convention of "11:59 PM" to indicate one minute before midnight.
</t>
  </si>
  <si>
    <t>xlValidateTime</t>
  </si>
  <si>
    <t>12:00:00 AM</t>
  </si>
  <si>
    <t>11:59:00 PM</t>
  </si>
  <si>
    <t xml:space="preserve">1940-V - IFE Turb.
</t>
  </si>
  <si>
    <t>Col A — Filter #</t>
  </si>
  <si>
    <t xml:space="preserve">Col B — </t>
  </si>
  <si>
    <t xml:space="preserve">Col C — </t>
  </si>
  <si>
    <t xml:space="preserve">Col D — </t>
  </si>
  <si>
    <t xml:space="preserve">Col E — </t>
  </si>
  <si>
    <t xml:space="preserve">Col F — </t>
  </si>
  <si>
    <t xml:space="preserve">Col G — </t>
  </si>
  <si>
    <t xml:space="preserve">Col H — </t>
  </si>
  <si>
    <t xml:space="preserve">Col I — </t>
  </si>
  <si>
    <t xml:space="preserve">Col J — </t>
  </si>
  <si>
    <t xml:space="preserve">Col K — </t>
  </si>
  <si>
    <t>Col L — Maximum Turbidity</t>
  </si>
  <si>
    <t>Col N — Date Exceeded 
(one row per day per filter)</t>
  </si>
  <si>
    <t>Col O — Reason for, and Duration (hrs) of Exceedance</t>
  </si>
  <si>
    <t>Col P — Corrective Action Taken</t>
  </si>
  <si>
    <t xml:space="preserve">Filter numbers MUST be less than 11 characters in length.
</t>
  </si>
  <si>
    <t>Enter a valid date within the current month only.</t>
  </si>
  <si>
    <t xml:space="preserve">Please limit explanatory text to less than 256 characters in length.
</t>
  </si>
  <si>
    <t>xlValidateTextLength</t>
  </si>
  <si>
    <t>xlValidateDate</t>
  </si>
  <si>
    <t>xlLess</t>
  </si>
  <si>
    <t>11</t>
  </si>
  <si>
    <t>=FormMasterDate-7</t>
  </si>
  <si>
    <t>256</t>
  </si>
  <si>
    <t>=FormLastDate+7</t>
  </si>
  <si>
    <t xml:space="preserve">Chloramination
</t>
  </si>
  <si>
    <t>Col B — Disinfectant 
(% strength)</t>
  </si>
  <si>
    <t>Col C — Free Cl2 
(mg/L at NH3 feed)</t>
  </si>
  <si>
    <t>Col D — Ammonia 
(%)</t>
  </si>
  <si>
    <t>Col E — Cl2:NH3 
Ratio</t>
  </si>
  <si>
    <t>Col F — Total Chlorine 
Residual 
(mg/L)</t>
  </si>
  <si>
    <t>Col G — Free Chlorine 
(mg/L)</t>
  </si>
  <si>
    <t>Col H — Mono-chloramine 
(mg/L)</t>
  </si>
  <si>
    <t xml:space="preserve">Col I — Free Ammonia 
(mg/L)
</t>
  </si>
  <si>
    <t>Col J — pH</t>
  </si>
  <si>
    <t>Col K — Nitrite 
(mg/L)</t>
  </si>
  <si>
    <t>Col L — Nitrate 
(mg/L)</t>
  </si>
  <si>
    <t xml:space="preserve">Enter a value between 0 and 100.
For example, to enter 34 and 1/2 percent, type 34.5.
Please use no more than two (2) decimals.
</t>
  </si>
  <si>
    <t xml:space="preserve">Enter a value between 0 and 999.99
Please use no more than two (2) decimal(s).
Use a blank cell (and NOT zero) to indicate no activity / measurement.
</t>
  </si>
  <si>
    <t>=OR(AND(RC&gt;0,RC&lt;=1),LEN(RC)=0)</t>
  </si>
  <si>
    <t>DBP-3-TOC
TOC</t>
  </si>
  <si>
    <t xml:space="preserve">Col A — </t>
  </si>
  <si>
    <t>Col B — # Samples Collected</t>
  </si>
  <si>
    <t>Col D — Sample Count</t>
  </si>
  <si>
    <t>Col E — 0</t>
  </si>
  <si>
    <t>Col F — Month</t>
  </si>
  <si>
    <t>Col G — Alkalinity (mg/L)</t>
  </si>
  <si>
    <t>Col I — TOC 
(mg/L)</t>
  </si>
  <si>
    <t>Col K — Treated Water TOC (mg/L)</t>
  </si>
  <si>
    <t xml:space="preserve">Col L — </t>
  </si>
  <si>
    <t>Col M — (A)  
Actual % TOC Removal</t>
  </si>
  <si>
    <t>Col N — (B)  
Required % TOC Removal</t>
  </si>
  <si>
    <t>Col O — (C)         Removal       Ratio          (A ÷ B)  
or 
Method Value</t>
  </si>
  <si>
    <t>Col P — Method Used to Comply</t>
  </si>
  <si>
    <t>Col Q — Method of 
Calculation *</t>
  </si>
  <si>
    <t xml:space="preserve">Col R — Quarter Average </t>
  </si>
  <si>
    <t>Col S — Running Annual Average  (RAA) **</t>
  </si>
  <si>
    <t xml:space="preserve">Enter a value between 0 and 999.9
Please use no more than one (1) decimal(s).
Use a blank cell (and NOT zero) to indicate no activity / measurement.
</t>
  </si>
  <si>
    <t>=OR(AND(RC&gt;=0,RC&lt;=999.9),LEN(RC)=0)</t>
  </si>
  <si>
    <t xml:space="preserve">DBP-1-chlorine dioxide-chlorite
</t>
  </si>
  <si>
    <t>Col B — Daily Chlorine Dioxide at Entry Point (mg/L)</t>
  </si>
  <si>
    <t>Col C — Site #1 Location Code</t>
  </si>
  <si>
    <t>Col D — Result (mg/L)</t>
  </si>
  <si>
    <t>Col E — Site #2 Location Code</t>
  </si>
  <si>
    <t>Col F — Result (mg/L)</t>
  </si>
  <si>
    <t>Col G — Site #3 Location Code</t>
  </si>
  <si>
    <t>Col H — Result (mg/L)</t>
  </si>
  <si>
    <t>Col I —  Daily Chlorite at Entry Point       (mg/L)</t>
  </si>
  <si>
    <t>Col J — First Customer Location Code</t>
  </si>
  <si>
    <t>Col K — Result (mg/L)</t>
  </si>
  <si>
    <t>Col L — Rep Dist Site Location Code</t>
  </si>
  <si>
    <t>Col M — Result       (mg/L)</t>
  </si>
  <si>
    <t>Col N — Maximum Res. Time Location Code</t>
  </si>
  <si>
    <t>Col O — Result (mg/L)</t>
  </si>
  <si>
    <t>Col P — Avg. of 3 Sample Set      (mg/L)</t>
  </si>
  <si>
    <t xml:space="preserve">Enter a value between 0 and 99999.999
Please use no more than three (3) decimal(s).
Use a blank cell (and NOT zero) to indicate no activity / measurement.
</t>
  </si>
  <si>
    <t xml:space="preserve">Location codes MUST be 3 characters in length.
</t>
  </si>
  <si>
    <t>xlEqual</t>
  </si>
  <si>
    <t>=OR(AND(RC&gt;=0,RC&lt;=99999.999),LEN(RC)=0)</t>
  </si>
  <si>
    <t>3</t>
  </si>
  <si>
    <t xml:space="preserve">3762 - DBAS
</t>
  </si>
  <si>
    <t xml:space="preserve">Col B — Collection Date
</t>
  </si>
  <si>
    <t xml:space="preserve">Col C — Sample Type
</t>
  </si>
  <si>
    <t xml:space="preserve">Col D — Sample Point
</t>
  </si>
  <si>
    <t xml:space="preserve">Col E — Location Code
</t>
  </si>
  <si>
    <t>Col F — Previous Positive Location Code</t>
  </si>
  <si>
    <t>Col G — Previous Positive Collection Date</t>
  </si>
  <si>
    <t>Col H — Disinfectant Residual (mg/L)</t>
  </si>
  <si>
    <t xml:space="preserve">Col I — Total Coliform
</t>
  </si>
  <si>
    <t xml:space="preserve">Col J — Fecal / 
E.coli
</t>
  </si>
  <si>
    <t>Col K — Heterotrophic Plate Count 
(cfu/mL or MPN)</t>
  </si>
  <si>
    <t xml:space="preserve">Col L — Comments
</t>
  </si>
  <si>
    <t xml:space="preserve">The value you entered is NOT valid.
Please select from the designated drop-down list.
</t>
  </si>
  <si>
    <t xml:space="preserve">Enter a value between 0 and 999,999
Whole numbers are required.
</t>
  </si>
  <si>
    <t>MOR - Surface Water Form</t>
  </si>
  <si>
    <t>=FormMasterDate</t>
  </si>
  <si>
    <t>=val_SampleType</t>
  </si>
  <si>
    <t>=OR(AND(RC&gt;=0,RC&lt;=999999),LEN(RC)=0)</t>
  </si>
  <si>
    <t>=FormLastDate</t>
  </si>
  <si>
    <t xml:space="preserve">Dist Sys Monitoring
</t>
  </si>
  <si>
    <t>Col B — Collection
Date</t>
  </si>
  <si>
    <t>Col C — Location
Code</t>
  </si>
  <si>
    <t>Col D — Sample Address</t>
  </si>
  <si>
    <t>Col E — MRT2 Site Residual Disinfectant</t>
  </si>
  <si>
    <t>Col F — MRT2 Site Residual Disinfectant</t>
  </si>
  <si>
    <t>Col G — Additional Monitoring 
Parameters for Chloramine Systems</t>
  </si>
  <si>
    <t>Col K — pH</t>
  </si>
  <si>
    <t>Col L — Heterotrophic Plate Count 
(cfu/mL or MPN)</t>
  </si>
  <si>
    <t>Col M — Fluoride
(mg/L)</t>
  </si>
  <si>
    <t>Col N — Ortho PO4
(mg/L)</t>
  </si>
  <si>
    <t>Col O — Total Hardness 
CaCo3
(mg/L)</t>
  </si>
  <si>
    <t>Col P — Iron
(mg/L)</t>
  </si>
  <si>
    <t>Col Q — Manganese
(mg/L)</t>
  </si>
  <si>
    <t>DBP-3-TOC
SUVA</t>
  </si>
  <si>
    <t>1940 - Plant Op.
Catg Drop-Downs</t>
  </si>
  <si>
    <t>The value entered is NOT on this cell's drop-down list of valid choices.
Press the CANCEL button and then make a selection from the drop-down menu in this cell.
Please DO NOT use the RETRY button.</t>
  </si>
  <si>
    <t>=val_ChemicalCategories</t>
  </si>
  <si>
    <t>1940 - Plant Op.
Chem Drop-Downs</t>
  </si>
  <si>
    <t>1940 - Plant Op.
Calc Basis</t>
  </si>
  <si>
    <t>1940 - Plant Op.
Conc Level</t>
  </si>
  <si>
    <t>1940-II - Phy. &amp; Chem.
Lab Certification</t>
  </si>
  <si>
    <t>=val_Nitrate_FinishedWater</t>
  </si>
  <si>
    <t>=val_Phosphate_FinishedWater</t>
  </si>
  <si>
    <t>=val_Tot_FecalColiforms</t>
  </si>
  <si>
    <t>1940-II - Phy. &amp; Chem.
Fecal / E.coli</t>
  </si>
  <si>
    <t>=val_Fecal_eColi</t>
  </si>
  <si>
    <t>=val_LessThan_or_GreaterThan</t>
  </si>
  <si>
    <t>=OR(AND(RC&gt;=0.01,RC&lt;=999.99),LEN(RC)=0)</t>
  </si>
  <si>
    <t>Remarks From General Info Worksheet</t>
  </si>
  <si>
    <t>NCDEQ / DWR</t>
  </si>
  <si>
    <t>Total Phosphate</t>
  </si>
  <si>
    <t>NC0392020</t>
  </si>
  <si>
    <t>Cary, Town of</t>
  </si>
  <si>
    <t>P01</t>
  </si>
  <si>
    <t>Cary Apex WTP</t>
  </si>
  <si>
    <t>D01</t>
  </si>
  <si>
    <t>Distribution System</t>
  </si>
  <si>
    <t>975930</t>
  </si>
  <si>
    <t>975104</t>
  </si>
  <si>
    <t>Enter</t>
  </si>
  <si>
    <t>Calc</t>
  </si>
  <si>
    <t xml:space="preserve"> A1</t>
  </si>
  <si>
    <t>Max Filter Flow</t>
  </si>
  <si>
    <t>Max Finish Flow</t>
  </si>
  <si>
    <t>Min Clear Well #1 ft</t>
  </si>
  <si>
    <t>Min Clear Well #3 ft</t>
  </si>
  <si>
    <t>Temp C</t>
  </si>
  <si>
    <t>Free FI Min Cl2</t>
  </si>
  <si>
    <t>Free FE Min Cl2</t>
  </si>
  <si>
    <t>Free PE Min Cl2</t>
  </si>
  <si>
    <t>Free Clearwell Min #1 sample 1</t>
  </si>
  <si>
    <t>Free Clearwell #1 Chamber 2 Avg.</t>
  </si>
  <si>
    <t>Finished Free Avg</t>
  </si>
  <si>
    <t>Finished Total Avg</t>
  </si>
  <si>
    <t>Finish Combined Min Cl2</t>
  </si>
  <si>
    <t>Raw Water Max pH</t>
  </si>
  <si>
    <t>Raw Water Min pH</t>
  </si>
  <si>
    <t>FI Max pH</t>
  </si>
  <si>
    <t>FI Min pH</t>
  </si>
  <si>
    <t>FE Max pH</t>
  </si>
  <si>
    <t>FE Min pH</t>
  </si>
  <si>
    <t>PE Max pH</t>
  </si>
  <si>
    <t>PE Min pH</t>
  </si>
  <si>
    <t>Clear Well #1 Max pH</t>
  </si>
  <si>
    <t>Clear Well #1 Min pH</t>
  </si>
  <si>
    <t>Fin Max pH</t>
  </si>
  <si>
    <t>Fin Min pH</t>
  </si>
  <si>
    <t>Fin Avg pH</t>
  </si>
  <si>
    <t>Max Filter Rate GPM/sq/Ft</t>
  </si>
  <si>
    <t>Filter 1</t>
  </si>
  <si>
    <t>Filter 2</t>
  </si>
  <si>
    <t>Filter 3</t>
  </si>
  <si>
    <t>Filter 4</t>
  </si>
  <si>
    <t>Filter 5</t>
  </si>
  <si>
    <t>Filter 6</t>
  </si>
  <si>
    <t>Filter 7</t>
  </si>
  <si>
    <t>Filter 8</t>
  </si>
  <si>
    <t>Filter 9</t>
  </si>
  <si>
    <t>Filter 10</t>
  </si>
  <si>
    <t>Filter 11</t>
  </si>
  <si>
    <t>Filter 12</t>
  </si>
  <si>
    <t>Filter 13</t>
  </si>
  <si>
    <t>Filter 14</t>
  </si>
  <si>
    <t>Filter 15</t>
  </si>
  <si>
    <t>Filter 16</t>
  </si>
  <si>
    <t>COLOR</t>
  </si>
  <si>
    <t>TOTAL HARDNESS</t>
  </si>
  <si>
    <t>D. O.</t>
  </si>
  <si>
    <t>IRON</t>
  </si>
  <si>
    <t>FLUORIDE</t>
  </si>
  <si>
    <t>CHLORIDE</t>
  </si>
  <si>
    <t>NITRATE</t>
  </si>
  <si>
    <t>PHOSPHATE</t>
  </si>
  <si>
    <t>Nitrite</t>
  </si>
  <si>
    <t>CONDUCTIVITY</t>
  </si>
  <si>
    <t>AMMONIA</t>
  </si>
  <si>
    <t>CALCIUM</t>
  </si>
  <si>
    <t>MAGNESIUM</t>
  </si>
  <si>
    <t>PROCESS COLIFORMS</t>
  </si>
  <si>
    <t>BROMIDE</t>
  </si>
  <si>
    <t>BROMATE</t>
  </si>
  <si>
    <t>Date Collected</t>
  </si>
  <si>
    <t>Street Address</t>
  </si>
  <si>
    <r>
      <t xml:space="preserve">        </t>
    </r>
    <r>
      <rPr>
        <b/>
        <sz val="10"/>
        <rFont val="Arial"/>
        <family val="2"/>
      </rPr>
      <t>Model developed for EPA based on Montana DEQ Model and</t>
    </r>
    <r>
      <rPr>
        <b/>
        <i/>
        <sz val="10"/>
        <rFont val="Arial"/>
        <family val="2"/>
      </rPr>
      <t xml:space="preserve"> </t>
    </r>
    <r>
      <rPr>
        <b/>
        <sz val="10"/>
        <rFont val="Arial"/>
        <family val="2"/>
      </rPr>
      <t>AWWA's</t>
    </r>
    <r>
      <rPr>
        <b/>
        <i/>
        <sz val="10"/>
        <rFont val="Arial"/>
        <family val="2"/>
      </rPr>
      <t xml:space="preserve"> Guidance Manual for Compliance</t>
    </r>
  </si>
  <si>
    <t>RAW</t>
  </si>
  <si>
    <t>FINISH</t>
  </si>
  <si>
    <t>TOTAL</t>
  </si>
  <si>
    <t>ORTHO</t>
  </si>
  <si>
    <t>FNISH</t>
  </si>
  <si>
    <t>Raw</t>
  </si>
  <si>
    <t>F.E.</t>
  </si>
  <si>
    <t>Finish</t>
  </si>
  <si>
    <t>Raw MGD Pumped from Source</t>
  </si>
  <si>
    <t>CHEMICALS USED /POUNDS</t>
  </si>
  <si>
    <t>CHEMICAL DOSAGES MG/L</t>
  </si>
  <si>
    <t xml:space="preserve">         with the Filtration and Disinfection Requirements for Public Water Systems Using Surface Water Sources</t>
  </si>
  <si>
    <t>FREE</t>
  </si>
  <si>
    <t>E. coli</t>
  </si>
  <si>
    <t xml:space="preserve">TOTAL </t>
  </si>
  <si>
    <t>WATER</t>
  </si>
  <si>
    <t>HOURS</t>
  </si>
  <si>
    <t>FILTER</t>
  </si>
  <si>
    <t>LENGTH OF RUNS</t>
  </si>
  <si>
    <t>WASHING</t>
  </si>
  <si>
    <t>ALUM</t>
  </si>
  <si>
    <t>ALKALI</t>
  </si>
  <si>
    <t>CHLORINE</t>
  </si>
  <si>
    <t>OTHER CHEMICALS</t>
  </si>
  <si>
    <t>Coliforms</t>
  </si>
  <si>
    <t xml:space="preserve">WATER </t>
  </si>
  <si>
    <t>FILTERED</t>
  </si>
  <si>
    <t>OF PLANT</t>
  </si>
  <si>
    <t>RATE</t>
  </si>
  <si>
    <t># UNITS</t>
  </si>
  <si>
    <t>SURFACE</t>
  </si>
  <si>
    <t>WASH</t>
  </si>
  <si>
    <t>LIQUID CAUSTIC</t>
  </si>
  <si>
    <t>CORROSION</t>
  </si>
  <si>
    <t>CARBON</t>
  </si>
  <si>
    <t>COAG AID</t>
  </si>
  <si>
    <t>FILTER AID</t>
  </si>
  <si>
    <t>POTASSIUM</t>
  </si>
  <si>
    <t>Pre</t>
  </si>
  <si>
    <t>Settle</t>
  </si>
  <si>
    <t>CAUSTIC</t>
  </si>
  <si>
    <t>CORR.</t>
  </si>
  <si>
    <t>COAG</t>
  </si>
  <si>
    <t>POT.</t>
  </si>
  <si>
    <t>mg/L</t>
  </si>
  <si>
    <t>uS/cm</t>
  </si>
  <si>
    <t>TREATED</t>
  </si>
  <si>
    <t>OPERATION</t>
  </si>
  <si>
    <t>GPM/FT2</t>
  </si>
  <si>
    <t>USED</t>
  </si>
  <si>
    <t>WASHED</t>
  </si>
  <si>
    <t>WATER USED</t>
  </si>
  <si>
    <t>LIQUID</t>
  </si>
  <si>
    <t>PRE</t>
  </si>
  <si>
    <t>POST</t>
  </si>
  <si>
    <t>INHIBITOR</t>
  </si>
  <si>
    <t>POLY</t>
  </si>
  <si>
    <t>PERMANGANATE</t>
  </si>
  <si>
    <t>INHIB.</t>
  </si>
  <si>
    <t>AID POLY</t>
  </si>
  <si>
    <t>PERM.</t>
  </si>
  <si>
    <t>System Name:</t>
  </si>
  <si>
    <t>Town of Cary</t>
  </si>
  <si>
    <t xml:space="preserve">PWSID #:  </t>
  </si>
  <si>
    <t>System Address:</t>
  </si>
  <si>
    <t>Cary/Apex WTP</t>
  </si>
  <si>
    <t>1400 Wimberly Rd</t>
  </si>
  <si>
    <t>Apex, NC  27523</t>
  </si>
  <si>
    <t>Water Source:</t>
  </si>
  <si>
    <t>Jordan Lake</t>
  </si>
  <si>
    <t>System Phone:</t>
  </si>
  <si>
    <t>(919) 362-5502</t>
  </si>
  <si>
    <t>Water Type:</t>
  </si>
  <si>
    <t>Surface Water</t>
  </si>
  <si>
    <t>Log-Reduction Report Submitted for:</t>
  </si>
  <si>
    <t>Calculated Log-Reduction for System at Peak Daily Flow:</t>
  </si>
  <si>
    <t>Giardia</t>
  </si>
  <si>
    <t>Viruses</t>
  </si>
  <si>
    <t xml:space="preserve">Month:  </t>
  </si>
  <si>
    <t>July</t>
  </si>
  <si>
    <t>Low Log-Removal for Month:</t>
  </si>
  <si>
    <t xml:space="preserve">Year:  </t>
  </si>
  <si>
    <t>Avg. Log Removal for Month:</t>
  </si>
  <si>
    <t>Log-Reduction Report Prepared by:</t>
  </si>
  <si>
    <t>Name:</t>
  </si>
  <si>
    <t>JD Arnold</t>
  </si>
  <si>
    <t>Title:</t>
  </si>
  <si>
    <t>Operation Team Leader</t>
  </si>
  <si>
    <t>Febuary 2018</t>
  </si>
  <si>
    <t>Signature:</t>
  </si>
  <si>
    <t>___________________________________________________________________________</t>
  </si>
  <si>
    <t>___________________________________________________________________________________________________________________________________________________________________________</t>
  </si>
  <si>
    <t>Worksheet Overview</t>
  </si>
  <si>
    <t>SUM</t>
  </si>
  <si>
    <r>
      <t xml:space="preserve">This worksheet is designed to </t>
    </r>
    <r>
      <rPr>
        <i/>
        <sz val="10"/>
        <rFont val="Arial"/>
        <family val="2"/>
      </rPr>
      <t>automatically</t>
    </r>
    <r>
      <rPr>
        <sz val="10"/>
        <rFont val="Arial"/>
        <family val="2"/>
      </rPr>
      <t xml:space="preserve"> calculate the log-reduction achieved by your facility on a day-to-day basis and to identify the lowest</t>
    </r>
  </si>
  <si>
    <r>
      <t xml:space="preserve">        daily log-reduction for the month and the monthly average rate of removal for both </t>
    </r>
    <r>
      <rPr>
        <i/>
        <sz val="10"/>
        <rFont val="Arial"/>
        <family val="2"/>
      </rPr>
      <t>Giardia lamblia</t>
    </r>
    <r>
      <rPr>
        <sz val="10"/>
        <rFont val="Arial"/>
        <family val="2"/>
      </rPr>
      <t xml:space="preserve"> and viruses.  The worksheet has been designed to</t>
    </r>
  </si>
  <si>
    <t xml:space="preserve">        calculate the log-removal provided by each stage of your system's treatment train based on various operating parameters (e.g., rate of flow, type of</t>
  </si>
  <si>
    <t xml:space="preserve">        disinfectant, temperature, etc.).  You may print-out, sign, and submit this report to assist you in determining whether a change in treatment process will</t>
  </si>
  <si>
    <t xml:space="preserve">        benefit or adversely impact your ability to meet the disinfection requirements of the Interim Enhanced Surface Water Treatment Rule (IESWTR).  </t>
  </si>
  <si>
    <r>
      <t xml:space="preserve">To successfully complete this worksheet, you need only enter the appropriate data for </t>
    </r>
    <r>
      <rPr>
        <i/>
        <sz val="10"/>
        <rFont val="Arial"/>
        <family val="2"/>
      </rPr>
      <t>your system</t>
    </r>
    <r>
      <rPr>
        <sz val="10"/>
        <rFont val="Arial"/>
        <family val="2"/>
      </rPr>
      <t xml:space="preserve"> in those cells with </t>
    </r>
    <r>
      <rPr>
        <sz val="10"/>
        <color indexed="12"/>
        <rFont val="Arial"/>
        <family val="2"/>
      </rPr>
      <t>blue</t>
    </r>
    <r>
      <rPr>
        <sz val="10"/>
        <rFont val="Arial"/>
        <family val="2"/>
      </rPr>
      <t xml:space="preserve"> text.</t>
    </r>
  </si>
  <si>
    <t xml:space="preserve">        Further, note that this model is designed to calculate individual log-reduction credits for up to six separate treatment stages.</t>
  </si>
  <si>
    <t xml:space="preserve">        If your system uses fewer than six stages, simply do not enter information in the extra slots provided on the worksheet below.</t>
  </si>
  <si>
    <t>`</t>
  </si>
  <si>
    <t xml:space="preserve">        </t>
  </si>
  <si>
    <t>If you have any questions regarding your responsibilities under the IESWTR, or need assistance in using this worksheet, please contact:</t>
  </si>
  <si>
    <t>[STATE:  Insert Contact Person's Name HERE; e.g., Jane Q. Doe]</t>
  </si>
  <si>
    <t>[STATE:  Insert Contact Person's Affiliation HERE; e.g., MD Dept. of the Environment]</t>
  </si>
  <si>
    <t>[STATE:  Insert Contact Person's Phone Number HERE]</t>
  </si>
  <si>
    <t>[STATE:  Insert Contact Person's E-mail Address HERE]</t>
  </si>
  <si>
    <t>Background Information and System Specifications</t>
  </si>
  <si>
    <r>
      <t xml:space="preserve">This worksheet will </t>
    </r>
    <r>
      <rPr>
        <i/>
        <sz val="10"/>
        <rFont val="Arial"/>
        <family val="2"/>
      </rPr>
      <t>automatically</t>
    </r>
    <r>
      <rPr>
        <sz val="10"/>
        <rFont val="Arial"/>
        <family val="2"/>
      </rPr>
      <t xml:space="preserve"> determine the log-reduction of </t>
    </r>
    <r>
      <rPr>
        <b/>
        <i/>
        <sz val="10"/>
        <rFont val="Arial"/>
        <family val="2"/>
      </rPr>
      <t>Giardia</t>
    </r>
    <r>
      <rPr>
        <b/>
        <sz val="10"/>
        <rFont val="Arial"/>
        <family val="2"/>
      </rPr>
      <t xml:space="preserve"> cysts</t>
    </r>
    <r>
      <rPr>
        <sz val="10"/>
        <rFont val="Arial"/>
        <family val="2"/>
      </rPr>
      <t xml:space="preserve"> by your system during peak daily flow based on the following formulas:</t>
    </r>
  </si>
  <si>
    <t>Free Chlorine:</t>
  </si>
  <si>
    <t>Log-reduction = CT Actual / [0.2828 x (pH)^2.69 x (Free Cl Conc.)^0.15 x 0.933^(Temp. - 5)]</t>
  </si>
  <si>
    <t>Chloramine:</t>
  </si>
  <si>
    <t>Log-reduction = CT Actual / [858.5 - (24.3 x Temp.)]</t>
  </si>
  <si>
    <t>Chlorine Dioxide:</t>
  </si>
  <si>
    <t>Log-reduction = {[CT Actual x (Temp.)^0.49] + 0.18} / 23.85</t>
  </si>
  <si>
    <t>Ozone:</t>
  </si>
  <si>
    <t>Log-reduction = {[CT Actual x e^(0.072 x Temp.)] - 0.01} / 0.98</t>
  </si>
  <si>
    <r>
      <t xml:space="preserve">This worksheet will also </t>
    </r>
    <r>
      <rPr>
        <i/>
        <sz val="10"/>
        <rFont val="Arial"/>
        <family val="2"/>
      </rPr>
      <t>automatically</t>
    </r>
    <r>
      <rPr>
        <sz val="10"/>
        <rFont val="Arial"/>
        <family val="2"/>
      </rPr>
      <t xml:space="preserve"> determine the log-reductio</t>
    </r>
    <r>
      <rPr>
        <sz val="10"/>
        <rFont val="Arial"/>
        <family val="2"/>
      </rPr>
      <t xml:space="preserve">n of </t>
    </r>
    <r>
      <rPr>
        <b/>
        <sz val="10"/>
        <rFont val="Arial"/>
        <family val="2"/>
      </rPr>
      <t>viruses</t>
    </r>
    <r>
      <rPr>
        <sz val="10"/>
        <rFont val="Arial"/>
        <family val="2"/>
      </rPr>
      <t xml:space="preserve"> b</t>
    </r>
    <r>
      <rPr>
        <sz val="10"/>
        <rFont val="Arial"/>
        <family val="2"/>
      </rPr>
      <t>y your system during peak daily flow based on the following formulas:</t>
    </r>
  </si>
  <si>
    <t>Free Cl (pH 6-9):</t>
  </si>
  <si>
    <t>Log-reduction = {[CT Actual x e^(0.071 x Temp.)] - 0.42} / 2.94</t>
  </si>
  <si>
    <t>Free Cl (pH 10):</t>
  </si>
  <si>
    <t>Log-reduction = {[CT Actual x e^(0.071 x Temp.)] - 0.21} / 22.37</t>
  </si>
  <si>
    <t>Log-reduction = {[CT Actual x e^(0.071 x Temp.)] + 410.7} / 849.5</t>
  </si>
  <si>
    <r>
      <t>ClO</t>
    </r>
    <r>
      <rPr>
        <sz val="8"/>
        <rFont val="Arial"/>
        <family val="2"/>
      </rPr>
      <t>2</t>
    </r>
    <r>
      <rPr>
        <sz val="10"/>
        <rFont val="Arial"/>
        <family val="2"/>
      </rPr>
      <t xml:space="preserve"> (pH 6-9):</t>
    </r>
  </si>
  <si>
    <t>Log-reduction = {[CT Actual x e^(0.072 x Temp.)] + 35.15} / 21.25</t>
  </si>
  <si>
    <t>Log-reduction = {[CT Actual x e^(0.068 x Temp.)] - 0.01} / 0.47</t>
  </si>
  <si>
    <r>
      <t xml:space="preserve">These formulas were derived by AWWA and the Cadmus Group, Inc. based on the log-removal tables published in the </t>
    </r>
    <r>
      <rPr>
        <i/>
        <sz val="10"/>
        <rFont val="Arial"/>
        <family val="2"/>
      </rPr>
      <t>Guidance Manual for Compliance</t>
    </r>
  </si>
  <si>
    <r>
      <t xml:space="preserve">        </t>
    </r>
    <r>
      <rPr>
        <i/>
        <sz val="10"/>
        <rFont val="Arial"/>
        <family val="2"/>
      </rPr>
      <t>with the Filtration and Disinfection Requirements for Public Water Systems Using Surface Water Sources</t>
    </r>
    <r>
      <rPr>
        <sz val="10"/>
        <rFont val="Arial"/>
        <family val="2"/>
      </rPr>
      <t>, published by AWWA (Appendices E and F).</t>
    </r>
  </si>
  <si>
    <r>
      <t>Enter</t>
    </r>
    <r>
      <rPr>
        <sz val="10"/>
        <rFont val="Arial"/>
        <family val="2"/>
      </rPr>
      <t xml:space="preserve"> Baffling Factor for Stage 1:</t>
    </r>
  </si>
  <si>
    <r>
      <t>Enter</t>
    </r>
    <r>
      <rPr>
        <sz val="10"/>
        <rFont val="Arial"/>
        <family val="2"/>
      </rPr>
      <t xml:space="preserve"> Baffling Factor for Stage 4:</t>
    </r>
  </si>
  <si>
    <r>
      <t>Enter</t>
    </r>
    <r>
      <rPr>
        <sz val="10"/>
        <rFont val="Arial"/>
        <family val="2"/>
      </rPr>
      <t xml:space="preserve"> Baffling Factor for Stage 2:</t>
    </r>
  </si>
  <si>
    <r>
      <t>Enter</t>
    </r>
    <r>
      <rPr>
        <sz val="10"/>
        <rFont val="Arial"/>
        <family val="2"/>
      </rPr>
      <t xml:space="preserve"> Baffling Factor for Stage 5:</t>
    </r>
  </si>
  <si>
    <r>
      <t>Enter</t>
    </r>
    <r>
      <rPr>
        <sz val="10"/>
        <rFont val="Arial"/>
        <family val="2"/>
      </rPr>
      <t xml:space="preserve"> Baffling Factor for Stage 3:</t>
    </r>
  </si>
  <si>
    <r>
      <t>Enter</t>
    </r>
    <r>
      <rPr>
        <sz val="10"/>
        <rFont val="Arial"/>
        <family val="2"/>
      </rPr>
      <t xml:space="preserve"> Baffling Factor for Stage 6:</t>
    </r>
  </si>
  <si>
    <t>System Characteristics and Log-Reduction Credits for:</t>
  </si>
  <si>
    <t>System Totals for CT Caluculations</t>
  </si>
  <si>
    <t>Day</t>
  </si>
  <si>
    <t>In Use?</t>
  </si>
  <si>
    <t>Treatment Stage</t>
  </si>
  <si>
    <t>Disinfectant</t>
  </si>
  <si>
    <t>Residual Conc. (mg/L)</t>
  </si>
  <si>
    <t>Temp. (Celsius)</t>
  </si>
  <si>
    <t>Peak Flow (GPM)</t>
  </si>
  <si>
    <t>Vol. Min. (gal)</t>
  </si>
  <si>
    <t>Vol. Eff. (gal)</t>
  </si>
  <si>
    <t>T10 (min)</t>
  </si>
  <si>
    <t>CT Actual</t>
  </si>
  <si>
    <r>
      <t>Log-Reduction (</t>
    </r>
    <r>
      <rPr>
        <b/>
        <i/>
        <sz val="10"/>
        <rFont val="Arial"/>
        <family val="2"/>
      </rPr>
      <t>Giardia</t>
    </r>
    <r>
      <rPr>
        <b/>
        <sz val="10"/>
        <rFont val="Arial"/>
        <family val="2"/>
      </rPr>
      <t>)</t>
    </r>
  </si>
  <si>
    <t>Log Reduction (viruses)</t>
  </si>
  <si>
    <t>Log-Reduction (viruses)</t>
  </si>
  <si>
    <t>MGD</t>
  </si>
  <si>
    <t>CT Ratio Min</t>
  </si>
  <si>
    <t>Chart #</t>
  </si>
  <si>
    <t xml:space="preserve">1. Filter Influent </t>
  </si>
  <si>
    <t>2. Filter&amp;Filter Eff.</t>
  </si>
  <si>
    <t xml:space="preserve">3. Plant Effluent </t>
  </si>
  <si>
    <t>4. Clearwell #1</t>
  </si>
  <si>
    <t xml:space="preserve">5. Clearwells 2&amp;3 </t>
  </si>
  <si>
    <t>Chloramine</t>
  </si>
  <si>
    <t>System TOTAL</t>
  </si>
  <si>
    <t>(Continued)</t>
  </si>
  <si>
    <r>
      <t>Return</t>
    </r>
    <r>
      <rPr>
        <sz val="10"/>
        <rFont val="Arial"/>
        <family val="2"/>
      </rPr>
      <t xml:space="preserve"> completed form by:</t>
    </r>
  </si>
  <si>
    <t>[STATE:  Insert Required Return Date HERE]</t>
  </si>
  <si>
    <r>
      <t>Return</t>
    </r>
    <r>
      <rPr>
        <sz val="10"/>
        <rFont val="Arial"/>
        <family val="2"/>
      </rPr>
      <t xml:space="preserve"> completed form to:</t>
    </r>
  </si>
  <si>
    <t>[STATE:  Insert Appropriate Address HERE;  e.g., MD Dept. of the Environment]</t>
  </si>
  <si>
    <t>[2500 Broening Highway]</t>
  </si>
  <si>
    <t>[Baltimore, MD  21224]</t>
  </si>
  <si>
    <t>Days in Month:</t>
  </si>
  <si>
    <t>Month ID tool 1:</t>
  </si>
  <si>
    <t>Month ID tool 2:</t>
  </si>
  <si>
    <t>Log-Reduction (Giardia)</t>
  </si>
  <si>
    <t>Log-Reduction (Viruses)</t>
  </si>
  <si>
    <t>Low LR for Month:</t>
  </si>
  <si>
    <t>Avg. LR for Month:</t>
  </si>
  <si>
    <t>using Excel 365</t>
  </si>
  <si>
    <t>&lt;0.0010</t>
  </si>
  <si>
    <t>Free Chlorine (mg/L)</t>
  </si>
  <si>
    <t>Loc Code</t>
  </si>
  <si>
    <t>3000 River Bottom Rd.</t>
  </si>
  <si>
    <t>5077 Sears Farm Rd.</t>
  </si>
  <si>
    <t>1107 Trinity Rd.</t>
  </si>
  <si>
    <t>123 Middle Creek Park Ave.</t>
  </si>
  <si>
    <t>430 Saint Andrews Ln.</t>
  </si>
  <si>
    <t>2450 Laura Duncan Rd.</t>
  </si>
  <si>
    <t>3901 Kildaire Farm Rd.</t>
  </si>
  <si>
    <t>115 Team Hendrick Way</t>
  </si>
  <si>
    <t>201 Soccer Park Dr.</t>
  </si>
  <si>
    <t>701 SAS Campus Dr.</t>
  </si>
  <si>
    <t>111 First Flight Ln.</t>
  </si>
  <si>
    <t>2920 Jones Franklin Rd.</t>
  </si>
  <si>
    <t>3000 RDU Center Dr.</t>
  </si>
  <si>
    <t>5353 Cary Glen Blvd.</t>
  </si>
  <si>
    <t>8921 Holly Springs Rd.</t>
  </si>
  <si>
    <t>OPS LAB - LAB</t>
  </si>
  <si>
    <t>TEMP - RAW</t>
  </si>
  <si>
    <t>CL2 Filter Influent 1,CL2 Filter Influent 2, CL2 Filter Influent 3</t>
  </si>
  <si>
    <t xml:space="preserve">The MIN residual of each field in 24 hours AVERAGED.  24 samples a day.  Not all Filter Influents are always used. </t>
  </si>
  <si>
    <t>CL2 - Filter Effleunt</t>
  </si>
  <si>
    <t>CL2 - Plant Effluent</t>
  </si>
  <si>
    <t>CL2 Clearwell 1 Chamber 1 - PRE</t>
  </si>
  <si>
    <t>CL2 Clearwell 1 Chamber 2</t>
  </si>
  <si>
    <t>CL2 - Finished Free</t>
  </si>
  <si>
    <t>CL2 - Finished Total</t>
  </si>
  <si>
    <t>CL2 - Finished Combined</t>
  </si>
  <si>
    <t>50966326/50966327/50966328/</t>
  </si>
  <si>
    <t>PH - Raw</t>
  </si>
  <si>
    <t>50966351/50966352/50966353</t>
  </si>
  <si>
    <t>PH - Filter Influent 1, 2, 3</t>
  </si>
  <si>
    <t>PH - Filter Effluent</t>
  </si>
  <si>
    <t>PH - Plant Effluent</t>
  </si>
  <si>
    <t>PH - Finished</t>
  </si>
  <si>
    <t>NTU - RAW</t>
  </si>
  <si>
    <t>OPS LAB - CARBON DIXOIDE TEST</t>
  </si>
  <si>
    <t>CO2 - RAW</t>
  </si>
  <si>
    <t>CO2 - Finished</t>
  </si>
  <si>
    <t>OPS LAB - ALKALINITY</t>
  </si>
  <si>
    <t>ALK - RAW</t>
  </si>
  <si>
    <t>ALK - Finished</t>
  </si>
  <si>
    <t>OPS ROUND - PLANT INFORMATION</t>
  </si>
  <si>
    <t>Venturi 1 and 2 total</t>
  </si>
  <si>
    <t>Raw at Plant total</t>
  </si>
  <si>
    <t>50967488/50967489/50967490</t>
  </si>
  <si>
    <t>NTU - Filter Influent 1..2..3</t>
  </si>
  <si>
    <t>NTU - Finished</t>
  </si>
  <si>
    <t>50967573/50967574/50967575</t>
  </si>
  <si>
    <t>CO2 - Filter Inflluent 1..2..3</t>
  </si>
  <si>
    <t>96975283/96975284/96975285</t>
  </si>
  <si>
    <t>ALK - Filter Influent 1…2…3</t>
  </si>
  <si>
    <t>OPS ROUND - CONTROL ROOM</t>
  </si>
  <si>
    <t>Clearwell One</t>
  </si>
  <si>
    <t>Clearwell Three</t>
  </si>
  <si>
    <t>Plant Operation Hours</t>
  </si>
  <si>
    <t>PH - Clearwell 1 Chamber 1 - PRE</t>
  </si>
  <si>
    <t>LIMS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</si>
</sst>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mmmm\ /\ yyyy"/>
    <numFmt numFmtId="165" formatCode="mmmm\ d\,\ yyyy"/>
    <numFmt numFmtId="166" formatCode="0.0%"/>
    <numFmt numFmtId="167" formatCode="0.0????"/>
    <numFmt numFmtId="168" formatCode="0.0?"/>
    <numFmt numFmtId="169" formatCode="0.0"/>
    <numFmt numFmtId="170" formatCode="m/d/yy"/>
    <numFmt numFmtId="171" formatCode="0.0??"/>
    <numFmt numFmtId="172" formatCode="0.0???"/>
    <numFmt numFmtId="173" formatCode="0.000"/>
    <numFmt numFmtId="174" formatCode="0.0000"/>
    <numFmt numFmtId="175" formatCode="h:mm;@"/>
    <numFmt numFmtId="176" formatCode="#,##0.000"/>
    <numFmt numFmtId="177" formatCode="ddd\,\ m/d/yy"/>
    <numFmt numFmtId="178" formatCode="0.??"/>
    <numFmt numFmtId="179" formatCode="0.????"/>
    <numFmt numFmtId="180" formatCode="0.?"/>
    <numFmt numFmtId="181" formatCode="0;[Red]0"/>
    <numFmt numFmtId="182" formatCode="mmmm"/>
    <numFmt numFmtId="183" formatCode="0.000;[Red]0.000"/>
    <numFmt numFmtId="184" formatCode="yyyy"/>
    <numFmt numFmtId="185" formatCode="ddd\,\ dd\-mmm\-yyyy"/>
    <numFmt numFmtId="186" formatCode="0.00_);\(0.00\)"/>
    <numFmt numFmtId="187" formatCode="#,##0.0_);\(#,##0.0\)"/>
  </numFmts>
  <fonts count="79" x14ac:knownFonts="1">
    <font>
      <sz val="10"/>
      <name val="Arial"/>
    </font>
    <font>
      <u/>
      <sz val="7.5"/>
      <color indexed="12"/>
      <name val="Arial"/>
      <family val="2"/>
    </font>
    <font>
      <sz val="14"/>
      <name val="Arial"/>
      <family val="2"/>
    </font>
    <font>
      <sz val="18"/>
      <color indexed="12"/>
      <name val="Arial"/>
      <family val="2"/>
    </font>
    <font>
      <sz val="12"/>
      <name val="Arial"/>
      <family val="2"/>
    </font>
    <font>
      <sz val="10"/>
      <color indexed="9"/>
      <name val="Arial"/>
      <family val="2"/>
    </font>
    <font>
      <sz val="14"/>
      <color indexed="12"/>
      <name val="Arial"/>
      <family val="2"/>
    </font>
    <font>
      <sz val="10"/>
      <color indexed="12"/>
      <name val="Arial"/>
      <family val="2"/>
    </font>
    <font>
      <sz val="9"/>
      <name val="Times New Roman"/>
      <family val="1"/>
    </font>
    <font>
      <sz val="10"/>
      <name val="Arial"/>
      <family val="2"/>
    </font>
    <font>
      <b/>
      <u/>
      <sz val="10"/>
      <color indexed="12"/>
      <name val="Arial"/>
      <family val="2"/>
    </font>
    <font>
      <sz val="8"/>
      <name val="Arial"/>
      <family val="2"/>
    </font>
    <font>
      <b/>
      <sz val="8"/>
      <name val="Arial"/>
      <family val="2"/>
    </font>
    <font>
      <b/>
      <sz val="12"/>
      <name val="Arial"/>
      <family val="2"/>
    </font>
    <font>
      <sz val="6"/>
      <name val="Arial"/>
      <family val="2"/>
    </font>
    <font>
      <sz val="7"/>
      <color indexed="12"/>
      <name val="Arial"/>
      <family val="2"/>
    </font>
    <font>
      <sz val="7"/>
      <name val="Arial"/>
      <family val="2"/>
    </font>
    <font>
      <sz val="8"/>
      <color indexed="12"/>
      <name val="Arial"/>
      <family val="2"/>
    </font>
    <font>
      <b/>
      <sz val="8"/>
      <color indexed="10"/>
      <name val="Arial"/>
      <family val="2"/>
    </font>
    <font>
      <sz val="8"/>
      <color indexed="22"/>
      <name val="Arial"/>
      <family val="2"/>
    </font>
    <font>
      <sz val="9"/>
      <name val="Arial"/>
      <family val="2"/>
    </font>
    <font>
      <i/>
      <sz val="8"/>
      <name val="Arial"/>
      <family val="2"/>
    </font>
    <font>
      <vertAlign val="superscript"/>
      <sz val="8"/>
      <name val="Arial"/>
      <family val="2"/>
    </font>
    <font>
      <vertAlign val="subscript"/>
      <sz val="8"/>
      <name val="Arial"/>
      <family val="2"/>
    </font>
    <font>
      <b/>
      <sz val="8"/>
      <color indexed="9"/>
      <name val="Arial"/>
      <family val="2"/>
    </font>
    <font>
      <sz val="9"/>
      <name val="Arial"/>
      <family val="2"/>
    </font>
    <font>
      <sz val="8"/>
      <color indexed="9"/>
      <name val="Arial"/>
      <family val="2"/>
    </font>
    <font>
      <sz val="10"/>
      <color indexed="22"/>
      <name val="Arial"/>
      <family val="2"/>
    </font>
    <font>
      <sz val="10"/>
      <color indexed="10"/>
      <name val="Arial"/>
      <family val="2"/>
    </font>
    <font>
      <sz val="8"/>
      <color indexed="8"/>
      <name val="Tahoma"/>
      <family val="2"/>
    </font>
    <font>
      <b/>
      <sz val="15"/>
      <name val="Arial"/>
      <family val="2"/>
    </font>
    <font>
      <sz val="15"/>
      <name val="Arial"/>
      <family val="2"/>
    </font>
    <font>
      <sz val="11"/>
      <name val="Arial"/>
      <family val="2"/>
    </font>
    <font>
      <sz val="12"/>
      <color indexed="9"/>
      <name val="Arial"/>
      <family val="2"/>
    </font>
    <font>
      <u/>
      <sz val="11"/>
      <name val="Arial"/>
      <family val="2"/>
    </font>
    <font>
      <b/>
      <sz val="11"/>
      <name val="Arial"/>
      <family val="2"/>
    </font>
    <font>
      <b/>
      <sz val="10"/>
      <name val="Arial"/>
      <family val="2"/>
    </font>
    <font>
      <b/>
      <sz val="8"/>
      <color indexed="8"/>
      <name val="Tahoma"/>
      <family val="2"/>
    </font>
    <font>
      <sz val="8"/>
      <color indexed="10"/>
      <name val="Tahoma"/>
      <family val="2"/>
    </font>
    <font>
      <i/>
      <sz val="8"/>
      <color indexed="10"/>
      <name val="Tahoma"/>
      <family val="2"/>
    </font>
    <font>
      <sz val="8"/>
      <name val="Arial"/>
      <family val="2"/>
    </font>
    <font>
      <b/>
      <sz val="10"/>
      <color indexed="12"/>
      <name val="Arial"/>
      <family val="2"/>
    </font>
    <font>
      <b/>
      <vertAlign val="superscript"/>
      <sz val="10"/>
      <color indexed="12"/>
      <name val="Arial"/>
      <family val="2"/>
    </font>
    <font>
      <b/>
      <sz val="8"/>
      <color indexed="22"/>
      <name val="Arial"/>
      <family val="2"/>
    </font>
    <font>
      <b/>
      <sz val="16"/>
      <name val="Times New Roman"/>
      <family val="1"/>
    </font>
    <font>
      <sz val="14"/>
      <color indexed="10"/>
      <name val="Times New Roman"/>
      <family val="1"/>
    </font>
    <font>
      <sz val="11"/>
      <name val="Times New Roman"/>
      <family val="1"/>
    </font>
    <font>
      <b/>
      <sz val="11"/>
      <name val="Times New Roman"/>
      <family val="1"/>
    </font>
    <font>
      <u/>
      <sz val="11"/>
      <name val="Times New Roman"/>
      <family val="1"/>
    </font>
    <font>
      <sz val="10"/>
      <name val="Times New Roman"/>
      <family val="1"/>
    </font>
    <font>
      <b/>
      <sz val="11"/>
      <color indexed="12"/>
      <name val="Times New Roman"/>
      <family val="1"/>
    </font>
    <font>
      <b/>
      <sz val="10"/>
      <color indexed="12"/>
      <name val="Arial"/>
      <family val="2"/>
    </font>
    <font>
      <sz val="11"/>
      <name val="Arial"/>
      <family val="2"/>
    </font>
    <font>
      <sz val="8"/>
      <name val="Times New Roman"/>
      <family val="1"/>
    </font>
    <font>
      <vertAlign val="subscript"/>
      <sz val="10"/>
      <name val="Arial"/>
      <family val="2"/>
    </font>
    <font>
      <b/>
      <sz val="10"/>
      <color indexed="10"/>
      <name val="Arial"/>
      <family val="2"/>
    </font>
    <font>
      <b/>
      <sz val="8"/>
      <color indexed="61"/>
      <name val="Arial"/>
      <family val="2"/>
    </font>
    <font>
      <b/>
      <sz val="14"/>
      <name val="Arial"/>
      <family val="2"/>
    </font>
    <font>
      <b/>
      <sz val="7.5"/>
      <name val="MS Sans Serif"/>
      <family val="2"/>
    </font>
    <font>
      <b/>
      <sz val="8"/>
      <name val="MS Sans Serif"/>
      <family val="2"/>
    </font>
    <font>
      <b/>
      <i/>
      <sz val="10"/>
      <name val="Arial"/>
      <family val="2"/>
    </font>
    <font>
      <b/>
      <sz val="10"/>
      <name val="MS Sans Serif"/>
      <family val="2"/>
    </font>
    <font>
      <b/>
      <sz val="7"/>
      <name val="MS Sans Serif"/>
      <family val="2"/>
    </font>
    <font>
      <b/>
      <sz val="8.5"/>
      <name val="MS Sans Serif"/>
      <family val="2"/>
    </font>
    <font>
      <sz val="11"/>
      <color indexed="8"/>
      <name val="Calibri"/>
      <family val="2"/>
    </font>
    <font>
      <sz val="10"/>
      <name val="MS Sans Serif"/>
      <family val="2"/>
    </font>
    <font>
      <sz val="8.5"/>
      <name val="MS Sans Serif"/>
      <family val="2"/>
    </font>
    <font>
      <sz val="11"/>
      <color theme="1"/>
      <name val="Calibri"/>
      <family val="2"/>
    </font>
    <font>
      <b/>
      <u/>
      <sz val="10"/>
      <name val="Arial"/>
      <family val="2"/>
    </font>
    <font>
      <b/>
      <i/>
      <u/>
      <sz val="10"/>
      <name val="Arial"/>
      <family val="2"/>
    </font>
    <font>
      <sz val="11"/>
      <name val="Calibri"/>
      <family val="2"/>
    </font>
    <font>
      <b/>
      <sz val="13"/>
      <name val="Arial"/>
      <family val="2"/>
    </font>
    <font>
      <i/>
      <sz val="10"/>
      <name val="Arial"/>
      <family val="2"/>
    </font>
    <font>
      <b/>
      <sz val="12"/>
      <color indexed="12"/>
      <name val="Arial"/>
      <family val="2"/>
    </font>
    <font>
      <b/>
      <i/>
      <sz val="10"/>
      <color indexed="12"/>
      <name val="Arial"/>
      <family val="2"/>
    </font>
    <font>
      <sz val="11"/>
      <color indexed="8"/>
      <name val="Calibri"/>
      <family val="2"/>
    </font>
    <font>
      <sz val="11"/>
      <color indexed="8"/>
      <name val="Calibri"/>
      <family val="2"/>
    </font>
    <font>
      <sz val="10"/>
      <color indexed="8"/>
      <name val="Arial"/>
      <family val="2"/>
    </font>
    <font>
      <sz val="11"/>
      <color indexed="8"/>
      <name val="Calibri"/>
      <family val="2"/>
    </font>
  </fonts>
  <fills count="19">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13"/>
        <bgColor indexed="64"/>
      </patternFill>
    </fill>
    <fill>
      <patternFill patternType="solid">
        <fgColor indexed="23"/>
        <bgColor indexed="64"/>
      </patternFill>
    </fill>
    <fill>
      <patternFill patternType="solid">
        <fgColor indexed="9"/>
        <bgColor indexed="64"/>
      </patternFill>
    </fill>
    <fill>
      <patternFill patternType="solid">
        <fgColor indexed="42"/>
        <bgColor indexed="64"/>
      </patternFill>
    </fill>
    <fill>
      <patternFill patternType="solid">
        <fgColor indexed="45"/>
        <bgColor indexed="64"/>
      </patternFill>
    </fill>
    <fill>
      <patternFill patternType="solid">
        <fgColor indexed="31"/>
        <bgColor indexed="64"/>
      </patternFill>
    </fill>
    <fill>
      <patternFill patternType="solid">
        <fgColor rgb="FFCCCCFF"/>
        <bgColor indexed="64"/>
      </patternFill>
    </fill>
    <fill>
      <patternFill patternType="solid">
        <fgColor rgb="FF99CCFF"/>
        <bgColor indexed="64"/>
      </patternFill>
    </fill>
    <fill>
      <patternFill patternType="solid">
        <fgColor indexed="43"/>
        <bgColor indexed="64"/>
      </patternFill>
    </fill>
    <fill>
      <patternFill patternType="solid">
        <fgColor indexed="27"/>
        <bgColor indexed="64"/>
      </patternFill>
    </fill>
    <fill>
      <patternFill patternType="solid">
        <fgColor indexed="47"/>
        <bgColor indexed="64"/>
      </patternFill>
    </fill>
    <fill>
      <patternFill patternType="solid">
        <fgColor theme="0"/>
        <bgColor indexed="64"/>
      </patternFill>
    </fill>
    <fill>
      <patternFill patternType="solid">
        <fgColor rgb="FFFFFF00"/>
        <bgColor indexed="64"/>
      </patternFill>
    </fill>
    <fill>
      <patternFill patternType="solid">
        <fgColor indexed="22"/>
        <bgColor indexed="0"/>
      </patternFill>
    </fill>
    <fill>
      <patternFill patternType="solid">
        <fgColor theme="7" tint="0.59999389629810485"/>
        <bgColor indexed="64"/>
      </patternFill>
    </fill>
  </fills>
  <borders count="179">
    <border>
      <left/>
      <right/>
      <top/>
      <bottom/>
      <diagonal/>
    </border>
    <border>
      <left style="hair">
        <color indexed="64"/>
      </left>
      <right/>
      <top style="hair">
        <color indexed="64"/>
      </top>
      <bottom style="hair">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thin">
        <color indexed="64"/>
      </right>
      <top/>
      <bottom style="double">
        <color indexed="12"/>
      </bottom>
      <diagonal/>
    </border>
    <border>
      <left/>
      <right/>
      <top/>
      <bottom style="double">
        <color indexed="12"/>
      </bottom>
      <diagonal/>
    </border>
    <border>
      <left style="medium">
        <color indexed="64"/>
      </left>
      <right style="thin">
        <color indexed="64"/>
      </right>
      <top/>
      <bottom style="double">
        <color indexed="12"/>
      </bottom>
      <diagonal/>
    </border>
    <border>
      <left/>
      <right style="medium">
        <color indexed="64"/>
      </right>
      <top/>
      <bottom style="double">
        <color indexed="12"/>
      </bottom>
      <diagonal/>
    </border>
    <border>
      <left style="thin">
        <color indexed="64"/>
      </left>
      <right/>
      <top/>
      <bottom style="double">
        <color indexed="12"/>
      </bottom>
      <diagonal/>
    </border>
    <border>
      <left style="hair">
        <color indexed="64"/>
      </left>
      <right style="hair">
        <color indexed="64"/>
      </right>
      <top style="hair">
        <color indexed="64"/>
      </top>
      <bottom style="hair">
        <color indexed="64"/>
      </bottom>
      <diagonal/>
    </border>
    <border>
      <left style="medium">
        <color indexed="64"/>
      </left>
      <right style="medium">
        <color indexed="64"/>
      </right>
      <top/>
      <bottom style="thin">
        <color indexed="64"/>
      </bottom>
      <diagonal/>
    </border>
    <border>
      <left style="medium">
        <color indexed="8"/>
      </left>
      <right style="dotted">
        <color indexed="64"/>
      </right>
      <top/>
      <bottom style="thin">
        <color indexed="8"/>
      </bottom>
      <diagonal/>
    </border>
    <border>
      <left style="medium">
        <color indexed="8"/>
      </left>
      <right style="dotted">
        <color indexed="64"/>
      </right>
      <top/>
      <bottom style="double">
        <color indexed="12"/>
      </bottom>
      <diagonal/>
    </border>
    <border>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22"/>
      </left>
      <right style="thin">
        <color indexed="22"/>
      </right>
      <top style="thin">
        <color indexed="22"/>
      </top>
      <bottom/>
      <diagonal/>
    </border>
    <border>
      <left/>
      <right style="thin">
        <color indexed="22"/>
      </right>
      <top style="thin">
        <color indexed="22"/>
      </top>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style="thin">
        <color indexed="8"/>
      </left>
      <right style="thin">
        <color indexed="8"/>
      </right>
      <top/>
      <bottom style="thin">
        <color indexed="8"/>
      </bottom>
      <diagonal/>
    </border>
    <border>
      <left/>
      <right style="thin">
        <color indexed="8"/>
      </right>
      <top/>
      <bottom style="thin">
        <color indexed="8"/>
      </bottom>
      <diagonal/>
    </border>
    <border>
      <left/>
      <right/>
      <top/>
      <bottom style="thin">
        <color indexed="8"/>
      </bottom>
      <diagonal/>
    </border>
    <border>
      <left/>
      <right style="medium">
        <color indexed="8"/>
      </right>
      <top/>
      <bottom style="thin">
        <color indexed="8"/>
      </bottom>
      <diagonal/>
    </border>
    <border>
      <left/>
      <right style="thin">
        <color indexed="8"/>
      </right>
      <top/>
      <bottom style="double">
        <color indexed="12"/>
      </bottom>
      <diagonal/>
    </border>
    <border>
      <left style="thin">
        <color indexed="8"/>
      </left>
      <right style="thin">
        <color indexed="8"/>
      </right>
      <top/>
      <bottom style="double">
        <color indexed="12"/>
      </bottom>
      <diagonal/>
    </border>
    <border>
      <left/>
      <right style="medium">
        <color indexed="8"/>
      </right>
      <top/>
      <bottom style="double">
        <color indexed="12"/>
      </bottom>
      <diagonal/>
    </border>
    <border>
      <left style="thin">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medium">
        <color indexed="64"/>
      </left>
      <right style="double">
        <color indexed="64"/>
      </right>
      <top/>
      <bottom style="thin">
        <color indexed="64"/>
      </bottom>
      <diagonal/>
    </border>
    <border>
      <left/>
      <right style="double">
        <color indexed="64"/>
      </right>
      <top/>
      <bottom style="double">
        <color indexed="12"/>
      </bottom>
      <diagonal/>
    </border>
    <border>
      <left style="double">
        <color indexed="64"/>
      </left>
      <right style="thin">
        <color indexed="64"/>
      </right>
      <top/>
      <bottom style="double">
        <color indexed="12"/>
      </bottom>
      <diagonal/>
    </border>
    <border>
      <left style="medium">
        <color indexed="64"/>
      </left>
      <right style="double">
        <color indexed="64"/>
      </right>
      <top/>
      <bottom style="double">
        <color indexed="12"/>
      </bottom>
      <diagonal/>
    </border>
    <border>
      <left/>
      <right style="thin">
        <color indexed="22"/>
      </right>
      <top style="thin">
        <color indexed="22"/>
      </top>
      <bottom style="thin">
        <color indexed="22"/>
      </bottom>
      <diagonal/>
    </border>
    <border>
      <left/>
      <right/>
      <top style="hair">
        <color indexed="55"/>
      </top>
      <bottom/>
      <diagonal/>
    </border>
    <border>
      <left/>
      <right/>
      <top style="hair">
        <color indexed="55"/>
      </top>
      <bottom style="thin">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8"/>
      </left>
      <right/>
      <top/>
      <bottom style="thin">
        <color indexed="8"/>
      </bottom>
      <diagonal/>
    </border>
    <border>
      <left style="medium">
        <color indexed="8"/>
      </left>
      <right style="thin">
        <color indexed="8"/>
      </right>
      <top/>
      <bottom style="double">
        <color indexed="12"/>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right/>
      <top style="thin">
        <color indexed="64"/>
      </top>
      <bottom/>
      <diagonal/>
    </border>
    <border>
      <left/>
      <right/>
      <top/>
      <bottom style="thin">
        <color indexed="12"/>
      </bottom>
      <diagonal/>
    </border>
    <border>
      <left/>
      <right style="hair">
        <color indexed="8"/>
      </right>
      <top style="hair">
        <color indexed="64"/>
      </top>
      <bottom style="hair">
        <color indexed="64"/>
      </bottom>
      <diagonal/>
    </border>
    <border>
      <left/>
      <right/>
      <top/>
      <bottom style="hair">
        <color indexed="64"/>
      </bottom>
      <diagonal/>
    </border>
    <border>
      <left/>
      <right style="hair">
        <color indexed="64"/>
      </right>
      <top/>
      <bottom style="hair">
        <color indexed="64"/>
      </bottom>
      <diagonal/>
    </border>
    <border>
      <left style="medium">
        <color indexed="64"/>
      </left>
      <right style="thin">
        <color indexed="64"/>
      </right>
      <top/>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8"/>
      </right>
      <top/>
      <bottom style="medium">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8"/>
      </right>
      <top style="thin">
        <color indexed="64"/>
      </top>
      <bottom style="thin">
        <color indexed="64"/>
      </bottom>
      <diagonal/>
    </border>
    <border>
      <left style="thin">
        <color indexed="64"/>
      </left>
      <right style="medium">
        <color indexed="64"/>
      </right>
      <top/>
      <bottom style="thin">
        <color indexed="64"/>
      </bottom>
      <diagonal/>
    </border>
    <border>
      <left style="hair">
        <color indexed="8"/>
      </left>
      <right style="hair">
        <color indexed="8"/>
      </right>
      <top style="hair">
        <color indexed="8"/>
      </top>
      <bottom style="hair">
        <color indexed="8"/>
      </bottom>
      <diagonal/>
    </border>
    <border>
      <left style="medium">
        <color indexed="64"/>
      </left>
      <right style="thin">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8"/>
      </right>
      <top style="medium">
        <color indexed="64"/>
      </top>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right style="medium">
        <color indexed="8"/>
      </right>
      <top/>
      <bottom style="thin">
        <color indexed="64"/>
      </bottom>
      <diagonal/>
    </border>
    <border>
      <left/>
      <right style="dotted">
        <color indexed="64"/>
      </right>
      <top/>
      <bottom/>
      <diagonal/>
    </border>
    <border>
      <left/>
      <right style="dotted">
        <color indexed="64"/>
      </right>
      <top/>
      <bottom style="thin">
        <color indexed="64"/>
      </bottom>
      <diagonal/>
    </border>
    <border>
      <left style="thin">
        <color indexed="64"/>
      </left>
      <right style="thin">
        <color indexed="64"/>
      </right>
      <top/>
      <bottom style="thin">
        <color indexed="64"/>
      </bottom>
      <diagonal/>
    </border>
    <border>
      <left style="dotted">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dotted">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bottom/>
      <diagonal/>
    </border>
    <border>
      <left style="hair">
        <color indexed="64"/>
      </left>
      <right/>
      <top/>
      <bottom style="hair">
        <color indexed="64"/>
      </bottom>
      <diagonal/>
    </border>
    <border>
      <left/>
      <right style="hair">
        <color indexed="8"/>
      </right>
      <top/>
      <bottom style="hair">
        <color indexed="64"/>
      </bottom>
      <diagonal/>
    </border>
    <border>
      <left style="medium">
        <color indexed="8"/>
      </left>
      <right/>
      <top style="medium">
        <color indexed="8"/>
      </top>
      <bottom/>
      <diagonal/>
    </border>
    <border>
      <left style="medium">
        <color indexed="8"/>
      </left>
      <right/>
      <top/>
      <bottom/>
      <diagonal/>
    </border>
    <border>
      <left style="medium">
        <color indexed="8"/>
      </left>
      <right style="thin">
        <color indexed="64"/>
      </right>
      <top/>
      <bottom style="thin">
        <color indexed="64"/>
      </bottom>
      <diagonal/>
    </border>
    <border>
      <left style="thin">
        <color indexed="8"/>
      </left>
      <right style="thin">
        <color indexed="8"/>
      </right>
      <top/>
      <bottom style="thin">
        <color indexed="64"/>
      </bottom>
      <diagonal/>
    </border>
    <border>
      <left/>
      <right/>
      <top style="double">
        <color indexed="12"/>
      </top>
      <bottom/>
      <diagonal/>
    </border>
    <border>
      <left style="medium">
        <color indexed="8"/>
      </left>
      <right style="thin">
        <color indexed="64"/>
      </right>
      <top/>
      <bottom style="medium">
        <color indexed="8"/>
      </bottom>
      <diagonal/>
    </border>
    <border>
      <left/>
      <right style="thin">
        <color indexed="64"/>
      </right>
      <top/>
      <bottom style="medium">
        <color indexed="8"/>
      </bottom>
      <diagonal/>
    </border>
    <border>
      <left/>
      <right/>
      <top/>
      <bottom style="medium">
        <color indexed="8"/>
      </bottom>
      <diagonal/>
    </border>
    <border>
      <left style="thin">
        <color indexed="8"/>
      </left>
      <right style="thin">
        <color indexed="8"/>
      </right>
      <top/>
      <bottom style="medium">
        <color indexed="8"/>
      </bottom>
      <diagonal/>
    </border>
    <border>
      <left/>
      <right style="thin">
        <color indexed="8"/>
      </right>
      <top/>
      <bottom style="medium">
        <color indexed="8"/>
      </bottom>
      <diagonal/>
    </border>
    <border>
      <left/>
      <right style="medium">
        <color indexed="8"/>
      </right>
      <top/>
      <bottom style="medium">
        <color indexed="8"/>
      </bottom>
      <diagonal/>
    </border>
    <border>
      <left/>
      <right style="double">
        <color indexed="64"/>
      </right>
      <top/>
      <bottom style="thin">
        <color indexed="64"/>
      </bottom>
      <diagonal/>
    </border>
    <border>
      <left style="double">
        <color indexed="64"/>
      </left>
      <right style="medium">
        <color indexed="64"/>
      </right>
      <top/>
      <bottom style="thin">
        <color indexed="64"/>
      </bottom>
      <diagonal/>
    </border>
    <border>
      <left style="double">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diagonal/>
    </border>
    <border>
      <left style="double">
        <color indexed="64"/>
      </left>
      <right style="medium">
        <color indexed="64"/>
      </right>
      <top/>
      <bottom style="double">
        <color indexed="12"/>
      </bottom>
      <diagonal/>
    </border>
    <border>
      <left style="hair">
        <color indexed="64"/>
      </left>
      <right/>
      <top style="hair">
        <color indexed="64"/>
      </top>
      <bottom/>
      <diagonal/>
    </border>
    <border>
      <left/>
      <right/>
      <top style="hair">
        <color indexed="64"/>
      </top>
      <bottom/>
      <diagonal/>
    </border>
    <border>
      <left/>
      <right style="hair">
        <color indexed="8"/>
      </right>
      <top style="hair">
        <color indexed="64"/>
      </top>
      <bottom/>
      <diagonal/>
    </border>
    <border>
      <left/>
      <right style="hair">
        <color indexed="8"/>
      </right>
      <top/>
      <bottom/>
      <diagonal/>
    </border>
    <border>
      <left style="hair">
        <color indexed="64"/>
      </left>
      <right/>
      <top/>
      <bottom style="hair">
        <color indexed="8"/>
      </bottom>
      <diagonal/>
    </border>
    <border>
      <left/>
      <right/>
      <top/>
      <bottom style="hair">
        <color indexed="8"/>
      </bottom>
      <diagonal/>
    </border>
    <border>
      <left/>
      <right style="hair">
        <color indexed="8"/>
      </right>
      <top/>
      <bottom style="hair">
        <color indexed="8"/>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bottom style="thin">
        <color indexed="8"/>
      </bottom>
      <diagonal/>
    </border>
    <border>
      <left/>
      <right style="thin">
        <color indexed="64"/>
      </right>
      <top style="thin">
        <color indexed="64"/>
      </top>
      <bottom/>
      <diagonal/>
    </border>
    <border>
      <left/>
      <right style="thin">
        <color indexed="64"/>
      </right>
      <top/>
      <bottom style="thin">
        <color indexed="8"/>
      </bottom>
      <diagonal/>
    </border>
    <border>
      <left style="thin">
        <color indexed="64"/>
      </left>
      <right/>
      <top style="hair">
        <color indexed="64"/>
      </top>
      <bottom style="hair">
        <color indexed="64"/>
      </bottom>
      <diagonal/>
    </border>
    <border>
      <left style="thin">
        <color indexed="64"/>
      </left>
      <right/>
      <top style="thin">
        <color indexed="64"/>
      </top>
      <bottom/>
      <diagonal/>
    </border>
    <border>
      <left/>
      <right style="thin">
        <color indexed="8"/>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style="thin">
        <color indexed="8"/>
      </left>
      <right/>
      <top style="thin">
        <color indexed="64"/>
      </top>
      <bottom style="thin">
        <color indexed="8"/>
      </bottom>
      <diagonal/>
    </border>
    <border>
      <left/>
      <right style="thin">
        <color indexed="8"/>
      </right>
      <top style="thin">
        <color indexed="64"/>
      </top>
      <bottom style="thin">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medium">
        <color indexed="8"/>
      </top>
      <bottom/>
      <diagonal/>
    </border>
    <border>
      <left/>
      <right/>
      <top style="medium">
        <color indexed="8"/>
      </top>
      <bottom/>
      <diagonal/>
    </border>
    <border>
      <left/>
      <right style="thin">
        <color indexed="8"/>
      </right>
      <top style="medium">
        <color indexed="8"/>
      </top>
      <bottom/>
      <diagonal/>
    </border>
    <border>
      <left style="thin">
        <color indexed="8"/>
      </left>
      <right/>
      <top/>
      <bottom style="thin">
        <color indexed="8"/>
      </bottom>
      <diagonal/>
    </border>
    <border>
      <left/>
      <right style="medium">
        <color indexed="8"/>
      </right>
      <top style="medium">
        <color indexed="8"/>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8"/>
      </right>
      <top style="medium">
        <color indexed="64"/>
      </top>
      <bottom style="thin">
        <color indexed="64"/>
      </bottom>
      <diagonal/>
    </border>
    <border>
      <left style="medium">
        <color indexed="8"/>
      </left>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bottom style="thin">
        <color indexed="8"/>
      </bottom>
      <diagonal/>
    </border>
    <border>
      <left/>
      <right/>
      <top style="hair">
        <color theme="1" tint="0.499984740745262"/>
      </top>
      <bottom/>
      <diagonal/>
    </border>
    <border>
      <left/>
      <right/>
      <top/>
      <bottom style="hair">
        <color theme="1" tint="0.499984740745262"/>
      </bottom>
      <diagonal/>
    </border>
    <border>
      <left/>
      <right style="thin">
        <color auto="1"/>
      </right>
      <top/>
      <bottom style="thin">
        <color indexed="64"/>
      </bottom>
      <diagonal/>
    </border>
    <border>
      <left/>
      <right style="thin">
        <color auto="1"/>
      </right>
      <top style="thin">
        <color indexed="64"/>
      </top>
      <bottom style="thin">
        <color indexed="64"/>
      </bottom>
      <diagonal/>
    </border>
    <border>
      <left/>
      <right style="thin">
        <color auto="1"/>
      </right>
      <top/>
      <bottom style="double">
        <color indexed="12"/>
      </bottom>
      <diagonal/>
    </border>
    <border>
      <left/>
      <right style="thin">
        <color auto="1"/>
      </right>
      <top/>
      <bottom style="medium">
        <color indexed="64"/>
      </bottom>
      <diagonal/>
    </border>
    <border>
      <left style="thin">
        <color auto="1"/>
      </left>
      <right/>
      <top/>
      <bottom style="thin">
        <color indexed="64"/>
      </bottom>
      <diagonal/>
    </border>
    <border>
      <left style="thin">
        <color auto="1"/>
      </left>
      <right/>
      <top/>
      <bottom style="double">
        <color indexed="12"/>
      </bottom>
      <diagonal/>
    </border>
    <border>
      <left style="thin">
        <color auto="1"/>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ck">
        <color auto="1"/>
      </right>
      <top/>
      <bottom/>
      <diagonal/>
    </border>
    <border>
      <left style="thick">
        <color auto="1"/>
      </left>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thin">
        <color indexed="22"/>
      </left>
      <right style="thin">
        <color indexed="22"/>
      </right>
      <top style="thin">
        <color indexed="22"/>
      </top>
      <bottom style="thin">
        <color indexed="22"/>
      </bottom>
      <diagonal/>
    </border>
    <border>
      <left style="medium">
        <color indexed="64"/>
      </left>
      <right style="medium">
        <color indexed="64"/>
      </right>
      <top style="medium">
        <color indexed="64"/>
      </top>
      <bottom style="thin">
        <color indexed="64"/>
      </bottom>
      <diagonal/>
    </border>
    <border>
      <left style="thick">
        <color indexed="64"/>
      </left>
      <right style="thin">
        <color indexed="64"/>
      </right>
      <top style="medium">
        <color indexed="64"/>
      </top>
      <bottom style="thin">
        <color indexed="64"/>
      </bottom>
      <diagonal/>
    </border>
    <border>
      <left/>
      <right style="thin">
        <color auto="1"/>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bottom style="medium">
        <color indexed="64"/>
      </bottom>
      <diagonal/>
    </border>
    <border>
      <left style="thin">
        <color indexed="8"/>
      </left>
      <right style="thin">
        <color indexed="8"/>
      </right>
      <top style="thin">
        <color indexed="8"/>
      </top>
      <bottom style="thin">
        <color indexed="8"/>
      </bottom>
      <diagonal/>
    </border>
  </borders>
  <cellStyleXfs count="4">
    <xf numFmtId="0" fontId="0" fillId="0" borderId="0"/>
    <xf numFmtId="0" fontId="1" fillId="0" borderId="0" applyNumberFormat="0" applyFill="0" applyBorder="0" applyAlignment="0" applyProtection="0"/>
    <xf numFmtId="0" fontId="65" fillId="0" borderId="0"/>
    <xf numFmtId="0" fontId="77" fillId="0" borderId="0"/>
  </cellStyleXfs>
  <cellXfs count="1234">
    <xf numFmtId="0" fontId="0" fillId="0" borderId="0" xfId="0"/>
    <xf numFmtId="165" fontId="5" fillId="0" borderId="0" xfId="0" applyNumberFormat="1" applyFont="1" applyAlignment="1" applyProtection="1">
      <alignment horizontal="left" indent="1"/>
      <protection hidden="1"/>
    </xf>
    <xf numFmtId="0" fontId="11" fillId="0" borderId="0" xfId="0" applyFont="1" applyProtection="1">
      <protection hidden="1"/>
    </xf>
    <xf numFmtId="0" fontId="11" fillId="0" borderId="0" xfId="0" applyFont="1" applyAlignment="1" applyProtection="1">
      <alignment horizontal="right"/>
      <protection hidden="1"/>
    </xf>
    <xf numFmtId="0" fontId="11" fillId="2" borderId="2" xfId="0" applyFont="1" applyFill="1" applyBorder="1" applyAlignment="1" applyProtection="1">
      <alignment horizontal="center" textRotation="90" wrapText="1"/>
      <protection locked="0"/>
    </xf>
    <xf numFmtId="0" fontId="11" fillId="2" borderId="3" xfId="0" applyFont="1" applyFill="1" applyBorder="1" applyAlignment="1" applyProtection="1">
      <alignment horizontal="center" textRotation="90" wrapText="1"/>
      <protection locked="0"/>
    </xf>
    <xf numFmtId="0" fontId="11" fillId="2" borderId="4" xfId="0" applyFont="1" applyFill="1" applyBorder="1" applyAlignment="1" applyProtection="1">
      <alignment horizontal="center" textRotation="90" wrapText="1"/>
      <protection locked="0"/>
    </xf>
    <xf numFmtId="0" fontId="11" fillId="2" borderId="5" xfId="0" applyFont="1" applyFill="1" applyBorder="1" applyAlignment="1" applyProtection="1">
      <alignment horizontal="center" textRotation="90" wrapText="1"/>
      <protection locked="0"/>
    </xf>
    <xf numFmtId="167" fontId="11" fillId="0" borderId="4" xfId="0" applyNumberFormat="1" applyFont="1" applyBorder="1" applyAlignment="1" applyProtection="1">
      <alignment horizontal="right"/>
      <protection locked="0"/>
    </xf>
    <xf numFmtId="168" fontId="11" fillId="0" borderId="5" xfId="0" applyNumberFormat="1" applyFont="1" applyBorder="1" applyAlignment="1" applyProtection="1">
      <alignment horizontal="right"/>
      <protection locked="0"/>
    </xf>
    <xf numFmtId="168" fontId="11" fillId="0" borderId="3" xfId="0" applyNumberFormat="1" applyFont="1" applyBorder="1" applyAlignment="1" applyProtection="1">
      <alignment horizontal="right"/>
      <protection locked="0"/>
    </xf>
    <xf numFmtId="168" fontId="11" fillId="0" borderId="4" xfId="0" applyNumberFormat="1" applyFont="1" applyBorder="1" applyAlignment="1" applyProtection="1">
      <alignment horizontal="right"/>
      <protection locked="0"/>
    </xf>
    <xf numFmtId="169" fontId="11" fillId="0" borderId="4" xfId="0" applyNumberFormat="1" applyFont="1" applyBorder="1" applyAlignment="1" applyProtection="1">
      <alignment horizontal="right"/>
      <protection locked="0"/>
    </xf>
    <xf numFmtId="1" fontId="11" fillId="0" borderId="4" xfId="0" applyNumberFormat="1" applyFont="1" applyBorder="1" applyAlignment="1" applyProtection="1">
      <alignment horizontal="right"/>
      <protection locked="0"/>
    </xf>
    <xf numFmtId="1" fontId="11" fillId="0" borderId="6" xfId="0" applyNumberFormat="1" applyFont="1" applyBorder="1" applyAlignment="1" applyProtection="1">
      <alignment horizontal="right"/>
      <protection locked="0"/>
    </xf>
    <xf numFmtId="169" fontId="11" fillId="0" borderId="2" xfId="0" applyNumberFormat="1" applyFont="1" applyBorder="1" applyAlignment="1" applyProtection="1">
      <alignment horizontal="right"/>
      <protection locked="0"/>
    </xf>
    <xf numFmtId="2" fontId="11" fillId="0" borderId="5" xfId="0" applyNumberFormat="1" applyFont="1" applyBorder="1" applyAlignment="1" applyProtection="1">
      <alignment horizontal="right"/>
      <protection locked="0"/>
    </xf>
    <xf numFmtId="2" fontId="11" fillId="0" borderId="4" xfId="0" applyNumberFormat="1" applyFont="1" applyBorder="1" applyAlignment="1" applyProtection="1">
      <alignment horizontal="right"/>
      <protection locked="0"/>
    </xf>
    <xf numFmtId="169" fontId="11" fillId="0" borderId="7" xfId="0" applyNumberFormat="1" applyFont="1" applyBorder="1" applyAlignment="1" applyProtection="1">
      <alignment horizontal="right"/>
      <protection locked="0"/>
    </xf>
    <xf numFmtId="1" fontId="19" fillId="0" borderId="0" xfId="0" applyNumberFormat="1" applyFont="1" applyAlignment="1" applyProtection="1">
      <alignment horizontal="center"/>
      <protection hidden="1"/>
    </xf>
    <xf numFmtId="169" fontId="11" fillId="0" borderId="12" xfId="0" applyNumberFormat="1" applyFont="1" applyBorder="1" applyAlignment="1" applyProtection="1">
      <alignment horizontal="right"/>
      <protection locked="0"/>
    </xf>
    <xf numFmtId="2" fontId="11" fillId="0" borderId="9" xfId="0" applyNumberFormat="1" applyFont="1" applyBorder="1" applyAlignment="1" applyProtection="1">
      <alignment horizontal="right"/>
      <protection locked="0"/>
    </xf>
    <xf numFmtId="0" fontId="11" fillId="0" borderId="1" xfId="0" applyFont="1" applyBorder="1" applyAlignment="1" applyProtection="1">
      <alignment horizontal="left" indent="1"/>
      <protection locked="0"/>
    </xf>
    <xf numFmtId="0" fontId="11" fillId="0" borderId="13" xfId="0" applyFont="1" applyBorder="1" applyAlignment="1" applyProtection="1">
      <alignment horizontal="center" vertical="center"/>
      <protection locked="0"/>
    </xf>
    <xf numFmtId="0" fontId="11" fillId="0" borderId="13" xfId="0" applyFont="1" applyBorder="1" applyAlignment="1" applyProtection="1">
      <alignment horizontal="centerContinuous"/>
      <protection locked="0"/>
    </xf>
    <xf numFmtId="0" fontId="11" fillId="2" borderId="4" xfId="0" applyFont="1" applyFill="1" applyBorder="1" applyAlignment="1" applyProtection="1">
      <alignment horizontal="center" vertical="center"/>
      <protection locked="0"/>
    </xf>
    <xf numFmtId="169" fontId="11" fillId="0" borderId="5" xfId="0" applyNumberFormat="1" applyFont="1" applyBorder="1" applyProtection="1">
      <protection locked="0"/>
    </xf>
    <xf numFmtId="171" fontId="11" fillId="0" borderId="3" xfId="0" applyNumberFormat="1" applyFont="1" applyBorder="1" applyProtection="1">
      <protection locked="0"/>
    </xf>
    <xf numFmtId="171" fontId="11" fillId="0" borderId="4" xfId="0" applyNumberFormat="1" applyFont="1" applyBorder="1" applyProtection="1">
      <protection locked="0"/>
    </xf>
    <xf numFmtId="168" fontId="11" fillId="0" borderId="4" xfId="0" applyNumberFormat="1" applyFont="1" applyBorder="1" applyProtection="1">
      <protection locked="0"/>
    </xf>
    <xf numFmtId="168" fontId="11" fillId="0" borderId="5" xfId="0" applyNumberFormat="1" applyFont="1" applyBorder="1" applyProtection="1">
      <protection locked="0"/>
    </xf>
    <xf numFmtId="169" fontId="11" fillId="0" borderId="3" xfId="0" applyNumberFormat="1" applyFont="1" applyBorder="1" applyProtection="1">
      <protection locked="0"/>
    </xf>
    <xf numFmtId="169" fontId="11" fillId="0" borderId="4" xfId="0" applyNumberFormat="1" applyFont="1" applyBorder="1" applyProtection="1">
      <protection locked="0"/>
    </xf>
    <xf numFmtId="169" fontId="11" fillId="0" borderId="6" xfId="0" applyNumberFormat="1" applyFont="1" applyBorder="1" applyProtection="1">
      <protection locked="0"/>
    </xf>
    <xf numFmtId="168" fontId="11" fillId="0" borderId="3" xfId="0" applyNumberFormat="1" applyFont="1" applyBorder="1" applyProtection="1">
      <protection locked="0"/>
    </xf>
    <xf numFmtId="168" fontId="11" fillId="0" borderId="6" xfId="0" applyNumberFormat="1" applyFont="1" applyBorder="1" applyProtection="1">
      <protection locked="0"/>
    </xf>
    <xf numFmtId="168" fontId="11" fillId="0" borderId="14" xfId="0" applyNumberFormat="1" applyFont="1" applyBorder="1" applyProtection="1">
      <protection locked="0"/>
    </xf>
    <xf numFmtId="171" fontId="11" fillId="0" borderId="5" xfId="0" applyNumberFormat="1" applyFont="1" applyBorder="1" applyProtection="1">
      <protection locked="0"/>
    </xf>
    <xf numFmtId="172" fontId="11" fillId="0" borderId="3" xfId="0" applyNumberFormat="1" applyFont="1" applyBorder="1" applyProtection="1">
      <protection locked="0"/>
    </xf>
    <xf numFmtId="172" fontId="11" fillId="0" borderId="6" xfId="0" applyNumberFormat="1" applyFont="1" applyBorder="1" applyProtection="1">
      <protection locked="0"/>
    </xf>
    <xf numFmtId="172" fontId="11" fillId="0" borderId="4" xfId="0" applyNumberFormat="1" applyFont="1" applyBorder="1" applyProtection="1">
      <protection locked="0"/>
    </xf>
    <xf numFmtId="171" fontId="11" fillId="0" borderId="6" xfId="0" applyNumberFormat="1" applyFont="1" applyBorder="1" applyProtection="1">
      <protection locked="0"/>
    </xf>
    <xf numFmtId="169" fontId="12" fillId="2" borderId="15" xfId="0" applyNumberFormat="1" applyFont="1" applyFill="1" applyBorder="1" applyAlignment="1" applyProtection="1">
      <alignment horizontal="center" vertical="center"/>
      <protection locked="0"/>
    </xf>
    <xf numFmtId="1" fontId="11" fillId="0" borderId="4" xfId="0" applyNumberFormat="1" applyFont="1" applyBorder="1" applyProtection="1">
      <protection locked="0"/>
    </xf>
    <xf numFmtId="171" fontId="11" fillId="0" borderId="8" xfId="0" applyNumberFormat="1" applyFont="1" applyBorder="1" applyProtection="1">
      <protection locked="0"/>
    </xf>
    <xf numFmtId="168" fontId="11" fillId="0" borderId="9" xfId="0" applyNumberFormat="1" applyFont="1" applyBorder="1" applyProtection="1">
      <protection locked="0"/>
    </xf>
    <xf numFmtId="171" fontId="11" fillId="0" borderId="9" xfId="0" applyNumberFormat="1" applyFont="1" applyBorder="1" applyProtection="1">
      <protection locked="0"/>
    </xf>
    <xf numFmtId="172" fontId="11" fillId="0" borderId="10" xfId="0" applyNumberFormat="1" applyFont="1" applyBorder="1" applyProtection="1">
      <protection locked="0"/>
    </xf>
    <xf numFmtId="172" fontId="11" fillId="0" borderId="11" xfId="0" applyNumberFormat="1" applyFont="1" applyBorder="1" applyProtection="1">
      <protection locked="0"/>
    </xf>
    <xf numFmtId="171" fontId="11" fillId="0" borderId="11" xfId="0" applyNumberFormat="1" applyFont="1" applyBorder="1" applyProtection="1">
      <protection locked="0"/>
    </xf>
    <xf numFmtId="169" fontId="12" fillId="2" borderId="16" xfId="0" applyNumberFormat="1" applyFont="1" applyFill="1" applyBorder="1" applyAlignment="1" applyProtection="1">
      <alignment horizontal="center" vertical="center"/>
      <protection locked="0"/>
    </xf>
    <xf numFmtId="0" fontId="5" fillId="0" borderId="0" xfId="0" applyFont="1" applyProtection="1">
      <protection hidden="1"/>
    </xf>
    <xf numFmtId="0" fontId="26" fillId="0" borderId="17" xfId="0" applyFont="1" applyBorder="1" applyAlignment="1" applyProtection="1">
      <alignment horizontal="left" indent="1"/>
      <protection hidden="1"/>
    </xf>
    <xf numFmtId="1" fontId="27" fillId="0" borderId="0" xfId="0" applyNumberFormat="1" applyFont="1" applyAlignment="1" applyProtection="1">
      <alignment horizontal="center"/>
      <protection hidden="1"/>
    </xf>
    <xf numFmtId="171" fontId="9" fillId="0" borderId="4" xfId="0" applyNumberFormat="1" applyFont="1" applyBorder="1" applyAlignment="1" applyProtection="1">
      <alignment horizontal="right"/>
      <protection locked="0"/>
    </xf>
    <xf numFmtId="171" fontId="9" fillId="0" borderId="6" xfId="0" applyNumberFormat="1" applyFont="1" applyBorder="1" applyAlignment="1" applyProtection="1">
      <alignment horizontal="right"/>
      <protection locked="0"/>
    </xf>
    <xf numFmtId="0" fontId="27" fillId="0" borderId="0" xfId="0" applyFont="1" applyAlignment="1" applyProtection="1">
      <alignment horizontal="center"/>
      <protection hidden="1"/>
    </xf>
    <xf numFmtId="171" fontId="9" fillId="0" borderId="18" xfId="0" applyNumberFormat="1" applyFont="1" applyBorder="1" applyAlignment="1" applyProtection="1">
      <alignment horizontal="right"/>
      <protection locked="0"/>
    </xf>
    <xf numFmtId="171" fontId="9" fillId="0" borderId="19" xfId="0" applyNumberFormat="1" applyFont="1" applyBorder="1" applyAlignment="1" applyProtection="1">
      <alignment horizontal="right"/>
      <protection locked="0"/>
    </xf>
    <xf numFmtId="176" fontId="27" fillId="0" borderId="0" xfId="0" applyNumberFormat="1" applyFont="1" applyAlignment="1" applyProtection="1">
      <alignment horizontal="center"/>
      <protection hidden="1"/>
    </xf>
    <xf numFmtId="0" fontId="26" fillId="0" borderId="0" xfId="0" applyFont="1" applyAlignment="1" applyProtection="1">
      <alignment horizontal="left" indent="1"/>
      <protection hidden="1"/>
    </xf>
    <xf numFmtId="1" fontId="27" fillId="3" borderId="0" xfId="0" applyNumberFormat="1" applyFont="1" applyFill="1" applyAlignment="1" applyProtection="1">
      <alignment horizontal="center"/>
      <protection hidden="1"/>
    </xf>
    <xf numFmtId="172" fontId="9" fillId="0" borderId="4" xfId="0" applyNumberFormat="1" applyFont="1" applyBorder="1" applyAlignment="1" applyProtection="1">
      <alignment horizontal="right"/>
      <protection locked="0"/>
    </xf>
    <xf numFmtId="172" fontId="9" fillId="0" borderId="6" xfId="0" applyNumberFormat="1" applyFont="1" applyBorder="1" applyAlignment="1" applyProtection="1">
      <alignment horizontal="right"/>
      <protection locked="0"/>
    </xf>
    <xf numFmtId="175" fontId="27" fillId="0" borderId="0" xfId="0" applyNumberFormat="1" applyFont="1" applyAlignment="1" applyProtection="1">
      <alignment horizontal="center"/>
      <protection hidden="1"/>
    </xf>
    <xf numFmtId="172" fontId="9" fillId="0" borderId="18" xfId="0" applyNumberFormat="1" applyFont="1" applyBorder="1" applyAlignment="1" applyProtection="1">
      <alignment horizontal="right"/>
      <protection locked="0"/>
    </xf>
    <xf numFmtId="172" fontId="9" fillId="0" borderId="19" xfId="0" applyNumberFormat="1" applyFont="1" applyBorder="1" applyAlignment="1" applyProtection="1">
      <alignment horizontal="right"/>
      <protection locked="0"/>
    </xf>
    <xf numFmtId="0" fontId="13" fillId="0" borderId="20" xfId="0" applyFont="1" applyBorder="1" applyAlignment="1" applyProtection="1">
      <alignment horizontal="center" vertical="center"/>
      <protection hidden="1"/>
    </xf>
    <xf numFmtId="0" fontId="33" fillId="0" borderId="0" xfId="0" applyFont="1" applyAlignment="1" applyProtection="1">
      <alignment horizontal="center"/>
      <protection hidden="1"/>
    </xf>
    <xf numFmtId="0" fontId="4" fillId="2" borderId="20" xfId="0" applyFont="1" applyFill="1" applyBorder="1" applyAlignment="1" applyProtection="1">
      <alignment horizontal="center" vertical="center"/>
      <protection locked="0"/>
    </xf>
    <xf numFmtId="0" fontId="27" fillId="0" borderId="0" xfId="0" applyFont="1" applyAlignment="1" applyProtection="1">
      <alignment horizontal="left" vertical="top" indent="1"/>
      <protection hidden="1"/>
    </xf>
    <xf numFmtId="0" fontId="26" fillId="0" borderId="0" xfId="0" applyFont="1" applyAlignment="1" applyProtection="1">
      <alignment horizontal="left"/>
      <protection hidden="1"/>
    </xf>
    <xf numFmtId="177" fontId="9" fillId="0" borderId="4" xfId="0" applyNumberFormat="1" applyFont="1" applyBorder="1" applyAlignment="1" applyProtection="1">
      <alignment horizontal="left" vertical="top" wrapText="1" indent="1"/>
      <protection locked="0"/>
    </xf>
    <xf numFmtId="0" fontId="9" fillId="0" borderId="4" xfId="0" applyFont="1" applyBorder="1" applyAlignment="1" applyProtection="1">
      <alignment horizontal="left" vertical="top" wrapText="1" indent="1"/>
      <protection locked="0"/>
    </xf>
    <xf numFmtId="0" fontId="11" fillId="0" borderId="13" xfId="0" applyFont="1" applyBorder="1" applyAlignment="1" applyProtection="1">
      <alignment horizontal="left" indent="1"/>
      <protection locked="0"/>
    </xf>
    <xf numFmtId="0" fontId="11" fillId="0" borderId="21" xfId="0" applyFont="1" applyBorder="1" applyAlignment="1" applyProtection="1">
      <alignment horizontal="left" indent="1"/>
      <protection locked="0"/>
    </xf>
    <xf numFmtId="0" fontId="26" fillId="0" borderId="0" xfId="0" applyFont="1" applyAlignment="1" applyProtection="1">
      <alignment horizontal="centerContinuous" vertical="center"/>
      <protection hidden="1"/>
    </xf>
    <xf numFmtId="1" fontId="19" fillId="0" borderId="22" xfId="0" applyNumberFormat="1" applyFont="1" applyBorder="1" applyAlignment="1" applyProtection="1">
      <alignment horizontal="center" wrapText="1"/>
      <protection hidden="1"/>
    </xf>
    <xf numFmtId="1" fontId="19" fillId="0" borderId="23" xfId="0" applyNumberFormat="1" applyFont="1" applyBorder="1" applyAlignment="1" applyProtection="1">
      <alignment horizontal="center" wrapText="1"/>
      <protection hidden="1"/>
    </xf>
    <xf numFmtId="1" fontId="27" fillId="0" borderId="24" xfId="0" applyNumberFormat="1" applyFont="1" applyBorder="1" applyAlignment="1" applyProtection="1">
      <alignment horizontal="center"/>
      <protection hidden="1"/>
    </xf>
    <xf numFmtId="1" fontId="27" fillId="0" borderId="25" xfId="0" applyNumberFormat="1" applyFont="1" applyBorder="1" applyAlignment="1" applyProtection="1">
      <alignment horizontal="center"/>
      <protection hidden="1"/>
    </xf>
    <xf numFmtId="166" fontId="20" fillId="0" borderId="26" xfId="0" applyNumberFormat="1" applyFont="1" applyBorder="1" applyAlignment="1" applyProtection="1">
      <alignment horizontal="right"/>
      <protection locked="0"/>
    </xf>
    <xf numFmtId="178" fontId="20" fillId="0" borderId="27" xfId="0" applyNumberFormat="1" applyFont="1" applyBorder="1" applyAlignment="1" applyProtection="1">
      <alignment horizontal="right"/>
      <protection locked="0"/>
    </xf>
    <xf numFmtId="166" fontId="20" fillId="0" borderId="27" xfId="0" applyNumberFormat="1" applyFont="1" applyBorder="1" applyAlignment="1" applyProtection="1">
      <alignment horizontal="right"/>
      <protection locked="0"/>
    </xf>
    <xf numFmtId="178" fontId="20" fillId="0" borderId="28" xfId="0" applyNumberFormat="1" applyFont="1" applyBorder="1" applyAlignment="1" applyProtection="1">
      <alignment horizontal="right"/>
      <protection locked="0"/>
    </xf>
    <xf numFmtId="179" fontId="20" fillId="0" borderId="26" xfId="0" applyNumberFormat="1" applyFont="1" applyBorder="1" applyAlignment="1" applyProtection="1">
      <alignment horizontal="right"/>
      <protection locked="0"/>
    </xf>
    <xf numFmtId="179" fontId="20" fillId="0" borderId="27" xfId="0" applyNumberFormat="1" applyFont="1" applyBorder="1" applyAlignment="1" applyProtection="1">
      <alignment horizontal="right"/>
      <protection locked="0"/>
    </xf>
    <xf numFmtId="180" fontId="20" fillId="0" borderId="27" xfId="0" applyNumberFormat="1" applyFont="1" applyBorder="1" applyAlignment="1" applyProtection="1">
      <alignment horizontal="right"/>
      <protection locked="0"/>
    </xf>
    <xf numFmtId="178" fontId="20" fillId="0" borderId="29" xfId="0" applyNumberFormat="1" applyFont="1" applyBorder="1" applyAlignment="1" applyProtection="1">
      <alignment horizontal="right"/>
      <protection locked="0"/>
    </xf>
    <xf numFmtId="166" fontId="20" fillId="0" borderId="30" xfId="0" applyNumberFormat="1" applyFont="1" applyBorder="1" applyAlignment="1" applyProtection="1">
      <alignment horizontal="right"/>
      <protection locked="0"/>
    </xf>
    <xf numFmtId="178" fontId="20" fillId="0" borderId="30" xfId="0" applyNumberFormat="1" applyFont="1" applyBorder="1" applyAlignment="1" applyProtection="1">
      <alignment horizontal="right"/>
      <protection locked="0"/>
    </xf>
    <xf numFmtId="178" fontId="20" fillId="0" borderId="9" xfId="0" applyNumberFormat="1" applyFont="1" applyBorder="1" applyAlignment="1" applyProtection="1">
      <alignment horizontal="right"/>
      <protection locked="0"/>
    </xf>
    <xf numFmtId="179" fontId="20" fillId="0" borderId="31" xfId="0" applyNumberFormat="1" applyFont="1" applyBorder="1" applyAlignment="1" applyProtection="1">
      <alignment horizontal="right"/>
      <protection locked="0"/>
    </xf>
    <xf numFmtId="179" fontId="20" fillId="0" borderId="30" xfId="0" applyNumberFormat="1" applyFont="1" applyBorder="1" applyAlignment="1" applyProtection="1">
      <alignment horizontal="right"/>
      <protection locked="0"/>
    </xf>
    <xf numFmtId="180" fontId="20" fillId="0" borderId="30" xfId="0" applyNumberFormat="1" applyFont="1" applyBorder="1" applyAlignment="1" applyProtection="1">
      <alignment horizontal="right"/>
      <protection locked="0"/>
    </xf>
    <xf numFmtId="178" fontId="20" fillId="0" borderId="32" xfId="0" applyNumberFormat="1" applyFont="1" applyBorder="1" applyAlignment="1" applyProtection="1">
      <alignment horizontal="right"/>
      <protection locked="0"/>
    </xf>
    <xf numFmtId="0" fontId="26" fillId="0" borderId="0" xfId="0" applyFont="1" applyProtection="1">
      <protection hidden="1"/>
    </xf>
    <xf numFmtId="0" fontId="26" fillId="0" borderId="0" xfId="0" applyFont="1" applyAlignment="1" applyProtection="1">
      <alignment vertical="center"/>
      <protection hidden="1"/>
    </xf>
    <xf numFmtId="171" fontId="11" fillId="0" borderId="33" xfId="0" applyNumberFormat="1" applyFont="1" applyBorder="1" applyAlignment="1" applyProtection="1">
      <alignment horizontal="center" vertical="center"/>
      <protection locked="0"/>
    </xf>
    <xf numFmtId="49" fontId="11" fillId="0" borderId="4" xfId="0" applyNumberFormat="1" applyFont="1" applyBorder="1" applyAlignment="1" applyProtection="1">
      <alignment horizontal="center" vertical="center"/>
      <protection locked="0"/>
    </xf>
    <xf numFmtId="171" fontId="11" fillId="0" borderId="4" xfId="0" applyNumberFormat="1" applyFont="1" applyBorder="1" applyAlignment="1" applyProtection="1">
      <alignment horizontal="center" vertical="center"/>
      <protection locked="0"/>
    </xf>
    <xf numFmtId="49" fontId="11" fillId="0" borderId="34" xfId="0" applyNumberFormat="1" applyFont="1" applyBorder="1" applyAlignment="1" applyProtection="1">
      <alignment horizontal="center" vertical="center"/>
      <protection locked="0"/>
    </xf>
    <xf numFmtId="171" fontId="11" fillId="0" borderId="5" xfId="0" applyNumberFormat="1" applyFont="1" applyBorder="1" applyAlignment="1" applyProtection="1">
      <alignment horizontal="center" vertical="center"/>
      <protection locked="0"/>
    </xf>
    <xf numFmtId="171" fontId="11" fillId="0" borderId="35" xfId="0" applyNumberFormat="1" applyFont="1" applyBorder="1" applyAlignment="1" applyProtection="1">
      <alignment horizontal="center" vertical="center"/>
      <protection locked="0"/>
    </xf>
    <xf numFmtId="171" fontId="11" fillId="0" borderId="36" xfId="0" applyNumberFormat="1" applyFont="1" applyBorder="1" applyAlignment="1" applyProtection="1">
      <alignment horizontal="center" vertical="center"/>
      <protection locked="0"/>
    </xf>
    <xf numFmtId="49" fontId="11" fillId="0" borderId="8" xfId="0" applyNumberFormat="1" applyFont="1" applyBorder="1" applyAlignment="1" applyProtection="1">
      <alignment horizontal="center" vertical="center"/>
      <protection locked="0"/>
    </xf>
    <xf numFmtId="171" fontId="11" fillId="0" borderId="8" xfId="0" applyNumberFormat="1" applyFont="1" applyBorder="1" applyAlignment="1" applyProtection="1">
      <alignment horizontal="center" vertical="center"/>
      <protection locked="0"/>
    </xf>
    <xf numFmtId="49" fontId="11" fillId="0" borderId="37" xfId="0" applyNumberFormat="1" applyFont="1" applyBorder="1" applyAlignment="1" applyProtection="1">
      <alignment horizontal="center" vertical="center"/>
      <protection locked="0"/>
    </xf>
    <xf numFmtId="171" fontId="11" fillId="0" borderId="9" xfId="0" applyNumberFormat="1" applyFont="1" applyBorder="1" applyAlignment="1" applyProtection="1">
      <alignment horizontal="center" vertical="center"/>
      <protection locked="0"/>
    </xf>
    <xf numFmtId="171" fontId="11" fillId="0" borderId="38" xfId="0" applyNumberFormat="1" applyFont="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177" fontId="11" fillId="0" borderId="4" xfId="0" applyNumberFormat="1" applyFont="1" applyBorder="1" applyAlignment="1" applyProtection="1">
      <alignment horizontal="center"/>
      <protection locked="0"/>
    </xf>
    <xf numFmtId="49" fontId="11" fillId="0" borderId="4" xfId="0" applyNumberFormat="1" applyFont="1" applyBorder="1" applyAlignment="1" applyProtection="1">
      <alignment horizontal="center"/>
      <protection locked="0"/>
    </xf>
    <xf numFmtId="172" fontId="11" fillId="0" borderId="4" xfId="0" applyNumberFormat="1" applyFont="1" applyBorder="1" applyAlignment="1" applyProtection="1">
      <alignment horizontal="right"/>
      <protection locked="0"/>
    </xf>
    <xf numFmtId="0" fontId="11" fillId="0" borderId="1" xfId="0" applyFont="1" applyBorder="1" applyAlignment="1" applyProtection="1">
      <alignment horizontal="left" vertical="center" indent="1"/>
      <protection locked="0"/>
    </xf>
    <xf numFmtId="0" fontId="26" fillId="0" borderId="0" xfId="0" applyFont="1" applyAlignment="1" applyProtection="1">
      <alignment horizontal="left" vertical="center"/>
      <protection hidden="1"/>
    </xf>
    <xf numFmtId="0" fontId="26" fillId="3" borderId="0" xfId="0" applyFont="1" applyFill="1" applyAlignment="1" applyProtection="1">
      <alignment vertical="center"/>
      <protection hidden="1"/>
    </xf>
    <xf numFmtId="0" fontId="24" fillId="0" borderId="0" xfId="0" applyFont="1" applyAlignment="1" applyProtection="1">
      <alignment horizontal="left" vertical="center"/>
      <protection hidden="1"/>
    </xf>
    <xf numFmtId="0" fontId="5" fillId="0" borderId="0" xfId="0" applyFont="1" applyAlignment="1" applyProtection="1">
      <alignment vertical="center"/>
      <protection hidden="1"/>
    </xf>
    <xf numFmtId="0" fontId="41" fillId="0" borderId="20" xfId="0" applyFont="1" applyBorder="1" applyAlignment="1" applyProtection="1">
      <alignment horizontal="center" vertical="center"/>
      <protection locked="0"/>
    </xf>
    <xf numFmtId="1" fontId="19" fillId="0" borderId="39" xfId="0" applyNumberFormat="1" applyFont="1" applyBorder="1" applyAlignment="1" applyProtection="1">
      <alignment horizontal="center" wrapText="1"/>
      <protection hidden="1"/>
    </xf>
    <xf numFmtId="181" fontId="11" fillId="0" borderId="4" xfId="0" applyNumberFormat="1" applyFont="1" applyBorder="1" applyAlignment="1" applyProtection="1">
      <alignment horizontal="left" wrapText="1" indent="1"/>
      <protection locked="0"/>
    </xf>
    <xf numFmtId="1" fontId="11" fillId="0" borderId="4" xfId="0" applyNumberFormat="1" applyFont="1" applyBorder="1" applyAlignment="1" applyProtection="1">
      <alignment horizontal="center"/>
      <protection locked="0"/>
    </xf>
    <xf numFmtId="0" fontId="0" fillId="0" borderId="0" xfId="0" applyProtection="1">
      <protection hidden="1"/>
    </xf>
    <xf numFmtId="0" fontId="0" fillId="0" borderId="0" xfId="0" applyAlignment="1" applyProtection="1">
      <alignment horizontal="left"/>
      <protection hidden="1"/>
    </xf>
    <xf numFmtId="0" fontId="46" fillId="0" borderId="0" xfId="0" applyFont="1" applyProtection="1">
      <protection hidden="1"/>
    </xf>
    <xf numFmtId="0" fontId="46" fillId="0" borderId="0" xfId="0" applyFont="1" applyAlignment="1" applyProtection="1">
      <alignment horizontal="left"/>
      <protection hidden="1"/>
    </xf>
    <xf numFmtId="0" fontId="46" fillId="0" borderId="0" xfId="0" applyFont="1" applyAlignment="1" applyProtection="1">
      <alignment horizontal="centerContinuous"/>
      <protection hidden="1"/>
    </xf>
    <xf numFmtId="0" fontId="47" fillId="0" borderId="0" xfId="0" applyFont="1" applyAlignment="1" applyProtection="1">
      <alignment horizontal="centerContinuous"/>
      <protection hidden="1"/>
    </xf>
    <xf numFmtId="0" fontId="47" fillId="0" borderId="0" xfId="0" applyFont="1" applyAlignment="1" applyProtection="1">
      <alignment horizontal="left"/>
      <protection hidden="1"/>
    </xf>
    <xf numFmtId="0" fontId="47" fillId="0" borderId="40" xfId="0" applyFont="1" applyBorder="1" applyProtection="1">
      <protection hidden="1"/>
    </xf>
    <xf numFmtId="0" fontId="47" fillId="0" borderId="0" xfId="0" applyFont="1" applyAlignment="1" applyProtection="1">
      <alignment horizontal="left" indent="6"/>
      <protection hidden="1"/>
    </xf>
    <xf numFmtId="0" fontId="47" fillId="0" borderId="40" xfId="0" applyFont="1" applyBorder="1" applyAlignment="1" applyProtection="1">
      <alignment horizontal="left" indent="6"/>
      <protection hidden="1"/>
    </xf>
    <xf numFmtId="0" fontId="41" fillId="0" borderId="41" xfId="0" applyFont="1" applyBorder="1" applyProtection="1">
      <protection hidden="1"/>
    </xf>
    <xf numFmtId="0" fontId="0" fillId="0" borderId="40" xfId="0" applyBorder="1" applyProtection="1">
      <protection hidden="1"/>
    </xf>
    <xf numFmtId="0" fontId="47" fillId="0" borderId="40" xfId="0" applyFont="1" applyBorder="1" applyAlignment="1" applyProtection="1">
      <alignment horizontal="right"/>
      <protection hidden="1"/>
    </xf>
    <xf numFmtId="0" fontId="41" fillId="0" borderId="5" xfId="0" applyFont="1" applyBorder="1" applyProtection="1">
      <protection hidden="1"/>
    </xf>
    <xf numFmtId="0" fontId="0" fillId="0" borderId="5" xfId="0" applyBorder="1" applyProtection="1">
      <protection hidden="1"/>
    </xf>
    <xf numFmtId="0" fontId="0" fillId="0" borderId="40" xfId="0" applyBorder="1" applyAlignment="1" applyProtection="1">
      <alignment horizontal="left"/>
      <protection hidden="1"/>
    </xf>
    <xf numFmtId="0" fontId="46" fillId="0" borderId="0" xfId="0" applyFont="1" applyAlignment="1" applyProtection="1">
      <alignment horizontal="left" indent="1"/>
      <protection hidden="1"/>
    </xf>
    <xf numFmtId="0" fontId="46" fillId="0" borderId="0" xfId="0" applyFont="1" applyAlignment="1" applyProtection="1">
      <alignment horizontal="right"/>
      <protection hidden="1"/>
    </xf>
    <xf numFmtId="0" fontId="0" fillId="0" borderId="40" xfId="0" applyBorder="1" applyAlignment="1" applyProtection="1">
      <alignment horizontal="center"/>
      <protection hidden="1"/>
    </xf>
    <xf numFmtId="0" fontId="0" fillId="0" borderId="0" xfId="0" applyAlignment="1" applyProtection="1">
      <alignment vertical="top"/>
      <protection hidden="1"/>
    </xf>
    <xf numFmtId="0" fontId="0" fillId="0" borderId="0" xfId="0" applyAlignment="1" applyProtection="1">
      <alignment horizontal="left" vertical="top"/>
      <protection hidden="1"/>
    </xf>
    <xf numFmtId="0" fontId="46" fillId="0" borderId="0" xfId="0" applyFont="1" applyAlignment="1" applyProtection="1">
      <alignment vertical="top"/>
      <protection hidden="1"/>
    </xf>
    <xf numFmtId="0" fontId="46" fillId="0" borderId="0" xfId="0" applyFont="1" applyAlignment="1" applyProtection="1">
      <alignment horizontal="left" vertical="top"/>
      <protection hidden="1"/>
    </xf>
    <xf numFmtId="0" fontId="49" fillId="0" borderId="0" xfId="0" applyFont="1" applyAlignment="1" applyProtection="1">
      <alignment vertical="top"/>
      <protection hidden="1"/>
    </xf>
    <xf numFmtId="0" fontId="46" fillId="0" borderId="0" xfId="0" applyFont="1" applyAlignment="1" applyProtection="1">
      <alignment horizontal="center" vertical="top"/>
      <protection hidden="1"/>
    </xf>
    <xf numFmtId="0" fontId="46" fillId="0" borderId="0" xfId="0" applyFont="1" applyAlignment="1" applyProtection="1">
      <alignment horizontal="left" vertical="top" indent="2"/>
      <protection hidden="1"/>
    </xf>
    <xf numFmtId="0" fontId="49" fillId="0" borderId="0" xfId="0" applyFont="1" applyAlignment="1" applyProtection="1">
      <alignment horizontal="left" vertical="top" indent="2"/>
      <protection hidden="1"/>
    </xf>
    <xf numFmtId="0" fontId="46" fillId="0" borderId="0" xfId="0" applyFont="1" applyAlignment="1" applyProtection="1">
      <alignment horizontal="center"/>
      <protection hidden="1"/>
    </xf>
    <xf numFmtId="0" fontId="49" fillId="0" borderId="0" xfId="0" applyFont="1" applyAlignment="1" applyProtection="1">
      <alignment horizontal="center" vertical="top"/>
      <protection hidden="1"/>
    </xf>
    <xf numFmtId="0" fontId="52" fillId="0" borderId="0" xfId="0" applyFont="1" applyProtection="1">
      <protection hidden="1"/>
    </xf>
    <xf numFmtId="0" fontId="52" fillId="0" borderId="40" xfId="0" applyFont="1" applyBorder="1" applyProtection="1">
      <protection hidden="1"/>
    </xf>
    <xf numFmtId="0" fontId="52" fillId="0" borderId="40" xfId="0" applyFont="1" applyBorder="1" applyAlignment="1" applyProtection="1">
      <alignment horizontal="left"/>
      <protection hidden="1"/>
    </xf>
    <xf numFmtId="0" fontId="11" fillId="0" borderId="0" xfId="0" applyFont="1" applyAlignment="1" applyProtection="1">
      <alignment horizontal="left"/>
      <protection hidden="1"/>
    </xf>
    <xf numFmtId="0" fontId="11" fillId="0" borderId="0" xfId="0" applyFont="1" applyAlignment="1" applyProtection="1">
      <alignment horizontal="left" indent="4"/>
      <protection hidden="1"/>
    </xf>
    <xf numFmtId="0" fontId="11" fillId="0" borderId="42" xfId="0" applyFont="1" applyBorder="1" applyProtection="1">
      <protection hidden="1"/>
    </xf>
    <xf numFmtId="0" fontId="11" fillId="0" borderId="43" xfId="0" applyFont="1" applyBorder="1" applyProtection="1">
      <protection hidden="1"/>
    </xf>
    <xf numFmtId="0" fontId="11" fillId="0" borderId="0" xfId="0" applyFont="1" applyAlignment="1" applyProtection="1">
      <alignment horizontal="left" indent="1"/>
      <protection hidden="1"/>
    </xf>
    <xf numFmtId="0" fontId="11" fillId="0" borderId="0" xfId="0" applyFont="1" applyAlignment="1" applyProtection="1">
      <alignment horizontal="right" indent="1"/>
      <protection hidden="1"/>
    </xf>
    <xf numFmtId="0" fontId="11" fillId="0" borderId="10" xfId="0" applyFont="1" applyBorder="1" applyAlignment="1">
      <alignment horizontal="center"/>
    </xf>
    <xf numFmtId="1" fontId="20" fillId="0" borderId="44" xfId="0" applyNumberFormat="1" applyFont="1" applyBorder="1" applyAlignment="1">
      <alignment horizontal="center"/>
    </xf>
    <xf numFmtId="1" fontId="20" fillId="0" borderId="45" xfId="0" applyNumberFormat="1" applyFont="1" applyBorder="1" applyAlignment="1">
      <alignment horizontal="center"/>
    </xf>
    <xf numFmtId="0" fontId="11" fillId="0" borderId="46" xfId="0" applyFont="1" applyBorder="1" applyAlignment="1">
      <alignment horizontal="center"/>
    </xf>
    <xf numFmtId="0" fontId="11" fillId="0" borderId="3" xfId="0" applyFont="1" applyBorder="1"/>
    <xf numFmtId="0" fontId="4" fillId="0" borderId="13" xfId="0" applyFont="1" applyBorder="1" applyAlignment="1" applyProtection="1">
      <alignment horizontal="left" indent="1"/>
      <protection locked="0"/>
    </xf>
    <xf numFmtId="49" fontId="4" fillId="0" borderId="13" xfId="0" applyNumberFormat="1" applyFont="1" applyBorder="1" applyAlignment="1" applyProtection="1">
      <alignment horizontal="left" indent="1"/>
      <protection locked="0"/>
    </xf>
    <xf numFmtId="0" fontId="41" fillId="0" borderId="41" xfId="0" applyFont="1" applyBorder="1" applyAlignment="1" applyProtection="1">
      <alignment horizontal="right"/>
      <protection hidden="1"/>
    </xf>
    <xf numFmtId="184" fontId="41" fillId="0" borderId="41" xfId="0" applyNumberFormat="1" applyFont="1" applyBorder="1" applyAlignment="1" applyProtection="1">
      <alignment horizontal="left"/>
      <protection hidden="1"/>
    </xf>
    <xf numFmtId="182" fontId="41" fillId="0" borderId="5" xfId="0" applyNumberFormat="1" applyFont="1" applyBorder="1" applyAlignment="1" applyProtection="1">
      <alignment horizontal="left"/>
      <protection hidden="1"/>
    </xf>
    <xf numFmtId="166" fontId="41" fillId="0" borderId="5" xfId="0" applyNumberFormat="1" applyFont="1" applyBorder="1" applyAlignment="1" applyProtection="1">
      <alignment horizontal="left"/>
      <protection hidden="1"/>
    </xf>
    <xf numFmtId="0" fontId="50" fillId="0" borderId="5" xfId="0" applyFont="1" applyBorder="1" applyAlignment="1" applyProtection="1">
      <alignment horizontal="center" vertical="top"/>
      <protection hidden="1"/>
    </xf>
    <xf numFmtId="0" fontId="50" fillId="0" borderId="5" xfId="0" applyFont="1" applyBorder="1" applyAlignment="1" applyProtection="1">
      <alignment horizontal="center"/>
      <protection hidden="1"/>
    </xf>
    <xf numFmtId="0" fontId="51" fillId="0" borderId="5" xfId="0" applyFont="1" applyBorder="1" applyAlignment="1" applyProtection="1">
      <alignment horizontal="left"/>
      <protection hidden="1"/>
    </xf>
    <xf numFmtId="1" fontId="51" fillId="0" borderId="5" xfId="0" applyNumberFormat="1" applyFont="1" applyBorder="1" applyAlignment="1" applyProtection="1">
      <alignment horizontal="left"/>
      <protection hidden="1"/>
    </xf>
    <xf numFmtId="2" fontId="41" fillId="0" borderId="5" xfId="0" applyNumberFormat="1" applyFont="1" applyBorder="1" applyAlignment="1" applyProtection="1">
      <alignment horizontal="left"/>
      <protection hidden="1"/>
    </xf>
    <xf numFmtId="1" fontId="41" fillId="0" borderId="5" xfId="0" applyNumberFormat="1" applyFont="1" applyBorder="1" applyAlignment="1" applyProtection="1">
      <alignment horizontal="left"/>
      <protection hidden="1"/>
    </xf>
    <xf numFmtId="0" fontId="11" fillId="0" borderId="1" xfId="0" applyFont="1" applyBorder="1" applyAlignment="1" applyProtection="1">
      <alignment horizontal="left" indent="1"/>
      <protection hidden="1"/>
    </xf>
    <xf numFmtId="0" fontId="11" fillId="0" borderId="13" xfId="0" applyFont="1" applyBorder="1" applyAlignment="1" applyProtection="1">
      <alignment horizontal="centerContinuous"/>
      <protection hidden="1"/>
    </xf>
    <xf numFmtId="0" fontId="0" fillId="0" borderId="48" xfId="0" applyBorder="1"/>
    <xf numFmtId="0" fontId="4" fillId="0" borderId="0" xfId="0" applyFont="1" applyAlignment="1">
      <alignment horizontal="left" indent="2"/>
    </xf>
    <xf numFmtId="164" fontId="4" fillId="0" borderId="1" xfId="0" applyNumberFormat="1" applyFont="1" applyBorder="1" applyAlignment="1">
      <alignment horizontal="left" wrapText="1" indent="1"/>
    </xf>
    <xf numFmtId="0" fontId="0" fillId="0" borderId="42" xfId="0" applyBorder="1"/>
    <xf numFmtId="0" fontId="0" fillId="0" borderId="43" xfId="0" applyBorder="1"/>
    <xf numFmtId="49" fontId="4" fillId="0" borderId="1" xfId="0" applyNumberFormat="1" applyFont="1" applyBorder="1" applyAlignment="1">
      <alignment horizontal="left" wrapText="1" indent="1"/>
    </xf>
    <xf numFmtId="0" fontId="0" fillId="0" borderId="0" xfId="0" applyAlignment="1">
      <alignment horizontal="left" indent="1"/>
    </xf>
    <xf numFmtId="49" fontId="4" fillId="0" borderId="1" xfId="0" applyNumberFormat="1" applyFont="1" applyBorder="1" applyAlignment="1">
      <alignment horizontal="left" indent="1"/>
    </xf>
    <xf numFmtId="49" fontId="4" fillId="0" borderId="42" xfId="0" applyNumberFormat="1" applyFont="1" applyBorder="1" applyAlignment="1">
      <alignment horizontal="left" indent="1"/>
    </xf>
    <xf numFmtId="49" fontId="4" fillId="0" borderId="43" xfId="0" applyNumberFormat="1" applyFont="1" applyBorder="1" applyAlignment="1">
      <alignment horizontal="left" wrapText="1" indent="1"/>
    </xf>
    <xf numFmtId="49" fontId="6" fillId="0" borderId="49" xfId="0" applyNumberFormat="1" applyFont="1" applyBorder="1" applyAlignment="1">
      <alignment horizontal="left" vertical="center" indent="1"/>
    </xf>
    <xf numFmtId="49" fontId="4" fillId="0" borderId="13" xfId="0" applyNumberFormat="1" applyFont="1" applyBorder="1" applyAlignment="1">
      <alignment horizontal="left" wrapText="1" indent="1"/>
    </xf>
    <xf numFmtId="0" fontId="0" fillId="0" borderId="0" xfId="0" applyAlignment="1">
      <alignment horizontal="left" indent="2"/>
    </xf>
    <xf numFmtId="0" fontId="4" fillId="0" borderId="1" xfId="0" applyFont="1" applyBorder="1" applyAlignment="1">
      <alignment horizontal="left" indent="1"/>
    </xf>
    <xf numFmtId="0" fontId="0" fillId="0" borderId="0" xfId="0" applyAlignment="1">
      <alignment horizontal="left" vertical="center"/>
    </xf>
    <xf numFmtId="0" fontId="7" fillId="0" borderId="0" xfId="0" applyFont="1" applyAlignment="1">
      <alignment horizontal="left" vertical="center"/>
    </xf>
    <xf numFmtId="0" fontId="7" fillId="0" borderId="0" xfId="0" applyFont="1" applyAlignment="1">
      <alignment horizontal="left" vertical="center" indent="13"/>
    </xf>
    <xf numFmtId="0" fontId="11" fillId="0" borderId="0" xfId="0" applyFont="1"/>
    <xf numFmtId="0" fontId="1" fillId="0" borderId="0" xfId="1"/>
    <xf numFmtId="0" fontId="12" fillId="0" borderId="0" xfId="0" applyFont="1" applyAlignment="1">
      <alignment vertical="center"/>
    </xf>
    <xf numFmtId="164" fontId="11" fillId="0" borderId="1" xfId="0" applyNumberFormat="1" applyFont="1" applyBorder="1" applyAlignment="1">
      <alignment horizontal="centerContinuous" vertical="center"/>
    </xf>
    <xf numFmtId="164" fontId="11" fillId="0" borderId="42" xfId="0" applyNumberFormat="1" applyFont="1" applyBorder="1" applyAlignment="1">
      <alignment horizontal="centerContinuous" vertical="center"/>
    </xf>
    <xf numFmtId="164" fontId="11" fillId="0" borderId="50" xfId="0" applyNumberFormat="1" applyFont="1" applyBorder="1" applyAlignment="1">
      <alignment horizontal="centerContinuous" vertical="center"/>
    </xf>
    <xf numFmtId="0" fontId="13" fillId="0" borderId="0" xfId="0" applyFont="1" applyAlignment="1">
      <alignment horizontal="left" vertical="center" indent="1"/>
    </xf>
    <xf numFmtId="0" fontId="13" fillId="0" borderId="0" xfId="0" applyFont="1" applyAlignment="1">
      <alignment horizontal="left" vertical="center"/>
    </xf>
    <xf numFmtId="0" fontId="11" fillId="3" borderId="0" xfId="0" applyFont="1" applyFill="1" applyAlignment="1">
      <alignment vertical="center"/>
    </xf>
    <xf numFmtId="0" fontId="11" fillId="0" borderId="0" xfId="0" applyFont="1" applyAlignment="1">
      <alignment horizontal="left" vertical="center"/>
    </xf>
    <xf numFmtId="0" fontId="11" fillId="0" borderId="0" xfId="0" applyFont="1" applyAlignment="1">
      <alignment vertical="center"/>
    </xf>
    <xf numFmtId="0" fontId="11" fillId="3" borderId="0" xfId="0" applyFont="1" applyFill="1"/>
    <xf numFmtId="0" fontId="12" fillId="0" borderId="0" xfId="0" applyFont="1" applyAlignment="1">
      <alignment horizontal="left"/>
    </xf>
    <xf numFmtId="0" fontId="11" fillId="0" borderId="1" xfId="0" applyFont="1" applyBorder="1" applyAlignment="1">
      <alignment horizontal="centerContinuous" vertical="center"/>
    </xf>
    <xf numFmtId="0" fontId="11" fillId="0" borderId="42" xfId="0" applyFont="1" applyBorder="1" applyAlignment="1">
      <alignment horizontal="centerContinuous" vertical="center"/>
    </xf>
    <xf numFmtId="0" fontId="11" fillId="0" borderId="50" xfId="0" applyFont="1" applyBorder="1" applyAlignment="1">
      <alignment horizontal="centerContinuous" vertical="center"/>
    </xf>
    <xf numFmtId="0" fontId="12" fillId="0" borderId="0" xfId="0" applyFont="1" applyAlignment="1">
      <alignment horizontal="left" indent="2"/>
    </xf>
    <xf numFmtId="0" fontId="11" fillId="0" borderId="1" xfId="0" applyFont="1" applyBorder="1" applyAlignment="1">
      <alignment horizontal="left" indent="1"/>
    </xf>
    <xf numFmtId="0" fontId="0" fillId="0" borderId="42" xfId="0" applyBorder="1" applyAlignment="1">
      <alignment horizontal="left" indent="1"/>
    </xf>
    <xf numFmtId="0" fontId="11" fillId="0" borderId="42" xfId="0" applyFont="1" applyBorder="1"/>
    <xf numFmtId="0" fontId="11" fillId="0" borderId="42" xfId="0" applyFont="1" applyBorder="1" applyAlignment="1">
      <alignment horizontal="left" indent="1"/>
    </xf>
    <xf numFmtId="0" fontId="11" fillId="0" borderId="43" xfId="0" applyFont="1" applyBorder="1" applyAlignment="1">
      <alignment horizontal="left" indent="1"/>
    </xf>
    <xf numFmtId="0" fontId="11" fillId="0" borderId="0" xfId="0" applyFont="1" applyAlignment="1">
      <alignment horizontal="left" indent="1"/>
    </xf>
    <xf numFmtId="0" fontId="0" fillId="0" borderId="0" xfId="0" applyAlignment="1">
      <alignment vertical="center"/>
    </xf>
    <xf numFmtId="0" fontId="11" fillId="0" borderId="51" xfId="0" applyFont="1" applyBorder="1"/>
    <xf numFmtId="0" fontId="11" fillId="0" borderId="51" xfId="0" applyFont="1" applyBorder="1" applyAlignment="1">
      <alignment horizontal="center"/>
    </xf>
    <xf numFmtId="0" fontId="11" fillId="0" borderId="0" xfId="0" applyFont="1" applyAlignment="1">
      <alignment horizontal="center"/>
    </xf>
    <xf numFmtId="0" fontId="11" fillId="0" borderId="51" xfId="0" applyFont="1" applyBorder="1" applyAlignment="1">
      <alignment horizontal="left" indent="1"/>
    </xf>
    <xf numFmtId="0" fontId="11" fillId="0" borderId="52" xfId="0" applyFont="1" applyBorder="1" applyAlignment="1">
      <alignment horizontal="left" indent="1"/>
    </xf>
    <xf numFmtId="0" fontId="11" fillId="0" borderId="17" xfId="0" applyFont="1" applyBorder="1"/>
    <xf numFmtId="0" fontId="11" fillId="0" borderId="53" xfId="0" applyFont="1" applyBorder="1" applyAlignment="1">
      <alignment textRotation="90"/>
    </xf>
    <xf numFmtId="0" fontId="11" fillId="4" borderId="54" xfId="0" applyFont="1" applyFill="1" applyBorder="1" applyAlignment="1">
      <alignment horizontal="centerContinuous"/>
    </xf>
    <xf numFmtId="0" fontId="11" fillId="0" borderId="54" xfId="0" applyFont="1" applyBorder="1" applyAlignment="1">
      <alignment horizontal="centerContinuous"/>
    </xf>
    <xf numFmtId="0" fontId="12" fillId="4" borderId="55" xfId="0" applyFont="1" applyFill="1" applyBorder="1" applyAlignment="1">
      <alignment vertical="top" wrapText="1"/>
    </xf>
    <xf numFmtId="0" fontId="11" fillId="0" borderId="56" xfId="0" applyFont="1" applyBorder="1" applyAlignment="1">
      <alignment horizontal="centerContinuous" vertical="center"/>
    </xf>
    <xf numFmtId="0" fontId="11" fillId="0" borderId="17" xfId="0" applyFont="1" applyBorder="1" applyAlignment="1">
      <alignment horizontal="centerContinuous" vertical="center"/>
    </xf>
    <xf numFmtId="0" fontId="11" fillId="0" borderId="57" xfId="0" applyFont="1" applyBorder="1" applyAlignment="1">
      <alignment horizontal="centerContinuous" vertical="center"/>
    </xf>
    <xf numFmtId="0" fontId="11" fillId="0" borderId="55" xfId="0" applyFont="1" applyBorder="1" applyAlignment="1">
      <alignment vertical="center"/>
    </xf>
    <xf numFmtId="0" fontId="11" fillId="0" borderId="17" xfId="0" applyFont="1" applyBorder="1" applyAlignment="1">
      <alignment horizontal="center" vertical="center"/>
    </xf>
    <xf numFmtId="0" fontId="11" fillId="0" borderId="58" xfId="0" applyFont="1" applyBorder="1" applyAlignment="1">
      <alignment vertical="center"/>
    </xf>
    <xf numFmtId="0" fontId="11" fillId="0" borderId="19" xfId="0" applyFont="1" applyBorder="1" applyAlignment="1">
      <alignment horizontal="center" vertical="center"/>
    </xf>
    <xf numFmtId="0" fontId="11" fillId="0" borderId="7" xfId="0" applyFont="1" applyBorder="1"/>
    <xf numFmtId="0" fontId="11" fillId="0" borderId="3" xfId="0" applyFont="1" applyBorder="1" applyAlignment="1">
      <alignment horizontal="center" textRotation="90" wrapText="1"/>
    </xf>
    <xf numFmtId="0" fontId="11" fillId="4" borderId="4" xfId="0" applyFont="1" applyFill="1" applyBorder="1" applyAlignment="1">
      <alignment horizontal="center" textRotation="90" wrapText="1"/>
    </xf>
    <xf numFmtId="0" fontId="11" fillId="0" borderId="4" xfId="0" applyFont="1" applyBorder="1" applyAlignment="1">
      <alignment horizontal="center" textRotation="90" wrapText="1"/>
    </xf>
    <xf numFmtId="0" fontId="11" fillId="4" borderId="6" xfId="0" applyFont="1" applyFill="1" applyBorder="1" applyAlignment="1">
      <alignment horizontal="center" textRotation="90" wrapText="1"/>
    </xf>
    <xf numFmtId="0" fontId="11" fillId="0" borderId="6" xfId="0" applyFont="1" applyBorder="1" applyAlignment="1">
      <alignment horizontal="center" textRotation="90" wrapText="1"/>
    </xf>
    <xf numFmtId="0" fontId="11" fillId="0" borderId="0" xfId="0" applyFont="1" applyAlignment="1">
      <alignment horizontal="center" textRotation="90" wrapText="1"/>
    </xf>
    <xf numFmtId="0" fontId="11" fillId="0" borderId="58" xfId="0" applyFont="1" applyBorder="1" applyAlignment="1">
      <alignment horizontal="center" textRotation="90" wrapText="1"/>
    </xf>
    <xf numFmtId="0" fontId="11" fillId="3" borderId="0" xfId="0" applyFont="1" applyFill="1" applyAlignment="1">
      <alignment horizontal="center" textRotation="90"/>
    </xf>
    <xf numFmtId="0" fontId="14" fillId="3" borderId="0" xfId="0" applyFont="1" applyFill="1" applyAlignment="1">
      <alignment horizontal="center" textRotation="90"/>
    </xf>
    <xf numFmtId="0" fontId="14" fillId="0" borderId="3" xfId="0" applyFont="1" applyBorder="1" applyAlignment="1">
      <alignment horizontal="center" textRotation="90"/>
    </xf>
    <xf numFmtId="0" fontId="12" fillId="0" borderId="4" xfId="0" applyFont="1" applyBorder="1" applyAlignment="1">
      <alignment horizontal="center" vertical="center" wrapText="1"/>
    </xf>
    <xf numFmtId="0" fontId="12" fillId="0" borderId="5" xfId="0" applyFont="1" applyBorder="1" applyAlignment="1">
      <alignment horizontal="center" vertical="center"/>
    </xf>
    <xf numFmtId="0" fontId="12" fillId="0" borderId="3" xfId="0" applyFont="1" applyBorder="1" applyAlignment="1">
      <alignment horizontal="center" vertical="center"/>
    </xf>
    <xf numFmtId="0" fontId="12" fillId="0" borderId="4" xfId="0" applyFont="1" applyBorder="1" applyAlignment="1">
      <alignment horizontal="center" vertical="center"/>
    </xf>
    <xf numFmtId="0" fontId="12" fillId="0" borderId="6" xfId="0" applyFont="1" applyBorder="1" applyAlignment="1">
      <alignment horizontal="center" vertical="center"/>
    </xf>
    <xf numFmtId="0" fontId="11" fillId="0" borderId="2" xfId="0" applyFont="1" applyBorder="1" applyAlignment="1">
      <alignment horizontal="center" textRotation="90" wrapText="1"/>
    </xf>
    <xf numFmtId="0" fontId="11" fillId="0" borderId="5" xfId="0" applyFont="1" applyBorder="1" applyAlignment="1">
      <alignment horizontal="center" textRotation="90" wrapText="1"/>
    </xf>
    <xf numFmtId="0" fontId="14" fillId="0" borderId="7" xfId="0" applyFont="1" applyBorder="1" applyAlignment="1">
      <alignment horizontal="center"/>
    </xf>
    <xf numFmtId="0" fontId="11" fillId="0" borderId="7" xfId="0" applyFont="1" applyBorder="1" applyAlignment="1">
      <alignment horizontal="center"/>
    </xf>
    <xf numFmtId="0" fontId="11" fillId="0" borderId="55" xfId="0" applyFont="1" applyBorder="1" applyAlignment="1">
      <alignment horizontal="center"/>
    </xf>
    <xf numFmtId="0" fontId="11" fillId="0" borderId="2" xfId="0" applyFont="1" applyBorder="1" applyAlignment="1">
      <alignment horizontal="center"/>
    </xf>
    <xf numFmtId="0" fontId="12" fillId="0" borderId="59" xfId="0" applyFont="1" applyBorder="1" applyAlignment="1">
      <alignment horizontal="centerContinuous"/>
    </xf>
    <xf numFmtId="0" fontId="12" fillId="0" borderId="60" xfId="0" applyFont="1" applyBorder="1" applyAlignment="1">
      <alignment horizontal="centerContinuous"/>
    </xf>
    <xf numFmtId="0" fontId="12" fillId="0" borderId="61" xfId="0" applyFont="1" applyBorder="1" applyAlignment="1">
      <alignment horizontal="centerContinuous"/>
    </xf>
    <xf numFmtId="0" fontId="11" fillId="0" borderId="58" xfId="0" applyFont="1" applyBorder="1" applyAlignment="1">
      <alignment horizontal="centerContinuous"/>
    </xf>
    <xf numFmtId="0" fontId="11" fillId="0" borderId="5" xfId="0" applyFont="1" applyBorder="1" applyAlignment="1">
      <alignment horizontal="center"/>
    </xf>
    <xf numFmtId="0" fontId="11" fillId="3" borderId="0" xfId="0" applyFont="1" applyFill="1" applyAlignment="1">
      <alignment horizontal="center"/>
    </xf>
    <xf numFmtId="0" fontId="14" fillId="3" borderId="0" xfId="0" applyFont="1" applyFill="1" applyAlignment="1">
      <alignment horizontal="center"/>
    </xf>
    <xf numFmtId="0" fontId="15" fillId="0" borderId="2" xfId="0" applyFont="1" applyBorder="1" applyAlignment="1">
      <alignment horizontal="center"/>
    </xf>
    <xf numFmtId="0" fontId="15" fillId="0" borderId="3" xfId="0" applyFont="1" applyBorder="1" applyAlignment="1">
      <alignment horizontal="center"/>
    </xf>
    <xf numFmtId="0" fontId="15" fillId="0" borderId="4" xfId="0" applyFont="1" applyBorder="1" applyAlignment="1">
      <alignment horizontal="center"/>
    </xf>
    <xf numFmtId="0" fontId="11" fillId="0" borderId="58" xfId="0" applyFont="1" applyBorder="1" applyAlignment="1">
      <alignment horizontal="center"/>
    </xf>
    <xf numFmtId="0" fontId="15" fillId="0" borderId="5" xfId="0" applyFont="1" applyBorder="1" applyAlignment="1">
      <alignment horizontal="center"/>
    </xf>
    <xf numFmtId="0" fontId="14" fillId="0" borderId="46" xfId="0" applyFont="1" applyBorder="1" applyAlignment="1">
      <alignment horizontal="center"/>
    </xf>
    <xf numFmtId="0" fontId="11" fillId="0" borderId="6" xfId="0" applyFont="1" applyBorder="1" applyAlignment="1">
      <alignment horizontal="center"/>
    </xf>
    <xf numFmtId="166" fontId="16" fillId="0" borderId="2" xfId="0" applyNumberFormat="1" applyFont="1" applyBorder="1" applyAlignment="1">
      <alignment horizontal="center"/>
    </xf>
    <xf numFmtId="166" fontId="16" fillId="0" borderId="3" xfId="0" applyNumberFormat="1" applyFont="1" applyBorder="1" applyAlignment="1">
      <alignment horizontal="center"/>
    </xf>
    <xf numFmtId="166" fontId="16" fillId="0" borderId="4" xfId="0" applyNumberFormat="1" applyFont="1" applyBorder="1" applyAlignment="1">
      <alignment horizontal="center"/>
    </xf>
    <xf numFmtId="166" fontId="16" fillId="0" borderId="5" xfId="0" applyNumberFormat="1" applyFont="1" applyBorder="1" applyAlignment="1">
      <alignment horizontal="center"/>
    </xf>
    <xf numFmtId="0" fontId="17" fillId="0" borderId="3" xfId="0" applyFont="1" applyBorder="1" applyAlignment="1">
      <alignment horizontal="center"/>
    </xf>
    <xf numFmtId="0" fontId="17" fillId="0" borderId="4" xfId="0" applyFont="1" applyBorder="1" applyAlignment="1">
      <alignment horizontal="center"/>
    </xf>
    <xf numFmtId="0" fontId="17" fillId="0" borderId="5" xfId="0" applyFont="1" applyBorder="1" applyAlignment="1">
      <alignment horizontal="center"/>
    </xf>
    <xf numFmtId="0" fontId="17" fillId="0" borderId="62" xfId="0" applyFont="1" applyBorder="1" applyAlignment="1">
      <alignment horizontal="center"/>
    </xf>
    <xf numFmtId="0" fontId="17" fillId="0" borderId="0" xfId="0" applyFont="1" applyAlignment="1">
      <alignment horizontal="center"/>
    </xf>
    <xf numFmtId="0" fontId="17" fillId="0" borderId="2" xfId="0" applyFont="1" applyBorder="1" applyAlignment="1">
      <alignment horizontal="center"/>
    </xf>
    <xf numFmtId="0" fontId="17" fillId="0" borderId="58" xfId="0" applyFont="1" applyBorder="1" applyAlignment="1">
      <alignment horizontal="center"/>
    </xf>
    <xf numFmtId="0" fontId="17" fillId="0" borderId="7" xfId="0" applyFont="1" applyBorder="1" applyAlignment="1">
      <alignment horizontal="left"/>
    </xf>
    <xf numFmtId="0" fontId="17" fillId="3" borderId="0" xfId="0" applyFont="1" applyFill="1"/>
    <xf numFmtId="0" fontId="11" fillId="0" borderId="4" xfId="0" applyFont="1" applyBorder="1" applyAlignment="1">
      <alignment horizontal="right"/>
    </xf>
    <xf numFmtId="0" fontId="11" fillId="0" borderId="5" xfId="0" applyFont="1" applyBorder="1" applyAlignment="1">
      <alignment horizontal="right"/>
    </xf>
    <xf numFmtId="0" fontId="11" fillId="0" borderId="3" xfId="0" applyFont="1" applyBorder="1" applyAlignment="1">
      <alignment horizontal="right"/>
    </xf>
    <xf numFmtId="0" fontId="11" fillId="0" borderId="6" xfId="0" applyFont="1" applyBorder="1" applyAlignment="1">
      <alignment horizontal="right"/>
    </xf>
    <xf numFmtId="0" fontId="11" fillId="0" borderId="0" xfId="0" applyFont="1" applyAlignment="1">
      <alignment horizontal="right"/>
    </xf>
    <xf numFmtId="0" fontId="11" fillId="0" borderId="2" xfId="0" applyFont="1" applyBorder="1" applyAlignment="1">
      <alignment horizontal="right"/>
    </xf>
    <xf numFmtId="0" fontId="11" fillId="0" borderId="58" xfId="0" applyFont="1" applyBorder="1" applyAlignment="1">
      <alignment horizontal="right"/>
    </xf>
    <xf numFmtId="0" fontId="11" fillId="0" borderId="7" xfId="0" applyFont="1" applyBorder="1" applyAlignment="1">
      <alignment horizontal="right"/>
    </xf>
    <xf numFmtId="169" fontId="11" fillId="0" borderId="4" xfId="0" applyNumberFormat="1" applyFont="1" applyBorder="1" applyAlignment="1">
      <alignment horizontal="right"/>
    </xf>
    <xf numFmtId="1" fontId="11" fillId="0" borderId="4" xfId="0" applyNumberFormat="1" applyFont="1" applyBorder="1" applyAlignment="1">
      <alignment horizontal="right"/>
    </xf>
    <xf numFmtId="1" fontId="11" fillId="0" borderId="6" xfId="0" applyNumberFormat="1" applyFont="1" applyBorder="1" applyAlignment="1">
      <alignment horizontal="right"/>
    </xf>
    <xf numFmtId="169" fontId="11" fillId="0" borderId="0" xfId="0" applyNumberFormat="1" applyFont="1" applyAlignment="1">
      <alignment horizontal="right"/>
    </xf>
    <xf numFmtId="169" fontId="11" fillId="0" borderId="3" xfId="0" applyNumberFormat="1" applyFont="1" applyBorder="1" applyAlignment="1">
      <alignment horizontal="right"/>
    </xf>
    <xf numFmtId="169" fontId="11" fillId="0" borderId="58" xfId="0" applyNumberFormat="1" applyFont="1" applyBorder="1" applyAlignment="1">
      <alignment horizontal="right"/>
    </xf>
    <xf numFmtId="2" fontId="11" fillId="0" borderId="5" xfId="0" applyNumberFormat="1" applyFont="1" applyBorder="1" applyAlignment="1">
      <alignment horizontal="right"/>
    </xf>
    <xf numFmtId="2" fontId="11" fillId="0" borderId="4" xfId="0" applyNumberFormat="1" applyFont="1" applyBorder="1" applyAlignment="1">
      <alignment horizontal="right"/>
    </xf>
    <xf numFmtId="169" fontId="14" fillId="0" borderId="3" xfId="0" applyNumberFormat="1" applyFont="1" applyBorder="1" applyAlignment="1">
      <alignment horizontal="center"/>
    </xf>
    <xf numFmtId="167" fontId="11" fillId="0" borderId="5" xfId="1" applyNumberFormat="1" applyFont="1" applyBorder="1" applyAlignment="1">
      <alignment horizontal="right"/>
    </xf>
    <xf numFmtId="167" fontId="11" fillId="0" borderId="3" xfId="1" applyNumberFormat="1" applyFont="1" applyBorder="1" applyAlignment="1">
      <alignment horizontal="right"/>
    </xf>
    <xf numFmtId="167" fontId="11" fillId="0" borderId="4" xfId="1" applyNumberFormat="1" applyFont="1" applyBorder="1" applyAlignment="1">
      <alignment horizontal="right"/>
    </xf>
    <xf numFmtId="2" fontId="11" fillId="0" borderId="5" xfId="1" applyNumberFormat="1" applyFont="1" applyBorder="1" applyAlignment="1">
      <alignment horizontal="right"/>
    </xf>
    <xf numFmtId="2" fontId="11" fillId="0" borderId="3" xfId="1" applyNumberFormat="1" applyFont="1" applyBorder="1" applyAlignment="1">
      <alignment horizontal="right"/>
    </xf>
    <xf numFmtId="2" fontId="11" fillId="0" borderId="4" xfId="1" applyNumberFormat="1" applyFont="1" applyBorder="1" applyAlignment="1">
      <alignment horizontal="right"/>
    </xf>
    <xf numFmtId="169" fontId="11" fillId="0" borderId="4" xfId="1" applyNumberFormat="1" applyFont="1" applyBorder="1" applyAlignment="1">
      <alignment horizontal="right"/>
    </xf>
    <xf numFmtId="1" fontId="11" fillId="0" borderId="4" xfId="1" applyNumberFormat="1" applyFont="1" applyBorder="1" applyAlignment="1">
      <alignment horizontal="right"/>
    </xf>
    <xf numFmtId="1" fontId="11" fillId="0" borderId="6" xfId="1" applyNumberFormat="1" applyFont="1" applyBorder="1" applyAlignment="1">
      <alignment horizontal="right"/>
    </xf>
    <xf numFmtId="169" fontId="11" fillId="0" borderId="2" xfId="1" applyNumberFormat="1" applyFont="1" applyBorder="1" applyAlignment="1">
      <alignment horizontal="right"/>
    </xf>
    <xf numFmtId="169" fontId="11" fillId="0" borderId="3" xfId="1" applyNumberFormat="1" applyFont="1" applyBorder="1" applyAlignment="1">
      <alignment horizontal="right"/>
    </xf>
    <xf numFmtId="169" fontId="11" fillId="0" borderId="58" xfId="1" applyNumberFormat="1" applyFont="1" applyBorder="1" applyAlignment="1">
      <alignment horizontal="right"/>
    </xf>
    <xf numFmtId="1" fontId="11" fillId="0" borderId="0" xfId="0" applyNumberFormat="1" applyFont="1" applyAlignment="1">
      <alignment horizontal="center"/>
    </xf>
    <xf numFmtId="169" fontId="11" fillId="3" borderId="0" xfId="0" applyNumberFormat="1" applyFont="1" applyFill="1"/>
    <xf numFmtId="169" fontId="14" fillId="0" borderId="47" xfId="0" applyNumberFormat="1" applyFont="1" applyBorder="1" applyAlignment="1">
      <alignment horizontal="center"/>
    </xf>
    <xf numFmtId="167" fontId="11" fillId="0" borderId="17" xfId="1" applyNumberFormat="1" applyFont="1" applyBorder="1" applyAlignment="1">
      <alignment horizontal="right"/>
    </xf>
    <xf numFmtId="167" fontId="11" fillId="0" borderId="47" xfId="1" applyNumberFormat="1" applyFont="1" applyBorder="1" applyAlignment="1">
      <alignment horizontal="right"/>
    </xf>
    <xf numFmtId="167" fontId="11" fillId="0" borderId="18" xfId="1" applyNumberFormat="1" applyFont="1" applyBorder="1" applyAlignment="1">
      <alignment horizontal="right"/>
    </xf>
    <xf numFmtId="2" fontId="11" fillId="0" borderId="17" xfId="1" applyNumberFormat="1" applyFont="1" applyBorder="1" applyAlignment="1">
      <alignment horizontal="right"/>
    </xf>
    <xf numFmtId="2" fontId="11" fillId="0" borderId="47" xfId="1" applyNumberFormat="1" applyFont="1" applyBorder="1" applyAlignment="1">
      <alignment horizontal="right"/>
    </xf>
    <xf numFmtId="2" fontId="11" fillId="0" borderId="18" xfId="1" applyNumberFormat="1" applyFont="1" applyBorder="1" applyAlignment="1">
      <alignment horizontal="right"/>
    </xf>
    <xf numFmtId="169" fontId="11" fillId="0" borderId="18" xfId="1" applyNumberFormat="1" applyFont="1" applyBorder="1" applyAlignment="1">
      <alignment horizontal="right"/>
    </xf>
    <xf numFmtId="1" fontId="11" fillId="0" borderId="18" xfId="1" applyNumberFormat="1" applyFont="1" applyBorder="1" applyAlignment="1">
      <alignment horizontal="right"/>
    </xf>
    <xf numFmtId="1" fontId="11" fillId="0" borderId="19" xfId="1" applyNumberFormat="1" applyFont="1" applyBorder="1" applyAlignment="1">
      <alignment horizontal="right"/>
    </xf>
    <xf numFmtId="169" fontId="11" fillId="0" borderId="54" xfId="1" applyNumberFormat="1" applyFont="1" applyBorder="1" applyAlignment="1">
      <alignment horizontal="right"/>
    </xf>
    <xf numFmtId="169" fontId="11" fillId="0" borderId="17" xfId="1" applyNumberFormat="1" applyFont="1" applyBorder="1" applyAlignment="1">
      <alignment horizontal="right"/>
    </xf>
    <xf numFmtId="169" fontId="11" fillId="0" borderId="47" xfId="1" applyNumberFormat="1" applyFont="1" applyBorder="1" applyAlignment="1">
      <alignment horizontal="right"/>
    </xf>
    <xf numFmtId="169" fontId="14" fillId="0" borderId="0" xfId="0" applyNumberFormat="1" applyFont="1"/>
    <xf numFmtId="169" fontId="11" fillId="0" borderId="0" xfId="0" applyNumberFormat="1" applyFont="1"/>
    <xf numFmtId="166" fontId="20" fillId="0" borderId="63" xfId="0" applyNumberFormat="1" applyFont="1" applyBorder="1" applyAlignment="1">
      <alignment shrinkToFit="1"/>
    </xf>
    <xf numFmtId="0" fontId="11" fillId="0" borderId="0" xfId="0" applyFont="1" applyAlignment="1">
      <alignment horizontal="left" indent="2"/>
    </xf>
    <xf numFmtId="0" fontId="9" fillId="0" borderId="0" xfId="0" applyFont="1"/>
    <xf numFmtId="0" fontId="21" fillId="0" borderId="0" xfId="0" applyFont="1" applyAlignment="1">
      <alignment horizontal="left" indent="2"/>
    </xf>
    <xf numFmtId="0" fontId="9" fillId="0" borderId="42" xfId="0" applyFont="1" applyBorder="1"/>
    <xf numFmtId="0" fontId="9" fillId="0" borderId="43" xfId="0" applyFont="1" applyBorder="1"/>
    <xf numFmtId="169" fontId="11" fillId="0" borderId="0" xfId="1" applyNumberFormat="1" applyFont="1" applyAlignment="1">
      <alignment horizontal="right"/>
    </xf>
    <xf numFmtId="0" fontId="11" fillId="0" borderId="43" xfId="0" applyFont="1" applyBorder="1" applyAlignment="1">
      <alignment horizontal="centerContinuous" vertical="center"/>
    </xf>
    <xf numFmtId="0" fontId="13" fillId="0" borderId="0" xfId="0" applyFont="1" applyAlignment="1">
      <alignment horizontal="left" vertical="center" indent="2"/>
    </xf>
    <xf numFmtId="0" fontId="11" fillId="0" borderId="1" xfId="0" applyFont="1" applyBorder="1" applyAlignment="1">
      <alignment horizontal="centerContinuous"/>
    </xf>
    <xf numFmtId="0" fontId="11" fillId="0" borderId="42" xfId="0" applyFont="1" applyBorder="1" applyAlignment="1">
      <alignment horizontal="centerContinuous"/>
    </xf>
    <xf numFmtId="0" fontId="11" fillId="0" borderId="50" xfId="0" applyFont="1" applyBorder="1" applyAlignment="1">
      <alignment horizontal="centerContinuous"/>
    </xf>
    <xf numFmtId="0" fontId="12" fillId="0" borderId="0" xfId="0" applyFont="1"/>
    <xf numFmtId="0" fontId="0" fillId="0" borderId="0" xfId="0" applyAlignment="1">
      <alignment horizontal="left"/>
    </xf>
    <xf numFmtId="0" fontId="12" fillId="0" borderId="0" xfId="0" applyFont="1" applyAlignment="1">
      <alignment horizontal="center"/>
    </xf>
    <xf numFmtId="0" fontId="11" fillId="0" borderId="64" xfId="0" applyFont="1" applyBorder="1"/>
    <xf numFmtId="0" fontId="11" fillId="0" borderId="65" xfId="0" applyFont="1" applyBorder="1"/>
    <xf numFmtId="0" fontId="11" fillId="0" borderId="66" xfId="0" applyFont="1" applyBorder="1"/>
    <xf numFmtId="0" fontId="11" fillId="0" borderId="67" xfId="0" applyFont="1" applyBorder="1"/>
    <xf numFmtId="0" fontId="11" fillId="0" borderId="65" xfId="0" applyFont="1" applyBorder="1" applyAlignment="1">
      <alignment horizontal="centerContinuous"/>
    </xf>
    <xf numFmtId="0" fontId="11" fillId="0" borderId="66" xfId="0" applyFont="1" applyBorder="1" applyAlignment="1">
      <alignment horizontal="centerContinuous"/>
    </xf>
    <xf numFmtId="0" fontId="11" fillId="0" borderId="68" xfId="0" applyFont="1" applyBorder="1" applyAlignment="1">
      <alignment horizontal="centerContinuous"/>
    </xf>
    <xf numFmtId="0" fontId="11" fillId="0" borderId="69" xfId="0" applyFont="1" applyBorder="1"/>
    <xf numFmtId="0" fontId="11" fillId="0" borderId="67" xfId="0" applyFont="1" applyBorder="1" applyAlignment="1">
      <alignment horizontal="centerContinuous"/>
    </xf>
    <xf numFmtId="0" fontId="11" fillId="0" borderId="70" xfId="0" applyFont="1" applyBorder="1"/>
    <xf numFmtId="0" fontId="11" fillId="0" borderId="53" xfId="0" applyFont="1" applyBorder="1"/>
    <xf numFmtId="0" fontId="11" fillId="0" borderId="3" xfId="0" applyFont="1" applyBorder="1" applyAlignment="1">
      <alignment horizontal="centerContinuous"/>
    </xf>
    <xf numFmtId="0" fontId="11" fillId="0" borderId="4" xfId="0" applyFont="1" applyBorder="1" applyAlignment="1">
      <alignment horizontal="centerContinuous"/>
    </xf>
    <xf numFmtId="0" fontId="11" fillId="0" borderId="6" xfId="0" applyFont="1" applyBorder="1" applyAlignment="1">
      <alignment horizontal="centerContinuous"/>
    </xf>
    <xf numFmtId="0" fontId="11" fillId="0" borderId="5" xfId="0" applyFont="1" applyBorder="1" applyAlignment="1">
      <alignment horizontal="centerContinuous"/>
    </xf>
    <xf numFmtId="0" fontId="11" fillId="0" borderId="46" xfId="0" applyFont="1" applyBorder="1" applyAlignment="1">
      <alignment horizontal="centerContinuous"/>
    </xf>
    <xf numFmtId="0" fontId="11" fillId="0" borderId="71" xfId="0" applyFont="1" applyBorder="1" applyAlignment="1">
      <alignment horizontal="centerContinuous"/>
    </xf>
    <xf numFmtId="0" fontId="11" fillId="0" borderId="58" xfId="0" applyFont="1" applyBorder="1"/>
    <xf numFmtId="0" fontId="11" fillId="0" borderId="0" xfId="0" applyFont="1" applyAlignment="1">
      <alignment horizontal="left"/>
    </xf>
    <xf numFmtId="0" fontId="11" fillId="0" borderId="54" xfId="0" applyFont="1" applyBorder="1"/>
    <xf numFmtId="0" fontId="12" fillId="0" borderId="46" xfId="0" applyFont="1" applyBorder="1" applyAlignment="1">
      <alignment horizontal="center" vertical="center" wrapText="1"/>
    </xf>
    <xf numFmtId="0" fontId="12" fillId="0" borderId="5" xfId="0" applyFont="1" applyBorder="1" applyAlignment="1">
      <alignment horizontal="center" vertical="center" wrapText="1"/>
    </xf>
    <xf numFmtId="0" fontId="20" fillId="3" borderId="0" xfId="0" applyFont="1" applyFill="1" applyAlignment="1">
      <alignment textRotation="90"/>
    </xf>
    <xf numFmtId="0" fontId="20" fillId="0" borderId="53" xfId="0" applyFont="1" applyBorder="1" applyAlignment="1">
      <alignment horizontal="center" textRotation="90"/>
    </xf>
    <xf numFmtId="0" fontId="11" fillId="0" borderId="0" xfId="0" applyFont="1" applyAlignment="1">
      <alignment horizontal="center" textRotation="90"/>
    </xf>
    <xf numFmtId="0" fontId="12" fillId="0" borderId="53" xfId="0" applyFont="1" applyBorder="1" applyAlignment="1">
      <alignment horizontal="center" vertical="center"/>
    </xf>
    <xf numFmtId="0" fontId="11" fillId="0" borderId="54" xfId="0" applyFont="1" applyBorder="1" applyAlignment="1">
      <alignment horizontal="center" textRotation="90"/>
    </xf>
    <xf numFmtId="0" fontId="11" fillId="0" borderId="55" xfId="0" applyFont="1" applyBorder="1" applyAlignment="1">
      <alignment horizontal="center" textRotation="90" wrapText="1"/>
    </xf>
    <xf numFmtId="0" fontId="11" fillId="0" borderId="54" xfId="0" applyFont="1" applyBorder="1" applyAlignment="1">
      <alignment horizontal="center" textRotation="90" wrapText="1"/>
    </xf>
    <xf numFmtId="0" fontId="11" fillId="0" borderId="53" xfId="0" applyFont="1" applyBorder="1" applyAlignment="1">
      <alignment horizontal="center" textRotation="90"/>
    </xf>
    <xf numFmtId="0" fontId="11" fillId="0" borderId="55" xfId="0" applyFont="1" applyBorder="1" applyAlignment="1">
      <alignment horizontal="center" textRotation="90"/>
    </xf>
    <xf numFmtId="0" fontId="24" fillId="0" borderId="7" xfId="0" applyFont="1" applyBorder="1" applyAlignment="1">
      <alignment horizontal="center" vertical="center" wrapText="1"/>
    </xf>
    <xf numFmtId="0" fontId="24" fillId="0" borderId="72" xfId="0" applyFont="1" applyBorder="1" applyAlignment="1">
      <alignment horizontal="center" vertical="center" wrapText="1"/>
    </xf>
    <xf numFmtId="0" fontId="20" fillId="0" borderId="3" xfId="0" applyFont="1" applyBorder="1" applyAlignment="1">
      <alignment horizontal="center" textRotation="90"/>
    </xf>
    <xf numFmtId="0" fontId="11" fillId="0" borderId="5" xfId="0" applyFont="1" applyBorder="1" applyAlignment="1">
      <alignment horizontal="center" textRotation="90"/>
    </xf>
    <xf numFmtId="0" fontId="11" fillId="0" borderId="3" xfId="0" applyFont="1" applyBorder="1" applyAlignment="1">
      <alignment horizontal="center" textRotation="90"/>
    </xf>
    <xf numFmtId="0" fontId="11" fillId="0" borderId="4" xfId="0" applyFont="1" applyBorder="1" applyAlignment="1">
      <alignment horizontal="center" textRotation="90"/>
    </xf>
    <xf numFmtId="0" fontId="11" fillId="0" borderId="6" xfId="0" applyFont="1" applyBorder="1" applyAlignment="1">
      <alignment horizontal="center" textRotation="90"/>
    </xf>
    <xf numFmtId="0" fontId="11" fillId="0" borderId="14" xfId="0" applyFont="1" applyBorder="1" applyAlignment="1">
      <alignment horizontal="center" textRotation="90"/>
    </xf>
    <xf numFmtId="0" fontId="24" fillId="0" borderId="46" xfId="0" applyFont="1" applyBorder="1" applyAlignment="1">
      <alignment horizontal="center" vertical="center" wrapText="1"/>
    </xf>
    <xf numFmtId="0" fontId="24" fillId="0" borderId="73" xfId="0" applyFont="1" applyBorder="1" applyAlignment="1">
      <alignment horizontal="center" vertical="center" wrapText="1"/>
    </xf>
    <xf numFmtId="1" fontId="11" fillId="0" borderId="5" xfId="0" applyNumberFormat="1" applyFont="1" applyBorder="1" applyAlignment="1">
      <alignment horizontal="right"/>
    </xf>
    <xf numFmtId="1" fontId="11" fillId="0" borderId="3" xfId="0" applyNumberFormat="1" applyFont="1" applyBorder="1" applyAlignment="1">
      <alignment horizontal="right"/>
    </xf>
    <xf numFmtId="2" fontId="11" fillId="0" borderId="6" xfId="0" applyNumberFormat="1" applyFont="1" applyBorder="1" applyAlignment="1">
      <alignment horizontal="right"/>
    </xf>
    <xf numFmtId="169" fontId="11" fillId="0" borderId="6" xfId="0" applyNumberFormat="1" applyFont="1" applyBorder="1" applyAlignment="1">
      <alignment horizontal="right"/>
    </xf>
    <xf numFmtId="169" fontId="11" fillId="0" borderId="5" xfId="0" applyNumberFormat="1" applyFont="1" applyBorder="1" applyAlignment="1">
      <alignment horizontal="right"/>
    </xf>
    <xf numFmtId="169" fontId="11" fillId="0" borderId="14" xfId="0" applyNumberFormat="1" applyFont="1" applyBorder="1" applyAlignment="1">
      <alignment horizontal="right"/>
    </xf>
    <xf numFmtId="0" fontId="11" fillId="3" borderId="0" xfId="0" applyFont="1" applyFill="1" applyAlignment="1">
      <alignment horizontal="right" textRotation="90"/>
    </xf>
    <xf numFmtId="169" fontId="11" fillId="0" borderId="5" xfId="0" applyNumberFormat="1" applyFont="1" applyBorder="1"/>
    <xf numFmtId="1" fontId="11" fillId="0" borderId="6" xfId="0" applyNumberFormat="1" applyFont="1" applyBorder="1"/>
    <xf numFmtId="169" fontId="11" fillId="0" borderId="3" xfId="0" applyNumberFormat="1" applyFont="1" applyBorder="1"/>
    <xf numFmtId="169" fontId="11" fillId="0" borderId="4" xfId="0" applyNumberFormat="1" applyFont="1" applyBorder="1"/>
    <xf numFmtId="173" fontId="11" fillId="0" borderId="3" xfId="0" applyNumberFormat="1" applyFont="1" applyBorder="1"/>
    <xf numFmtId="173" fontId="11" fillId="0" borderId="4" xfId="0" applyNumberFormat="1" applyFont="1" applyBorder="1"/>
    <xf numFmtId="2" fontId="11" fillId="0" borderId="4" xfId="0" applyNumberFormat="1" applyFont="1" applyBorder="1"/>
    <xf numFmtId="2" fontId="11" fillId="0" borderId="5" xfId="0" applyNumberFormat="1" applyFont="1" applyBorder="1"/>
    <xf numFmtId="169" fontId="11" fillId="0" borderId="74" xfId="0" applyNumberFormat="1" applyFont="1" applyBorder="1"/>
    <xf numFmtId="2" fontId="11" fillId="0" borderId="6" xfId="0" applyNumberFormat="1" applyFont="1" applyBorder="1"/>
    <xf numFmtId="2" fontId="11" fillId="0" borderId="3" xfId="0" applyNumberFormat="1" applyFont="1" applyBorder="1"/>
    <xf numFmtId="2" fontId="11" fillId="0" borderId="14" xfId="0" applyNumberFormat="1" applyFont="1" applyBorder="1"/>
    <xf numFmtId="173" fontId="11" fillId="0" borderId="5" xfId="0" applyNumberFormat="1" applyFont="1" applyBorder="1"/>
    <xf numFmtId="174" fontId="11" fillId="0" borderId="3" xfId="0" applyNumberFormat="1" applyFont="1" applyBorder="1"/>
    <xf numFmtId="174" fontId="11" fillId="0" borderId="6" xfId="0" applyNumberFormat="1" applyFont="1" applyBorder="1"/>
    <xf numFmtId="174" fontId="11" fillId="0" borderId="4" xfId="0" applyNumberFormat="1" applyFont="1" applyBorder="1"/>
    <xf numFmtId="173" fontId="11" fillId="0" borderId="6" xfId="0" applyNumberFormat="1" applyFont="1" applyBorder="1"/>
    <xf numFmtId="1" fontId="11" fillId="5" borderId="46" xfId="0" applyNumberFormat="1" applyFont="1" applyFill="1" applyBorder="1"/>
    <xf numFmtId="1" fontId="11" fillId="0" borderId="75" xfId="0" applyNumberFormat="1" applyFont="1" applyBorder="1"/>
    <xf numFmtId="1" fontId="11" fillId="5" borderId="5" xfId="0" applyNumberFormat="1" applyFont="1" applyFill="1" applyBorder="1"/>
    <xf numFmtId="169" fontId="11" fillId="5" borderId="4" xfId="0" applyNumberFormat="1" applyFont="1" applyFill="1" applyBorder="1" applyAlignment="1">
      <alignment horizontal="left" indent="1"/>
    </xf>
    <xf numFmtId="169" fontId="11" fillId="5" borderId="6" xfId="0" applyNumberFormat="1" applyFont="1" applyFill="1" applyBorder="1" applyAlignment="1">
      <alignment horizontal="left" indent="1"/>
    </xf>
    <xf numFmtId="0" fontId="25" fillId="3" borderId="0" xfId="0" applyFont="1" applyFill="1"/>
    <xf numFmtId="169" fontId="11" fillId="5" borderId="46" xfId="0" applyNumberFormat="1" applyFont="1" applyFill="1" applyBorder="1"/>
    <xf numFmtId="169" fontId="11" fillId="5" borderId="5" xfId="0" applyNumberFormat="1" applyFont="1" applyFill="1" applyBorder="1"/>
    <xf numFmtId="169" fontId="11" fillId="0" borderId="75" xfId="0" applyNumberFormat="1" applyFont="1" applyBorder="1"/>
    <xf numFmtId="1" fontId="11" fillId="5" borderId="4" xfId="0" applyNumberFormat="1" applyFont="1" applyFill="1" applyBorder="1" applyAlignment="1">
      <alignment horizontal="left" indent="1"/>
    </xf>
    <xf numFmtId="1" fontId="11" fillId="5" borderId="6" xfId="0" applyNumberFormat="1" applyFont="1" applyFill="1" applyBorder="1" applyAlignment="1">
      <alignment horizontal="left" indent="1"/>
    </xf>
    <xf numFmtId="169" fontId="11" fillId="0" borderId="47" xfId="0" applyNumberFormat="1" applyFont="1" applyBorder="1"/>
    <xf numFmtId="173" fontId="11" fillId="0" borderId="47" xfId="0" applyNumberFormat="1" applyFont="1" applyBorder="1"/>
    <xf numFmtId="173" fontId="11" fillId="0" borderId="18" xfId="0" applyNumberFormat="1" applyFont="1" applyBorder="1"/>
    <xf numFmtId="1" fontId="11" fillId="0" borderId="19" xfId="0" applyNumberFormat="1" applyFont="1" applyBorder="1"/>
    <xf numFmtId="2" fontId="11" fillId="0" borderId="18" xfId="0" applyNumberFormat="1" applyFont="1" applyBorder="1"/>
    <xf numFmtId="2" fontId="11" fillId="0" borderId="17" xfId="0" applyNumberFormat="1" applyFont="1" applyBorder="1"/>
    <xf numFmtId="169" fontId="11" fillId="0" borderId="18" xfId="0" applyNumberFormat="1" applyFont="1" applyBorder="1"/>
    <xf numFmtId="169" fontId="11" fillId="0" borderId="17" xfId="0" applyNumberFormat="1" applyFont="1" applyBorder="1"/>
    <xf numFmtId="169" fontId="11" fillId="0" borderId="76" xfId="0" applyNumberFormat="1" applyFont="1" applyBorder="1"/>
    <xf numFmtId="2" fontId="11" fillId="0" borderId="19" xfId="0" applyNumberFormat="1" applyFont="1" applyBorder="1"/>
    <xf numFmtId="2" fontId="11" fillId="0" borderId="47" xfId="0" applyNumberFormat="1" applyFont="1" applyBorder="1"/>
    <xf numFmtId="2" fontId="11" fillId="0" borderId="77" xfId="0" applyNumberFormat="1" applyFont="1" applyBorder="1"/>
    <xf numFmtId="173" fontId="11" fillId="0" borderId="17" xfId="0" applyNumberFormat="1" applyFont="1" applyBorder="1"/>
    <xf numFmtId="174" fontId="11" fillId="0" borderId="47" xfId="0" applyNumberFormat="1" applyFont="1" applyBorder="1"/>
    <xf numFmtId="174" fontId="11" fillId="0" borderId="19" xfId="0" applyNumberFormat="1" applyFont="1" applyBorder="1"/>
    <xf numFmtId="174" fontId="11" fillId="0" borderId="18" xfId="0" applyNumberFormat="1" applyFont="1" applyBorder="1"/>
    <xf numFmtId="173" fontId="11" fillId="0" borderId="19" xfId="0" applyNumberFormat="1" applyFont="1" applyBorder="1"/>
    <xf numFmtId="1" fontId="11" fillId="5" borderId="56" xfId="0" applyNumberFormat="1" applyFont="1" applyFill="1" applyBorder="1"/>
    <xf numFmtId="1" fontId="11" fillId="0" borderId="78" xfId="0" applyNumberFormat="1" applyFont="1" applyBorder="1"/>
    <xf numFmtId="1" fontId="11" fillId="5" borderId="17" xfId="0" applyNumberFormat="1" applyFont="1" applyFill="1" applyBorder="1"/>
    <xf numFmtId="169" fontId="11" fillId="5" borderId="18" xfId="0" applyNumberFormat="1" applyFont="1" applyFill="1" applyBorder="1"/>
    <xf numFmtId="169" fontId="11" fillId="5" borderId="19" xfId="0" applyNumberFormat="1" applyFont="1" applyFill="1" applyBorder="1"/>
    <xf numFmtId="0" fontId="9" fillId="0" borderId="0" xfId="0" applyFont="1" applyAlignment="1">
      <alignment horizontal="left"/>
    </xf>
    <xf numFmtId="0" fontId="9" fillId="3" borderId="0" xfId="0" applyFont="1" applyFill="1"/>
    <xf numFmtId="0" fontId="11" fillId="0" borderId="0" xfId="0" applyFont="1" applyAlignment="1">
      <alignment horizontal="centerContinuous"/>
    </xf>
    <xf numFmtId="0" fontId="0" fillId="3" borderId="0" xfId="0" applyFill="1"/>
    <xf numFmtId="0" fontId="11" fillId="0" borderId="4" xfId="0" applyFont="1" applyBorder="1" applyAlignment="1">
      <alignment horizontal="center"/>
    </xf>
    <xf numFmtId="0" fontId="13" fillId="0" borderId="0" xfId="0" applyFont="1" applyAlignment="1">
      <alignment horizontal="centerContinuous"/>
    </xf>
    <xf numFmtId="0" fontId="13" fillId="3" borderId="0" xfId="0" applyFont="1" applyFill="1"/>
    <xf numFmtId="0" fontId="4" fillId="0" borderId="0" xfId="0" applyFont="1" applyAlignment="1">
      <alignment horizontal="centerContinuous"/>
    </xf>
    <xf numFmtId="0" fontId="4" fillId="0" borderId="0" xfId="0" applyFont="1" applyAlignment="1">
      <alignment horizontal="right"/>
    </xf>
    <xf numFmtId="0" fontId="12" fillId="0" borderId="0" xfId="0" applyFont="1" applyAlignment="1">
      <alignment horizontal="left" indent="3"/>
    </xf>
    <xf numFmtId="0" fontId="11" fillId="0" borderId="43" xfId="0" applyFont="1" applyBorder="1" applyAlignment="1">
      <alignment horizontal="center"/>
    </xf>
    <xf numFmtId="0" fontId="12" fillId="3" borderId="0" xfId="0" applyFont="1" applyFill="1"/>
    <xf numFmtId="49" fontId="11" fillId="0" borderId="1" xfId="0" applyNumberFormat="1" applyFont="1" applyBorder="1" applyAlignment="1">
      <alignment horizontal="left" indent="1"/>
    </xf>
    <xf numFmtId="49" fontId="11" fillId="0" borderId="42" xfId="0" applyNumberFormat="1" applyFont="1" applyBorder="1" applyAlignment="1">
      <alignment horizontal="left" indent="1"/>
    </xf>
    <xf numFmtId="0" fontId="11" fillId="0" borderId="43" xfId="0" applyFont="1" applyBorder="1"/>
    <xf numFmtId="49" fontId="11" fillId="0" borderId="42" xfId="0" applyNumberFormat="1" applyFont="1" applyBorder="1"/>
    <xf numFmtId="49" fontId="11" fillId="0" borderId="43" xfId="0" applyNumberFormat="1" applyFont="1" applyBorder="1"/>
    <xf numFmtId="49" fontId="11" fillId="0" borderId="0" xfId="0" applyNumberFormat="1" applyFont="1"/>
    <xf numFmtId="0" fontId="11" fillId="0" borderId="79" xfId="0" applyFont="1" applyBorder="1" applyAlignment="1">
      <alignment horizontal="center"/>
    </xf>
    <xf numFmtId="0" fontId="11" fillId="0" borderId="80" xfId="0" applyFont="1" applyBorder="1" applyAlignment="1">
      <alignment horizontal="center"/>
    </xf>
    <xf numFmtId="0" fontId="11" fillId="0" borderId="81" xfId="0" applyFont="1" applyBorder="1" applyAlignment="1">
      <alignment horizontal="center"/>
    </xf>
    <xf numFmtId="0" fontId="0" fillId="3" borderId="0" xfId="0" applyFill="1" applyAlignment="1">
      <alignment horizontal="right"/>
    </xf>
    <xf numFmtId="0" fontId="9" fillId="0" borderId="3" xfId="0" applyFont="1" applyBorder="1" applyAlignment="1">
      <alignment horizontal="center"/>
    </xf>
    <xf numFmtId="175" fontId="11" fillId="0" borderId="4" xfId="0" applyNumberFormat="1" applyFont="1" applyBorder="1" applyAlignment="1">
      <alignment horizontal="center"/>
    </xf>
    <xf numFmtId="0" fontId="9" fillId="0" borderId="47" xfId="0" applyFont="1" applyBorder="1" applyAlignment="1">
      <alignment horizontal="center"/>
    </xf>
    <xf numFmtId="175" fontId="11" fillId="0" borderId="18" xfId="0" applyNumberFormat="1" applyFont="1" applyBorder="1" applyAlignment="1">
      <alignment horizontal="center"/>
    </xf>
    <xf numFmtId="0" fontId="9" fillId="0" borderId="0" xfId="0" applyFont="1" applyAlignment="1">
      <alignment horizontal="right"/>
    </xf>
    <xf numFmtId="0" fontId="27" fillId="3" borderId="0" xfId="0" applyFont="1" applyFill="1"/>
    <xf numFmtId="173" fontId="9" fillId="0" borderId="13" xfId="0" applyNumberFormat="1" applyFont="1" applyBorder="1" applyAlignment="1">
      <alignment horizontal="center"/>
    </xf>
    <xf numFmtId="0" fontId="9" fillId="0" borderId="0" xfId="0" applyFont="1" applyAlignment="1">
      <alignment horizontal="left" indent="1"/>
    </xf>
    <xf numFmtId="1" fontId="9" fillId="0" borderId="13" xfId="0" applyNumberFormat="1" applyFont="1" applyBorder="1" applyAlignment="1">
      <alignment horizontal="center"/>
    </xf>
    <xf numFmtId="0" fontId="11" fillId="0" borderId="0" xfId="0" applyFont="1" applyAlignment="1">
      <alignment horizontal="left" indent="3"/>
    </xf>
    <xf numFmtId="0" fontId="27" fillId="6" borderId="0" xfId="0" applyFont="1" applyFill="1" applyAlignment="1">
      <alignment horizontal="center"/>
    </xf>
    <xf numFmtId="0" fontId="9" fillId="0" borderId="0" xfId="0" applyFont="1" applyAlignment="1">
      <alignment horizontal="left" indent="3"/>
    </xf>
    <xf numFmtId="0" fontId="28" fillId="0" borderId="0" xfId="0" applyFont="1" applyAlignment="1">
      <alignment horizontal="center"/>
    </xf>
    <xf numFmtId="0" fontId="13" fillId="0" borderId="0" xfId="0" applyFont="1" applyAlignment="1">
      <alignment horizontal="centerContinuous" vertical="center"/>
    </xf>
    <xf numFmtId="0" fontId="13" fillId="3" borderId="0" xfId="0" applyFont="1" applyFill="1" applyAlignment="1">
      <alignment vertical="center"/>
    </xf>
    <xf numFmtId="0" fontId="9" fillId="0" borderId="51" xfId="0" applyFont="1" applyBorder="1"/>
    <xf numFmtId="0" fontId="27" fillId="0" borderId="0" xfId="0" applyFont="1" applyAlignment="1">
      <alignment horizontal="center"/>
    </xf>
    <xf numFmtId="174" fontId="9" fillId="0" borderId="0" xfId="0" applyNumberFormat="1" applyFont="1"/>
    <xf numFmtId="174" fontId="9" fillId="0" borderId="13" xfId="0" applyNumberFormat="1" applyFont="1" applyBorder="1" applyAlignment="1">
      <alignment horizontal="center"/>
    </xf>
    <xf numFmtId="0" fontId="12" fillId="0" borderId="0" xfId="0" applyFont="1" applyAlignment="1">
      <alignment horizontal="left" indent="6"/>
    </xf>
    <xf numFmtId="0" fontId="11" fillId="0" borderId="13" xfId="0" applyFont="1" applyBorder="1" applyAlignment="1">
      <alignment horizontal="left" indent="1"/>
    </xf>
    <xf numFmtId="0" fontId="12" fillId="0" borderId="0" xfId="0" applyFont="1" applyAlignment="1">
      <alignment horizontal="left" indent="5"/>
    </xf>
    <xf numFmtId="0" fontId="30" fillId="0" borderId="65" xfId="0" applyFont="1" applyBorder="1"/>
    <xf numFmtId="0" fontId="9" fillId="0" borderId="65" xfId="0" applyFont="1" applyBorder="1"/>
    <xf numFmtId="0" fontId="31" fillId="0" borderId="65" xfId="0" applyFont="1" applyBorder="1"/>
    <xf numFmtId="0" fontId="30" fillId="0" borderId="0" xfId="0" applyFont="1"/>
    <xf numFmtId="0" fontId="13" fillId="0" borderId="0" xfId="0" applyFont="1" applyAlignment="1">
      <alignment horizontal="center" vertical="center"/>
    </xf>
    <xf numFmtId="0" fontId="4" fillId="0" borderId="0" xfId="0" applyFont="1" applyAlignment="1">
      <alignment horizontal="center"/>
    </xf>
    <xf numFmtId="0" fontId="4" fillId="7" borderId="2" xfId="0" applyFont="1" applyFill="1" applyBorder="1"/>
    <xf numFmtId="0" fontId="7" fillId="7" borderId="5" xfId="0" applyFont="1" applyFill="1" applyBorder="1" applyAlignment="1">
      <alignment vertical="top"/>
    </xf>
    <xf numFmtId="0" fontId="7" fillId="7" borderId="82" xfId="0" applyFont="1" applyFill="1" applyBorder="1" applyAlignment="1">
      <alignment vertical="top"/>
    </xf>
    <xf numFmtId="0" fontId="4" fillId="3" borderId="0" xfId="0" applyFont="1" applyFill="1"/>
    <xf numFmtId="0" fontId="30" fillId="0" borderId="0" xfId="0" applyFont="1" applyAlignment="1">
      <alignment horizontal="center"/>
    </xf>
    <xf numFmtId="0" fontId="31" fillId="0" borderId="0" xfId="0" applyFont="1"/>
    <xf numFmtId="0" fontId="4" fillId="2" borderId="20" xfId="0" applyFont="1" applyFill="1" applyBorder="1" applyAlignment="1">
      <alignment horizontal="center" vertical="center"/>
    </xf>
    <xf numFmtId="0" fontId="4" fillId="0" borderId="0" xfId="0" applyFont="1" applyAlignment="1">
      <alignment horizontal="center" vertical="center"/>
    </xf>
    <xf numFmtId="0" fontId="4" fillId="0" borderId="54" xfId="0" applyFont="1" applyBorder="1" applyAlignment="1">
      <alignment horizontal="center" vertical="center"/>
    </xf>
    <xf numFmtId="0" fontId="4" fillId="0" borderId="83" xfId="0" applyFont="1" applyBorder="1" applyAlignment="1">
      <alignment horizontal="center" vertical="center"/>
    </xf>
    <xf numFmtId="0" fontId="9" fillId="3" borderId="0" xfId="0" applyFont="1" applyFill="1" applyAlignment="1">
      <alignment vertical="center"/>
    </xf>
    <xf numFmtId="0" fontId="9" fillId="0" borderId="0" xfId="0" applyFont="1" applyAlignment="1">
      <alignment horizontal="center" vertical="center"/>
    </xf>
    <xf numFmtId="0" fontId="9" fillId="0" borderId="0" xfId="0" applyFont="1" applyAlignment="1">
      <alignment horizontal="left" vertical="center"/>
    </xf>
    <xf numFmtId="0" fontId="9" fillId="0" borderId="0" xfId="0" applyFont="1" applyAlignment="1">
      <alignment vertical="center"/>
    </xf>
    <xf numFmtId="0" fontId="4" fillId="0" borderId="42" xfId="0" applyFont="1" applyBorder="1" applyAlignment="1">
      <alignment horizontal="center" vertical="center"/>
    </xf>
    <xf numFmtId="0" fontId="35" fillId="0" borderId="84" xfId="0" applyFont="1" applyBorder="1" applyAlignment="1">
      <alignment horizontal="center" vertical="center" wrapText="1" indent="1"/>
    </xf>
    <xf numFmtId="0" fontId="13" fillId="0" borderId="84" xfId="0" applyFont="1" applyBorder="1" applyAlignment="1">
      <alignment horizontal="left" vertical="center" wrapText="1" indent="1"/>
    </xf>
    <xf numFmtId="0" fontId="13" fillId="0" borderId="85" xfId="0" applyFont="1" applyBorder="1" applyAlignment="1">
      <alignment horizontal="left" vertical="center" wrapText="1" indent="1"/>
    </xf>
    <xf numFmtId="0" fontId="9" fillId="3" borderId="0" xfId="0" applyFont="1" applyFill="1" applyAlignment="1">
      <alignment horizontal="left" vertical="center" indent="1"/>
    </xf>
    <xf numFmtId="0" fontId="36" fillId="0" borderId="5" xfId="0" applyFont="1" applyBorder="1" applyAlignment="1">
      <alignment vertical="center"/>
    </xf>
    <xf numFmtId="0" fontId="9" fillId="0" borderId="5" xfId="0" applyFont="1" applyBorder="1" applyAlignment="1">
      <alignment vertical="center"/>
    </xf>
    <xf numFmtId="0" fontId="11" fillId="0" borderId="4" xfId="0" applyFont="1" applyBorder="1" applyAlignment="1">
      <alignment horizontal="right" vertical="center"/>
    </xf>
    <xf numFmtId="0" fontId="11" fillId="3" borderId="0" xfId="0" applyFont="1" applyFill="1" applyAlignment="1">
      <alignment horizontal="right" vertical="center"/>
    </xf>
    <xf numFmtId="0" fontId="9" fillId="3" borderId="0" xfId="0" applyFont="1" applyFill="1" applyAlignment="1">
      <alignment horizontal="left" vertical="top" indent="1"/>
    </xf>
    <xf numFmtId="0" fontId="9" fillId="0" borderId="0" xfId="0" applyFont="1" applyAlignment="1">
      <alignment vertical="top" wrapText="1"/>
    </xf>
    <xf numFmtId="0" fontId="11" fillId="0" borderId="0" xfId="0" applyFont="1" applyAlignment="1">
      <alignment horizontal="left" indent="10"/>
    </xf>
    <xf numFmtId="0" fontId="0" fillId="0" borderId="0" xfId="0" applyAlignment="1">
      <alignment horizontal="centerContinuous"/>
    </xf>
    <xf numFmtId="164" fontId="11" fillId="0" borderId="86" xfId="0" applyNumberFormat="1" applyFont="1" applyBorder="1" applyAlignment="1">
      <alignment horizontal="left" vertical="center"/>
    </xf>
    <xf numFmtId="0" fontId="11" fillId="0" borderId="42" xfId="0" applyFont="1" applyBorder="1" applyAlignment="1">
      <alignment vertical="center"/>
    </xf>
    <xf numFmtId="0" fontId="11" fillId="0" borderId="86" xfId="0" applyFont="1" applyBorder="1" applyAlignment="1">
      <alignment horizontal="left"/>
    </xf>
    <xf numFmtId="0" fontId="0" fillId="0" borderId="51" xfId="0" applyBorder="1" applyAlignment="1">
      <alignment horizontal="left"/>
    </xf>
    <xf numFmtId="0" fontId="0" fillId="0" borderId="51" xfId="0" applyBorder="1"/>
    <xf numFmtId="0" fontId="11" fillId="0" borderId="87" xfId="0" applyFont="1" applyBorder="1" applyAlignment="1">
      <alignment horizontal="centerContinuous" vertical="center"/>
    </xf>
    <xf numFmtId="0" fontId="11" fillId="0" borderId="88" xfId="0" applyFont="1" applyBorder="1" applyAlignment="1">
      <alignment horizontal="centerContinuous" vertical="center"/>
    </xf>
    <xf numFmtId="0" fontId="0" fillId="0" borderId="89" xfId="0" applyBorder="1"/>
    <xf numFmtId="0" fontId="0" fillId="0" borderId="90" xfId="0" applyBorder="1"/>
    <xf numFmtId="0" fontId="11" fillId="0" borderId="28" xfId="0" applyFont="1" applyBorder="1" applyAlignment="1">
      <alignment horizontal="center" vertical="center" wrapText="1"/>
    </xf>
    <xf numFmtId="0" fontId="11" fillId="0" borderId="29" xfId="0" applyFont="1" applyBorder="1" applyAlignment="1">
      <alignment horizontal="center" vertical="center" wrapText="1"/>
    </xf>
    <xf numFmtId="0" fontId="11" fillId="0" borderId="44" xfId="0" applyFont="1" applyBorder="1" applyAlignment="1">
      <alignment horizontal="center" vertical="center"/>
    </xf>
    <xf numFmtId="0" fontId="11" fillId="0" borderId="26" xfId="0" applyFont="1" applyBorder="1" applyAlignment="1">
      <alignment horizontal="center" vertical="center" wrapText="1"/>
    </xf>
    <xf numFmtId="0" fontId="11" fillId="0" borderId="27" xfId="0" applyFont="1" applyBorder="1" applyAlignment="1">
      <alignment horizontal="center" vertical="center" wrapText="1"/>
    </xf>
    <xf numFmtId="0" fontId="11" fillId="4" borderId="26" xfId="0" applyFont="1" applyFill="1" applyBorder="1" applyAlignment="1">
      <alignment horizontal="center" vertical="center" wrapText="1"/>
    </xf>
    <xf numFmtId="0" fontId="11" fillId="4" borderId="27" xfId="0" applyFont="1" applyFill="1" applyBorder="1" applyAlignment="1">
      <alignment horizontal="center" vertical="center" wrapText="1"/>
    </xf>
    <xf numFmtId="0" fontId="11" fillId="3" borderId="0" xfId="0" applyFont="1" applyFill="1" applyAlignment="1">
      <alignment horizontal="center" vertical="center" textRotation="90"/>
    </xf>
    <xf numFmtId="0" fontId="11" fillId="0" borderId="44" xfId="0" applyFont="1" applyBorder="1" applyAlignment="1">
      <alignment horizontal="right"/>
    </xf>
    <xf numFmtId="0" fontId="11" fillId="0" borderId="26" xfId="0" applyFont="1" applyBorder="1" applyAlignment="1">
      <alignment horizontal="right"/>
    </xf>
    <xf numFmtId="0" fontId="11" fillId="0" borderId="28" xfId="0" applyFont="1" applyBorder="1" applyAlignment="1">
      <alignment horizontal="right"/>
    </xf>
    <xf numFmtId="0" fontId="11" fillId="0" borderId="27" xfId="0" applyFont="1" applyBorder="1" applyAlignment="1">
      <alignment horizontal="right"/>
    </xf>
    <xf numFmtId="0" fontId="11" fillId="0" borderId="29" xfId="0" applyFont="1" applyBorder="1" applyAlignment="1">
      <alignment horizontal="right"/>
    </xf>
    <xf numFmtId="0" fontId="11" fillId="3" borderId="0" xfId="0" applyFont="1" applyFill="1" applyAlignment="1">
      <alignment horizontal="right"/>
    </xf>
    <xf numFmtId="0" fontId="19" fillId="0" borderId="0" xfId="0" applyFont="1" applyAlignment="1">
      <alignment horizontal="center"/>
    </xf>
    <xf numFmtId="2" fontId="20" fillId="3" borderId="0" xfId="0" applyNumberFormat="1" applyFont="1" applyFill="1"/>
    <xf numFmtId="169" fontId="11" fillId="0" borderId="91" xfId="0" applyNumberFormat="1" applyFont="1" applyBorder="1" applyAlignment="1">
      <alignment horizontal="center"/>
    </xf>
    <xf numFmtId="2" fontId="20" fillId="0" borderId="4" xfId="0" applyNumberFormat="1" applyFont="1" applyBorder="1" applyAlignment="1">
      <alignment horizontal="right"/>
    </xf>
    <xf numFmtId="2" fontId="20" fillId="0" borderId="5" xfId="0" applyNumberFormat="1" applyFont="1" applyBorder="1" applyAlignment="1">
      <alignment horizontal="right"/>
    </xf>
    <xf numFmtId="2" fontId="20" fillId="0" borderId="92" xfId="0" applyNumberFormat="1" applyFont="1" applyBorder="1" applyAlignment="1">
      <alignment horizontal="right"/>
    </xf>
    <xf numFmtId="2" fontId="20" fillId="0" borderId="82" xfId="0" applyNumberFormat="1" applyFont="1" applyBorder="1" applyAlignment="1">
      <alignment horizontal="right"/>
    </xf>
    <xf numFmtId="169" fontId="20" fillId="0" borderId="82" xfId="0" applyNumberFormat="1" applyFont="1" applyBorder="1" applyAlignment="1">
      <alignment horizontal="right"/>
    </xf>
    <xf numFmtId="2" fontId="20" fillId="0" borderId="71" xfId="0" applyNumberFormat="1" applyFont="1" applyBorder="1" applyAlignment="1">
      <alignment horizontal="right"/>
    </xf>
    <xf numFmtId="0" fontId="20" fillId="3" borderId="0" xfId="0" applyFont="1" applyFill="1"/>
    <xf numFmtId="166" fontId="20" fillId="0" borderId="4" xfId="0" applyNumberFormat="1" applyFont="1" applyBorder="1" applyAlignment="1">
      <alignment horizontal="right"/>
    </xf>
    <xf numFmtId="174" fontId="20" fillId="0" borderId="92" xfId="0" applyNumberFormat="1" applyFont="1" applyBorder="1" applyAlignment="1">
      <alignment horizontal="right"/>
    </xf>
    <xf numFmtId="174" fontId="20" fillId="0" borderId="82" xfId="0" applyNumberFormat="1" applyFont="1" applyBorder="1" applyAlignment="1">
      <alignment horizontal="right"/>
    </xf>
    <xf numFmtId="0" fontId="19" fillId="0" borderId="93" xfId="0" applyFont="1" applyBorder="1" applyAlignment="1">
      <alignment horizontal="center"/>
    </xf>
    <xf numFmtId="169" fontId="11" fillId="0" borderId="94" xfId="0" applyNumberFormat="1" applyFont="1" applyBorder="1" applyAlignment="1">
      <alignment horizontal="center"/>
    </xf>
    <xf numFmtId="166" fontId="20" fillId="0" borderId="95" xfId="0" applyNumberFormat="1" applyFont="1" applyBorder="1" applyAlignment="1">
      <alignment horizontal="right"/>
    </xf>
    <xf numFmtId="2" fontId="20" fillId="0" borderId="95" xfId="0" applyNumberFormat="1" applyFont="1" applyBorder="1" applyAlignment="1">
      <alignment horizontal="right"/>
    </xf>
    <xf numFmtId="2" fontId="20" fillId="0" borderId="96" xfId="0" applyNumberFormat="1" applyFont="1" applyBorder="1" applyAlignment="1">
      <alignment horizontal="right"/>
    </xf>
    <xf numFmtId="174" fontId="20" fillId="0" borderId="97" xfId="0" applyNumberFormat="1" applyFont="1" applyBorder="1" applyAlignment="1">
      <alignment horizontal="right"/>
    </xf>
    <xf numFmtId="174" fontId="20" fillId="0" borderId="98" xfId="0" applyNumberFormat="1" applyFont="1" applyBorder="1" applyAlignment="1">
      <alignment horizontal="right"/>
    </xf>
    <xf numFmtId="2" fontId="20" fillId="0" borderId="98" xfId="0" applyNumberFormat="1" applyFont="1" applyBorder="1" applyAlignment="1">
      <alignment horizontal="right"/>
    </xf>
    <xf numFmtId="169" fontId="20" fillId="0" borderId="98" xfId="0" applyNumberFormat="1" applyFont="1" applyBorder="1" applyAlignment="1">
      <alignment horizontal="right"/>
    </xf>
    <xf numFmtId="2" fontId="20" fillId="0" borderId="99" xfId="0" applyNumberFormat="1" applyFont="1" applyBorder="1" applyAlignment="1">
      <alignment horizontal="right"/>
    </xf>
    <xf numFmtId="181" fontId="4" fillId="0" borderId="0" xfId="0" applyNumberFormat="1" applyFont="1" applyAlignment="1">
      <alignment horizontal="center"/>
    </xf>
    <xf numFmtId="164" fontId="11" fillId="0" borderId="1" xfId="0" applyNumberFormat="1" applyFont="1" applyBorder="1" applyAlignment="1">
      <alignment horizontal="centerContinuous"/>
    </xf>
    <xf numFmtId="164" fontId="11" fillId="0" borderId="42" xfId="0" applyNumberFormat="1" applyFont="1" applyBorder="1" applyAlignment="1">
      <alignment horizontal="centerContinuous"/>
    </xf>
    <xf numFmtId="164" fontId="11" fillId="0" borderId="50" xfId="0" applyNumberFormat="1" applyFont="1" applyBorder="1" applyAlignment="1">
      <alignment horizontal="centerContinuous"/>
    </xf>
    <xf numFmtId="49" fontId="11" fillId="0" borderId="0" xfId="0" applyNumberFormat="1" applyFont="1" applyAlignment="1">
      <alignment horizontal="center"/>
    </xf>
    <xf numFmtId="0" fontId="12" fillId="0" borderId="0" xfId="0" applyFont="1" applyAlignment="1">
      <alignment horizontal="center" vertical="center"/>
    </xf>
    <xf numFmtId="0" fontId="11" fillId="0" borderId="0" xfId="0" applyFont="1" applyAlignment="1">
      <alignment horizontal="center" vertical="center"/>
    </xf>
    <xf numFmtId="0" fontId="11" fillId="0" borderId="0" xfId="0" applyFont="1" applyAlignment="1">
      <alignment horizontal="centerContinuous" vertical="center"/>
    </xf>
    <xf numFmtId="0" fontId="11" fillId="0" borderId="56" xfId="0" applyFont="1" applyBorder="1" applyAlignment="1">
      <alignment horizontal="center" vertical="center"/>
    </xf>
    <xf numFmtId="0" fontId="36" fillId="0" borderId="0" xfId="0" applyFont="1" applyAlignment="1">
      <alignment horizontal="center"/>
    </xf>
    <xf numFmtId="49" fontId="11" fillId="0" borderId="0" xfId="0" applyNumberFormat="1" applyFont="1" applyAlignment="1">
      <alignment horizontal="left"/>
    </xf>
    <xf numFmtId="0" fontId="24" fillId="0" borderId="0" xfId="0" applyFont="1" applyAlignment="1">
      <alignment horizontal="left" indent="1"/>
    </xf>
    <xf numFmtId="0" fontId="24" fillId="0" borderId="0" xfId="0" applyFont="1" applyAlignment="1">
      <alignment horizontal="left"/>
    </xf>
    <xf numFmtId="0" fontId="0" fillId="0" borderId="66" xfId="0" applyBorder="1" applyAlignment="1">
      <alignment horizontal="centerContinuous"/>
    </xf>
    <xf numFmtId="0" fontId="11" fillId="0" borderId="46" xfId="0" applyFont="1" applyBorder="1" applyAlignment="1">
      <alignment horizontal="centerContinuous" vertical="center" wrapText="1"/>
    </xf>
    <xf numFmtId="0" fontId="11" fillId="0" borderId="33"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100" xfId="0" applyFont="1" applyBorder="1" applyAlignment="1">
      <alignment horizontal="center" vertical="center" wrapText="1"/>
    </xf>
    <xf numFmtId="0" fontId="11" fillId="0" borderId="5" xfId="0" applyFont="1" applyBorder="1" applyAlignment="1">
      <alignment horizontal="center" vertical="center" wrapText="1"/>
    </xf>
    <xf numFmtId="0" fontId="11" fillId="0" borderId="2" xfId="0" applyFont="1" applyBorder="1" applyAlignment="1">
      <alignment horizontal="center" vertical="center" wrapText="1"/>
    </xf>
    <xf numFmtId="0" fontId="11" fillId="0" borderId="46" xfId="0" applyFont="1" applyBorder="1" applyAlignment="1">
      <alignment horizontal="center" vertical="center" wrapText="1"/>
    </xf>
    <xf numFmtId="0" fontId="11" fillId="0" borderId="34" xfId="0" applyFont="1" applyBorder="1" applyAlignment="1">
      <alignment horizontal="center" vertical="center" wrapText="1"/>
    </xf>
    <xf numFmtId="0" fontId="11" fillId="0" borderId="101" xfId="0" applyFont="1" applyBorder="1" applyAlignment="1">
      <alignment horizontal="center" vertical="center" wrapText="1"/>
    </xf>
    <xf numFmtId="0" fontId="0" fillId="3" borderId="0" xfId="0" applyFill="1" applyAlignment="1">
      <alignment horizontal="center" vertical="center" wrapText="1"/>
    </xf>
    <xf numFmtId="0" fontId="11" fillId="0" borderId="46" xfId="0" applyFont="1" applyBorder="1" applyAlignment="1">
      <alignment horizontal="right" vertical="center" wrapText="1"/>
    </xf>
    <xf numFmtId="0" fontId="11" fillId="0" borderId="33" xfId="0" applyFont="1" applyBorder="1" applyAlignment="1">
      <alignment horizontal="right" vertical="center" wrapText="1"/>
    </xf>
    <xf numFmtId="0" fontId="11" fillId="0" borderId="4" xfId="0" applyFont="1" applyBorder="1" applyAlignment="1">
      <alignment horizontal="right" vertical="center" wrapText="1"/>
    </xf>
    <xf numFmtId="0" fontId="11" fillId="0" borderId="5" xfId="0" applyFont="1" applyBorder="1" applyAlignment="1">
      <alignment horizontal="right" vertical="center" wrapText="1"/>
    </xf>
    <xf numFmtId="0" fontId="11" fillId="0" borderId="34" xfId="0" applyFont="1" applyBorder="1" applyAlignment="1">
      <alignment horizontal="right" vertical="center" wrapText="1"/>
    </xf>
    <xf numFmtId="0" fontId="11" fillId="0" borderId="102" xfId="0" applyFont="1" applyBorder="1" applyAlignment="1">
      <alignment horizontal="right" vertical="center" wrapText="1"/>
    </xf>
    <xf numFmtId="0" fontId="11" fillId="0" borderId="62" xfId="0" applyFont="1" applyBorder="1" applyAlignment="1">
      <alignment horizontal="right" vertical="center" wrapText="1"/>
    </xf>
    <xf numFmtId="0" fontId="11" fillId="0" borderId="101" xfId="0" applyFont="1" applyBorder="1" applyAlignment="1">
      <alignment horizontal="right" vertical="center" wrapText="1"/>
    </xf>
    <xf numFmtId="0" fontId="0" fillId="3" borderId="0" xfId="0" applyFill="1" applyAlignment="1">
      <alignment horizontal="right" vertical="center" wrapText="1"/>
    </xf>
    <xf numFmtId="171" fontId="11" fillId="0" borderId="2" xfId="1" applyNumberFormat="1" applyFont="1" applyBorder="1" applyAlignment="1">
      <alignment horizontal="right"/>
    </xf>
    <xf numFmtId="167" fontId="11" fillId="3" borderId="34" xfId="1" applyNumberFormat="1" applyFont="1" applyFill="1" applyBorder="1" applyAlignment="1">
      <alignment horizontal="right"/>
    </xf>
    <xf numFmtId="171" fontId="11" fillId="0" borderId="5" xfId="1" applyNumberFormat="1" applyFont="1" applyBorder="1" applyAlignment="1">
      <alignment horizontal="right"/>
    </xf>
    <xf numFmtId="2" fontId="11" fillId="3" borderId="34" xfId="1" applyNumberFormat="1" applyFont="1" applyFill="1" applyBorder="1" applyAlignment="1">
      <alignment horizontal="right"/>
    </xf>
    <xf numFmtId="171" fontId="11" fillId="0" borderId="35" xfId="1" applyNumberFormat="1" applyFont="1" applyBorder="1" applyAlignment="1">
      <alignment horizontal="right"/>
    </xf>
    <xf numFmtId="1" fontId="11" fillId="3" borderId="4" xfId="1" applyNumberFormat="1" applyFont="1" applyFill="1" applyBorder="1" applyAlignment="1">
      <alignment horizontal="right"/>
    </xf>
    <xf numFmtId="1" fontId="11" fillId="3" borderId="34" xfId="1" applyNumberFormat="1" applyFont="1" applyFill="1" applyBorder="1" applyAlignment="1">
      <alignment horizontal="right"/>
    </xf>
    <xf numFmtId="169" fontId="11" fillId="3" borderId="34" xfId="1" applyNumberFormat="1" applyFont="1" applyFill="1" applyBorder="1" applyAlignment="1">
      <alignment horizontal="right"/>
    </xf>
    <xf numFmtId="169" fontId="11" fillId="3" borderId="101" xfId="1" applyNumberFormat="1" applyFont="1" applyFill="1" applyBorder="1" applyAlignment="1">
      <alignment horizontal="right"/>
    </xf>
    <xf numFmtId="2" fontId="11" fillId="0" borderId="0" xfId="0" applyNumberFormat="1" applyFont="1" applyAlignment="1">
      <alignment horizontal="center"/>
    </xf>
    <xf numFmtId="2" fontId="11" fillId="0" borderId="55" xfId="0" applyNumberFormat="1" applyFont="1" applyBorder="1" applyAlignment="1">
      <alignment horizontal="center"/>
    </xf>
    <xf numFmtId="0" fontId="12" fillId="0" borderId="103" xfId="0" applyFont="1" applyBorder="1" applyAlignment="1">
      <alignment horizontal="centerContinuous"/>
    </xf>
    <xf numFmtId="2" fontId="12" fillId="0" borderId="0" xfId="0" applyNumberFormat="1" applyFont="1" applyAlignment="1">
      <alignment horizontal="center"/>
    </xf>
    <xf numFmtId="0" fontId="11" fillId="0" borderId="2" xfId="0" applyFont="1" applyBorder="1" applyAlignment="1">
      <alignment horizontal="left" indent="2"/>
    </xf>
    <xf numFmtId="0" fontId="11" fillId="0" borderId="82" xfId="0" applyFont="1" applyBorder="1" applyAlignment="1">
      <alignment horizontal="left" indent="2"/>
    </xf>
    <xf numFmtId="49" fontId="12" fillId="0" borderId="55" xfId="0" applyNumberFormat="1" applyFont="1" applyBorder="1" applyAlignment="1">
      <alignment horizontal="center"/>
    </xf>
    <xf numFmtId="0" fontId="0" fillId="0" borderId="17" xfId="0" applyBorder="1"/>
    <xf numFmtId="0" fontId="36" fillId="0" borderId="19" xfId="0" applyFont="1" applyBorder="1" applyAlignment="1">
      <alignment horizontal="center"/>
    </xf>
    <xf numFmtId="0" fontId="12" fillId="0" borderId="0" xfId="0" applyFont="1" applyAlignment="1">
      <alignment horizontal="left" vertical="center"/>
    </xf>
    <xf numFmtId="0" fontId="11" fillId="0" borderId="48" xfId="0" applyFont="1" applyBorder="1"/>
    <xf numFmtId="0" fontId="12" fillId="0" borderId="48" xfId="0" applyFont="1" applyBorder="1"/>
    <xf numFmtId="0" fontId="11" fillId="0" borderId="5" xfId="0" applyFont="1" applyBorder="1" applyAlignment="1">
      <alignment horizontal="left" indent="1"/>
    </xf>
    <xf numFmtId="0" fontId="11" fillId="0" borderId="5" xfId="0" applyFont="1" applyBorder="1"/>
    <xf numFmtId="0" fontId="9" fillId="0" borderId="4" xfId="0" applyFont="1" applyBorder="1" applyAlignment="1">
      <alignment horizontal="left"/>
    </xf>
    <xf numFmtId="0" fontId="11" fillId="0" borderId="3" xfId="0" applyFont="1" applyBorder="1" applyAlignment="1">
      <alignment horizontal="left"/>
    </xf>
    <xf numFmtId="0" fontId="11" fillId="0" borderId="4" xfId="0" applyFont="1" applyBorder="1" applyAlignment="1">
      <alignment horizontal="left"/>
    </xf>
    <xf numFmtId="0" fontId="11" fillId="3" borderId="0" xfId="0" applyFont="1" applyFill="1" applyAlignment="1">
      <alignment horizontal="left"/>
    </xf>
    <xf numFmtId="164" fontId="11" fillId="0" borderId="13" xfId="0" applyNumberFormat="1" applyFont="1" applyBorder="1" applyAlignment="1">
      <alignment horizontal="centerContinuous" vertical="center"/>
    </xf>
    <xf numFmtId="164" fontId="11" fillId="0" borderId="0" xfId="0" applyNumberFormat="1" applyFont="1" applyAlignment="1">
      <alignment horizontal="left" vertical="center"/>
    </xf>
    <xf numFmtId="0" fontId="12" fillId="0" borderId="42" xfId="0" applyFont="1" applyBorder="1" applyAlignment="1">
      <alignment horizontal="left" vertical="center"/>
    </xf>
    <xf numFmtId="0" fontId="11" fillId="0" borderId="43" xfId="0" applyFont="1" applyBorder="1" applyAlignment="1">
      <alignment vertical="center"/>
    </xf>
    <xf numFmtId="0" fontId="11" fillId="0" borderId="13" xfId="0" applyFont="1" applyBorder="1" applyAlignment="1">
      <alignment horizontal="centerContinuous" vertical="center"/>
    </xf>
    <xf numFmtId="0" fontId="0" fillId="0" borderId="0" xfId="0" applyAlignment="1">
      <alignment horizontal="centerContinuous" vertical="center"/>
    </xf>
    <xf numFmtId="0" fontId="11" fillId="0" borderId="51" xfId="0" applyFont="1" applyBorder="1" applyAlignment="1">
      <alignment horizontal="centerContinuous" vertical="center"/>
    </xf>
    <xf numFmtId="0" fontId="11" fillId="0" borderId="21" xfId="0" applyFont="1" applyBorder="1" applyAlignment="1">
      <alignment horizontal="centerContinuous" vertical="center"/>
    </xf>
    <xf numFmtId="0" fontId="41" fillId="0" borderId="0" xfId="0" applyFont="1" applyAlignment="1">
      <alignment horizontal="left" vertical="center" indent="1"/>
    </xf>
    <xf numFmtId="0" fontId="17" fillId="0" borderId="0" xfId="0" applyFont="1"/>
    <xf numFmtId="0" fontId="11" fillId="0" borderId="0" xfId="0" applyFont="1" applyAlignment="1">
      <alignment horizontal="left" vertical="center" indent="1"/>
    </xf>
    <xf numFmtId="0" fontId="11" fillId="4" borderId="70" xfId="0" applyFont="1" applyFill="1" applyBorder="1"/>
    <xf numFmtId="0" fontId="11" fillId="4" borderId="70" xfId="0" applyFont="1" applyFill="1" applyBorder="1" applyAlignment="1">
      <alignment horizontal="centerContinuous" vertical="center"/>
    </xf>
    <xf numFmtId="0" fontId="11" fillId="0" borderId="70" xfId="0" applyFont="1" applyBorder="1" applyAlignment="1">
      <alignment horizontal="centerContinuous" vertical="center"/>
    </xf>
    <xf numFmtId="0" fontId="11" fillId="4" borderId="70" xfId="0" applyFont="1" applyFill="1" applyBorder="1" applyAlignment="1">
      <alignment horizontal="center" vertical="center" wrapText="1"/>
    </xf>
    <xf numFmtId="0" fontId="11" fillId="4" borderId="65" xfId="0" applyFont="1" applyFill="1" applyBorder="1" applyAlignment="1">
      <alignment horizontal="center" vertical="center" wrapText="1"/>
    </xf>
    <xf numFmtId="0" fontId="0" fillId="4" borderId="65" xfId="0" applyFill="1" applyBorder="1" applyAlignment="1">
      <alignment horizontal="center" vertical="center" wrapText="1"/>
    </xf>
    <xf numFmtId="0" fontId="11" fillId="4" borderId="70" xfId="0" applyFont="1" applyFill="1" applyBorder="1" applyAlignment="1">
      <alignment horizontal="center" vertical="top" wrapText="1"/>
    </xf>
    <xf numFmtId="0" fontId="0" fillId="0" borderId="65" xfId="0" applyBorder="1" applyAlignment="1">
      <alignment wrapText="1"/>
    </xf>
    <xf numFmtId="0" fontId="11" fillId="0" borderId="104" xfId="0" applyFont="1" applyBorder="1" applyAlignment="1">
      <alignment horizontal="center" vertical="center" wrapText="1"/>
    </xf>
    <xf numFmtId="0" fontId="0" fillId="0" borderId="70" xfId="0" applyBorder="1" applyAlignment="1">
      <alignment vertical="center" wrapText="1"/>
    </xf>
    <xf numFmtId="0" fontId="11" fillId="0" borderId="70" xfId="0" applyFont="1" applyBorder="1" applyAlignment="1">
      <alignment horizontal="left" vertical="center"/>
    </xf>
    <xf numFmtId="0" fontId="11" fillId="0" borderId="67" xfId="0" applyFont="1" applyBorder="1" applyAlignment="1">
      <alignment horizontal="left" vertical="center"/>
    </xf>
    <xf numFmtId="0" fontId="11" fillId="4" borderId="54" xfId="0" applyFont="1" applyFill="1" applyBorder="1" applyAlignment="1">
      <alignment horizontal="center" vertical="top" wrapText="1"/>
    </xf>
    <xf numFmtId="0" fontId="11" fillId="0" borderId="54" xfId="0" applyFont="1" applyBorder="1" applyAlignment="1">
      <alignment horizontal="center" vertical="top" wrapText="1"/>
    </xf>
    <xf numFmtId="0" fontId="11" fillId="0" borderId="0" xfId="0" applyFont="1" applyAlignment="1">
      <alignment horizontal="center" vertical="top" wrapText="1"/>
    </xf>
    <xf numFmtId="0" fontId="11" fillId="0" borderId="55" xfId="0" applyFont="1" applyBorder="1" applyAlignment="1">
      <alignment horizontal="center" vertical="top" wrapText="1"/>
    </xf>
    <xf numFmtId="0" fontId="9" fillId="4" borderId="4" xfId="0" applyFont="1" applyFill="1" applyBorder="1" applyAlignment="1">
      <alignment horizontal="left"/>
    </xf>
    <xf numFmtId="0" fontId="11" fillId="4" borderId="83" xfId="0" applyFont="1" applyFill="1" applyBorder="1" applyAlignment="1">
      <alignment horizontal="center" vertical="center" wrapText="1"/>
    </xf>
    <xf numFmtId="0" fontId="11" fillId="4" borderId="4" xfId="0" applyFont="1" applyFill="1" applyBorder="1" applyAlignment="1">
      <alignment horizontal="center" vertical="center" wrapText="1"/>
    </xf>
    <xf numFmtId="181" fontId="11" fillId="0" borderId="4" xfId="0" applyNumberFormat="1" applyFont="1" applyBorder="1" applyAlignment="1">
      <alignment horizontal="center" vertical="center"/>
    </xf>
    <xf numFmtId="0" fontId="9" fillId="0" borderId="6" xfId="0" applyFont="1" applyBorder="1" applyAlignment="1">
      <alignment horizontal="left" vertical="center"/>
    </xf>
    <xf numFmtId="174" fontId="11" fillId="0" borderId="65" xfId="0" applyNumberFormat="1" applyFont="1" applyBorder="1"/>
    <xf numFmtId="2" fontId="11" fillId="0" borderId="65" xfId="0" applyNumberFormat="1" applyFont="1" applyBorder="1"/>
    <xf numFmtId="169" fontId="11" fillId="0" borderId="65" xfId="0" applyNumberFormat="1" applyFont="1" applyBorder="1"/>
    <xf numFmtId="1" fontId="11" fillId="0" borderId="65" xfId="0" applyNumberFormat="1" applyFont="1" applyBorder="1"/>
    <xf numFmtId="173" fontId="11" fillId="0" borderId="65" xfId="0" applyNumberFormat="1" applyFont="1" applyBorder="1"/>
    <xf numFmtId="173" fontId="12" fillId="0" borderId="65" xfId="0" applyNumberFormat="1" applyFont="1" applyBorder="1"/>
    <xf numFmtId="174" fontId="11" fillId="0" borderId="20" xfId="0" applyNumberFormat="1" applyFont="1" applyBorder="1" applyAlignment="1">
      <alignment horizontal="right"/>
    </xf>
    <xf numFmtId="174" fontId="11" fillId="0" borderId="83" xfId="0" applyNumberFormat="1" applyFont="1" applyBorder="1" applyAlignment="1">
      <alignment horizontal="right"/>
    </xf>
    <xf numFmtId="2" fontId="11" fillId="0" borderId="83" xfId="0" applyNumberFormat="1" applyFont="1" applyBorder="1" applyAlignment="1">
      <alignment horizontal="right"/>
    </xf>
    <xf numFmtId="169" fontId="11" fillId="0" borderId="83" xfId="0" applyNumberFormat="1" applyFont="1" applyBorder="1" applyAlignment="1">
      <alignment horizontal="right"/>
    </xf>
    <xf numFmtId="1" fontId="11" fillId="0" borderId="83" xfId="0" applyNumberFormat="1" applyFont="1" applyBorder="1" applyAlignment="1">
      <alignment horizontal="right"/>
    </xf>
    <xf numFmtId="173" fontId="11" fillId="0" borderId="83" xfId="0" applyNumberFormat="1" applyFont="1" applyBorder="1" applyAlignment="1">
      <alignment horizontal="right"/>
    </xf>
    <xf numFmtId="0" fontId="43" fillId="0" borderId="0" xfId="0" applyFont="1" applyAlignment="1">
      <alignment horizontal="center"/>
    </xf>
    <xf numFmtId="174" fontId="11" fillId="0" borderId="74" xfId="0" applyNumberFormat="1" applyFont="1" applyBorder="1" applyAlignment="1">
      <alignment horizontal="right"/>
    </xf>
    <xf numFmtId="174" fontId="11" fillId="0" borderId="4" xfId="0" applyNumberFormat="1" applyFont="1" applyBorder="1" applyAlignment="1">
      <alignment horizontal="right"/>
    </xf>
    <xf numFmtId="173" fontId="11" fillId="0" borderId="4" xfId="0" applyNumberFormat="1" applyFont="1" applyBorder="1" applyAlignment="1">
      <alignment horizontal="right"/>
    </xf>
    <xf numFmtId="185" fontId="9" fillId="0" borderId="0" xfId="0" applyNumberFormat="1" applyFont="1"/>
    <xf numFmtId="1" fontId="9" fillId="8" borderId="0" xfId="0" applyNumberFormat="1" applyFont="1" applyFill="1" applyAlignment="1">
      <alignment horizontal="center"/>
    </xf>
    <xf numFmtId="1" fontId="9" fillId="8" borderId="0" xfId="0" applyNumberFormat="1" applyFont="1" applyFill="1"/>
    <xf numFmtId="0" fontId="36" fillId="0" borderId="0" xfId="0" applyFont="1"/>
    <xf numFmtId="1" fontId="9" fillId="0" borderId="0" xfId="0" applyNumberFormat="1" applyFont="1" applyAlignment="1">
      <alignment horizontal="center"/>
    </xf>
    <xf numFmtId="0" fontId="9" fillId="0" borderId="0" xfId="0" applyFont="1" applyAlignment="1">
      <alignment horizontal="center"/>
    </xf>
    <xf numFmtId="49" fontId="36" fillId="2" borderId="0" xfId="0" applyNumberFormat="1" applyFont="1" applyFill="1" applyAlignment="1">
      <alignment horizontal="left" vertical="top" wrapText="1"/>
    </xf>
    <xf numFmtId="49" fontId="0" fillId="2" borderId="0" xfId="0" applyNumberFormat="1" applyFill="1" applyAlignment="1">
      <alignment horizontal="left" vertical="top"/>
    </xf>
    <xf numFmtId="49" fontId="0" fillId="0" borderId="0" xfId="0" applyNumberFormat="1" applyAlignment="1">
      <alignment horizontal="left" vertical="top"/>
    </xf>
    <xf numFmtId="49" fontId="0" fillId="0" borderId="0" xfId="0" applyNumberFormat="1" applyAlignment="1">
      <alignment horizontal="left" vertical="top" wrapText="1"/>
    </xf>
    <xf numFmtId="49" fontId="55" fillId="4" borderId="0" xfId="0" applyNumberFormat="1" applyFont="1" applyFill="1" applyAlignment="1">
      <alignment horizontal="left" vertical="top" wrapText="1"/>
    </xf>
    <xf numFmtId="49" fontId="0" fillId="2" borderId="0" xfId="0" applyNumberFormat="1" applyFill="1" applyAlignment="1">
      <alignment horizontal="left" vertical="top" wrapText="1"/>
    </xf>
    <xf numFmtId="169" fontId="11" fillId="0" borderId="0" xfId="0" applyNumberFormat="1" applyFont="1" applyAlignment="1" applyProtection="1">
      <alignment horizontal="right"/>
      <protection locked="0"/>
    </xf>
    <xf numFmtId="183" fontId="11" fillId="0" borderId="101" xfId="0" applyNumberFormat="1" applyFont="1" applyBorder="1" applyAlignment="1" applyProtection="1">
      <alignment horizontal="center" vertical="center"/>
      <protection locked="0"/>
    </xf>
    <xf numFmtId="183" fontId="11" fillId="0" borderId="105" xfId="0" applyNumberFormat="1" applyFont="1" applyBorder="1" applyAlignment="1" applyProtection="1">
      <alignment horizontal="center" vertical="center"/>
      <protection locked="0"/>
    </xf>
    <xf numFmtId="0" fontId="12" fillId="0" borderId="58" xfId="0" applyFont="1" applyBorder="1" applyAlignment="1">
      <alignment horizontal="center" vertical="center"/>
    </xf>
    <xf numFmtId="0" fontId="0" fillId="9" borderId="0" xfId="0" applyFill="1"/>
    <xf numFmtId="0" fontId="2" fillId="9" borderId="0" xfId="0" applyFont="1" applyFill="1" applyAlignment="1">
      <alignment horizontal="centerContinuous"/>
    </xf>
    <xf numFmtId="0" fontId="3" fillId="9" borderId="0" xfId="0" applyFont="1" applyFill="1" applyAlignment="1">
      <alignment horizontal="centerContinuous"/>
    </xf>
    <xf numFmtId="0" fontId="4" fillId="9" borderId="0" xfId="0" applyFont="1" applyFill="1" applyAlignment="1">
      <alignment horizontal="left" indent="2"/>
    </xf>
    <xf numFmtId="0" fontId="10" fillId="9" borderId="0" xfId="1" applyFont="1" applyFill="1" applyAlignment="1">
      <alignment horizontal="left" indent="2"/>
    </xf>
    <xf numFmtId="0" fontId="9" fillId="0" borderId="0" xfId="0" applyFont="1" applyAlignment="1">
      <alignment horizontal="left" vertical="center" indent="13"/>
    </xf>
    <xf numFmtId="0" fontId="0" fillId="0" borderId="5" xfId="0" applyBorder="1"/>
    <xf numFmtId="0" fontId="11" fillId="0" borderId="14" xfId="0" applyFont="1" applyBorder="1" applyAlignment="1">
      <alignment horizontal="center" textRotation="90" wrapText="1"/>
    </xf>
    <xf numFmtId="0" fontId="47" fillId="0" borderId="40" xfId="0" applyFont="1" applyBorder="1" applyAlignment="1" applyProtection="1">
      <alignment vertical="center"/>
      <protection locked="0" hidden="1"/>
    </xf>
    <xf numFmtId="0" fontId="47" fillId="0" borderId="40" xfId="0" applyFont="1" applyBorder="1" applyProtection="1">
      <protection locked="0" hidden="1"/>
    </xf>
    <xf numFmtId="0" fontId="0" fillId="0" borderId="40" xfId="0" applyBorder="1" applyProtection="1">
      <protection locked="0" hidden="1"/>
    </xf>
    <xf numFmtId="0" fontId="0" fillId="0" borderId="40" xfId="0" applyBorder="1" applyAlignment="1" applyProtection="1">
      <alignment horizontal="left"/>
      <protection locked="0" hidden="1"/>
    </xf>
    <xf numFmtId="0" fontId="53" fillId="0" borderId="51" xfId="0" applyFont="1" applyBorder="1" applyAlignment="1" applyProtection="1">
      <alignment horizontal="left" vertical="top" wrapText="1" indent="3"/>
      <protection hidden="1"/>
    </xf>
    <xf numFmtId="0" fontId="56" fillId="10" borderId="0" xfId="0" applyFont="1" applyFill="1" applyProtection="1">
      <protection hidden="1"/>
    </xf>
    <xf numFmtId="0" fontId="11" fillId="10" borderId="0" xfId="0" applyFont="1" applyFill="1"/>
    <xf numFmtId="0" fontId="11" fillId="11" borderId="3" xfId="0" applyFont="1" applyFill="1" applyBorder="1" applyAlignment="1">
      <alignment horizontal="center" textRotation="90" wrapText="1"/>
    </xf>
    <xf numFmtId="3" fontId="4" fillId="0" borderId="1" xfId="0" applyNumberFormat="1" applyFont="1" applyBorder="1" applyAlignment="1">
      <alignment horizontal="left" indent="1"/>
    </xf>
    <xf numFmtId="3" fontId="41" fillId="0" borderId="5" xfId="0" applyNumberFormat="1" applyFont="1" applyBorder="1" applyAlignment="1" applyProtection="1">
      <alignment horizontal="left"/>
      <protection hidden="1"/>
    </xf>
    <xf numFmtId="173" fontId="41" fillId="0" borderId="5" xfId="0" applyNumberFormat="1" applyFont="1" applyBorder="1" applyAlignment="1" applyProtection="1">
      <alignment horizontal="left"/>
      <protection hidden="1"/>
    </xf>
    <xf numFmtId="174" fontId="51" fillId="0" borderId="5" xfId="0" applyNumberFormat="1" applyFont="1" applyBorder="1" applyAlignment="1" applyProtection="1">
      <alignment horizontal="left"/>
      <protection hidden="1"/>
    </xf>
    <xf numFmtId="166" fontId="16" fillId="0" borderId="3" xfId="0" applyNumberFormat="1" applyFont="1" applyBorder="1" applyAlignment="1" applyProtection="1">
      <alignment horizontal="center"/>
      <protection locked="0"/>
    </xf>
    <xf numFmtId="2" fontId="11" fillId="0" borderId="3" xfId="0" applyNumberFormat="1" applyFont="1" applyBorder="1" applyAlignment="1" applyProtection="1">
      <alignment horizontal="right"/>
      <protection locked="0"/>
    </xf>
    <xf numFmtId="169" fontId="11" fillId="0" borderId="10" xfId="0" applyNumberFormat="1" applyFont="1" applyBorder="1" applyAlignment="1">
      <alignment horizontal="right"/>
    </xf>
    <xf numFmtId="166" fontId="16" fillId="0" borderId="4" xfId="0" applyNumberFormat="1" applyFont="1" applyBorder="1" applyAlignment="1" applyProtection="1">
      <alignment horizontal="center"/>
      <protection locked="0"/>
    </xf>
    <xf numFmtId="169" fontId="11" fillId="0" borderId="8" xfId="0" applyNumberFormat="1" applyFont="1" applyBorder="1" applyAlignment="1">
      <alignment horizontal="right"/>
    </xf>
    <xf numFmtId="0" fontId="15" fillId="2" borderId="4" xfId="0" applyFont="1" applyFill="1" applyBorder="1" applyAlignment="1" applyProtection="1">
      <alignment horizontal="center"/>
      <protection locked="0"/>
    </xf>
    <xf numFmtId="0" fontId="15" fillId="2" borderId="5" xfId="0" applyFont="1" applyFill="1" applyBorder="1" applyAlignment="1" applyProtection="1">
      <alignment horizontal="center"/>
      <protection locked="0"/>
    </xf>
    <xf numFmtId="166" fontId="16" fillId="0" borderId="5" xfId="0" applyNumberFormat="1" applyFont="1" applyBorder="1" applyAlignment="1" applyProtection="1">
      <alignment horizontal="center"/>
      <protection locked="0"/>
    </xf>
    <xf numFmtId="169" fontId="11" fillId="0" borderId="5" xfId="0" applyNumberFormat="1" applyFont="1" applyBorder="1" applyAlignment="1" applyProtection="1">
      <alignment horizontal="right"/>
      <protection locked="0"/>
    </xf>
    <xf numFmtId="169" fontId="11" fillId="0" borderId="9" xfId="0" applyNumberFormat="1" applyFont="1" applyBorder="1" applyAlignment="1" applyProtection="1">
      <alignment horizontal="right"/>
      <protection locked="0"/>
    </xf>
    <xf numFmtId="169" fontId="11" fillId="0" borderId="5" xfId="1" applyNumberFormat="1" applyFont="1" applyBorder="1" applyAlignment="1">
      <alignment horizontal="right"/>
    </xf>
    <xf numFmtId="0" fontId="11" fillId="0" borderId="143" xfId="0" applyFont="1" applyBorder="1" applyAlignment="1">
      <alignment horizontal="center" textRotation="90" wrapText="1"/>
    </xf>
    <xf numFmtId="0" fontId="12" fillId="0" borderId="144" xfId="0" applyFont="1" applyBorder="1" applyAlignment="1">
      <alignment horizontal="centerContinuous"/>
    </xf>
    <xf numFmtId="0" fontId="15" fillId="0" borderId="143" xfId="0" applyFont="1" applyBorder="1" applyAlignment="1">
      <alignment horizontal="center"/>
    </xf>
    <xf numFmtId="166" fontId="16" fillId="0" borderId="143" xfId="0" applyNumberFormat="1" applyFont="1" applyBorder="1" applyAlignment="1">
      <alignment horizontal="center"/>
    </xf>
    <xf numFmtId="0" fontId="17" fillId="0" borderId="143" xfId="0" applyFont="1" applyBorder="1" applyAlignment="1">
      <alignment horizontal="center"/>
    </xf>
    <xf numFmtId="0" fontId="11" fillId="0" borderId="143" xfId="0" applyFont="1" applyBorder="1" applyAlignment="1">
      <alignment horizontal="right"/>
    </xf>
    <xf numFmtId="169" fontId="11" fillId="0" borderId="143" xfId="0" applyNumberFormat="1" applyFont="1" applyBorder="1" applyAlignment="1">
      <alignment horizontal="right"/>
    </xf>
    <xf numFmtId="169" fontId="11" fillId="0" borderId="145" xfId="0" applyNumberFormat="1" applyFont="1" applyBorder="1" applyAlignment="1">
      <alignment horizontal="right"/>
    </xf>
    <xf numFmtId="169" fontId="11" fillId="0" borderId="143" xfId="1" applyNumberFormat="1" applyFont="1" applyBorder="1" applyAlignment="1">
      <alignment horizontal="right"/>
    </xf>
    <xf numFmtId="169" fontId="11" fillId="0" borderId="146" xfId="1" applyNumberFormat="1" applyFont="1" applyBorder="1" applyAlignment="1">
      <alignment horizontal="right"/>
    </xf>
    <xf numFmtId="0" fontId="11" fillId="0" borderId="123" xfId="0" applyFont="1" applyBorder="1" applyAlignment="1">
      <alignment horizontal="centerContinuous" vertical="center"/>
    </xf>
    <xf numFmtId="0" fontId="11" fillId="2" borderId="147" xfId="0" applyFont="1" applyFill="1" applyBorder="1" applyAlignment="1" applyProtection="1">
      <alignment horizontal="center" textRotation="90" wrapText="1"/>
      <protection locked="0"/>
    </xf>
    <xf numFmtId="0" fontId="11" fillId="0" borderId="147" xfId="0" applyFont="1" applyBorder="1" applyAlignment="1">
      <alignment horizontal="center" textRotation="90" wrapText="1"/>
    </xf>
    <xf numFmtId="0" fontId="11" fillId="0" borderId="147" xfId="0" applyFont="1" applyBorder="1" applyAlignment="1">
      <alignment horizontal="center"/>
    </xf>
    <xf numFmtId="0" fontId="15" fillId="0" borderId="147" xfId="0" applyFont="1" applyBorder="1" applyAlignment="1">
      <alignment horizontal="center"/>
    </xf>
    <xf numFmtId="166" fontId="16" fillId="0" borderId="147" xfId="0" applyNumberFormat="1" applyFont="1" applyBorder="1" applyAlignment="1">
      <alignment horizontal="center"/>
    </xf>
    <xf numFmtId="0" fontId="17" fillId="0" borderId="147" xfId="0" applyFont="1" applyBorder="1" applyAlignment="1">
      <alignment horizontal="center"/>
    </xf>
    <xf numFmtId="0" fontId="11" fillId="0" borderId="147" xfId="0" applyFont="1" applyBorder="1" applyAlignment="1">
      <alignment horizontal="right"/>
    </xf>
    <xf numFmtId="2" fontId="11" fillId="0" borderId="147" xfId="0" applyNumberFormat="1" applyFont="1" applyBorder="1" applyAlignment="1" applyProtection="1">
      <alignment horizontal="right"/>
      <protection locked="0"/>
    </xf>
    <xf numFmtId="2" fontId="11" fillId="0" borderId="148" xfId="0" applyNumberFormat="1" applyFont="1" applyBorder="1" applyAlignment="1" applyProtection="1">
      <alignment horizontal="right"/>
      <protection locked="0"/>
    </xf>
    <xf numFmtId="2" fontId="11" fillId="0" borderId="147" xfId="1" applyNumberFormat="1" applyFont="1" applyBorder="1" applyAlignment="1">
      <alignment horizontal="right"/>
    </xf>
    <xf numFmtId="2" fontId="11" fillId="0" borderId="149" xfId="1" applyNumberFormat="1" applyFont="1" applyBorder="1" applyAlignment="1">
      <alignment horizontal="right"/>
    </xf>
    <xf numFmtId="0" fontId="11" fillId="0" borderId="85" xfId="0" applyFont="1" applyBorder="1" applyAlignment="1">
      <alignment horizontal="center" vertical="center"/>
    </xf>
    <xf numFmtId="0" fontId="15" fillId="2" borderId="147" xfId="0" applyFont="1" applyFill="1" applyBorder="1" applyAlignment="1" applyProtection="1">
      <alignment horizontal="center"/>
      <protection locked="0"/>
    </xf>
    <xf numFmtId="166" fontId="16" fillId="0" borderId="147" xfId="0" applyNumberFormat="1" applyFont="1" applyBorder="1" applyAlignment="1" applyProtection="1">
      <alignment horizontal="center"/>
      <protection locked="0"/>
    </xf>
    <xf numFmtId="0" fontId="11" fillId="0" borderId="143" xfId="0" applyFont="1" applyBorder="1" applyAlignment="1">
      <alignment horizontal="center"/>
    </xf>
    <xf numFmtId="169" fontId="11" fillId="0" borderId="143" xfId="0" applyNumberFormat="1" applyFont="1" applyBorder="1" applyAlignment="1" applyProtection="1">
      <alignment horizontal="right"/>
      <protection locked="0"/>
    </xf>
    <xf numFmtId="0" fontId="11" fillId="0" borderId="123" xfId="0" applyFont="1" applyBorder="1" applyAlignment="1">
      <alignment horizontal="center" vertical="center"/>
    </xf>
    <xf numFmtId="0" fontId="0" fillId="0" borderId="0" xfId="0" applyAlignment="1">
      <alignment horizontal="center" vertical="center" wrapText="1"/>
    </xf>
    <xf numFmtId="0" fontId="9" fillId="0" borderId="0" xfId="0" applyFont="1" applyAlignment="1">
      <alignment horizontal="center" vertical="center" wrapText="1"/>
    </xf>
    <xf numFmtId="0" fontId="58" fillId="0" borderId="69" xfId="0" applyFont="1" applyBorder="1" applyAlignment="1">
      <alignment horizontal="center"/>
    </xf>
    <xf numFmtId="0" fontId="58" fillId="12" borderId="152" xfId="0" applyFont="1" applyFill="1" applyBorder="1" applyAlignment="1">
      <alignment horizontal="center"/>
    </xf>
    <xf numFmtId="2" fontId="58" fillId="12" borderId="65" xfId="0" applyNumberFormat="1" applyFont="1" applyFill="1" applyBorder="1" applyAlignment="1">
      <alignment horizontal="center"/>
    </xf>
    <xf numFmtId="0" fontId="59" fillId="12" borderId="85" xfId="0" applyFont="1" applyFill="1" applyBorder="1" applyAlignment="1">
      <alignment horizontal="center"/>
    </xf>
    <xf numFmtId="0" fontId="58" fillId="12" borderId="69" xfId="0" applyFont="1" applyFill="1" applyBorder="1" applyAlignment="1">
      <alignment horizontal="center"/>
    </xf>
    <xf numFmtId="2" fontId="0" fillId="0" borderId="0" xfId="0" applyNumberFormat="1" applyAlignment="1">
      <alignment horizontal="left"/>
    </xf>
    <xf numFmtId="2" fontId="0" fillId="0" borderId="0" xfId="0" applyNumberFormat="1" applyAlignment="1">
      <alignment horizontal="center"/>
    </xf>
    <xf numFmtId="0" fontId="58" fillId="0" borderId="0" xfId="0" applyFont="1" applyAlignment="1">
      <alignment horizontal="center"/>
    </xf>
    <xf numFmtId="0" fontId="0" fillId="0" borderId="153" xfId="0" applyBorder="1"/>
    <xf numFmtId="0" fontId="58" fillId="0" borderId="154" xfId="0" applyFont="1" applyBorder="1" applyAlignment="1">
      <alignment horizontal="center"/>
    </xf>
    <xf numFmtId="0" fontId="60" fillId="0" borderId="0" xfId="0" applyFont="1"/>
    <xf numFmtId="2" fontId="0" fillId="0" borderId="0" xfId="0" applyNumberFormat="1"/>
    <xf numFmtId="169" fontId="0" fillId="0" borderId="0" xfId="0" applyNumberFormat="1"/>
    <xf numFmtId="0" fontId="61" fillId="0" borderId="58" xfId="0" applyFont="1" applyBorder="1" applyAlignment="1">
      <alignment horizontal="center"/>
    </xf>
    <xf numFmtId="0" fontId="62" fillId="12" borderId="69" xfId="0" applyFont="1" applyFill="1" applyBorder="1" applyAlignment="1">
      <alignment horizontal="center"/>
    </xf>
    <xf numFmtId="0" fontId="62" fillId="13" borderId="69" xfId="0" applyFont="1" applyFill="1" applyBorder="1" applyAlignment="1">
      <alignment horizontal="center"/>
    </xf>
    <xf numFmtId="0" fontId="62" fillId="12" borderId="58" xfId="0" applyFont="1" applyFill="1" applyBorder="1" applyAlignment="1">
      <alignment horizontal="center"/>
    </xf>
    <xf numFmtId="0" fontId="62" fillId="12" borderId="67" xfId="0" applyFont="1" applyFill="1" applyBorder="1" applyAlignment="1">
      <alignment horizontal="center"/>
    </xf>
    <xf numFmtId="0" fontId="62" fillId="0" borderId="69" xfId="0" applyFont="1" applyBorder="1" applyAlignment="1">
      <alignment horizontal="center"/>
    </xf>
    <xf numFmtId="2" fontId="62" fillId="0" borderId="69" xfId="0" applyNumberFormat="1" applyFont="1" applyBorder="1" applyAlignment="1">
      <alignment horizontal="center"/>
    </xf>
    <xf numFmtId="2" fontId="62" fillId="12" borderId="69" xfId="0" applyNumberFormat="1" applyFont="1" applyFill="1" applyBorder="1" applyAlignment="1">
      <alignment horizontal="center"/>
    </xf>
    <xf numFmtId="173" fontId="62" fillId="12" borderId="69" xfId="0" applyNumberFormat="1" applyFont="1" applyFill="1" applyBorder="1" applyAlignment="1">
      <alignment horizontal="center"/>
    </xf>
    <xf numFmtId="0" fontId="58" fillId="12" borderId="58" xfId="0" applyFont="1" applyFill="1" applyBorder="1" applyAlignment="1">
      <alignment horizontal="center"/>
    </xf>
    <xf numFmtId="0" fontId="62" fillId="14" borderId="69" xfId="0" applyFont="1" applyFill="1" applyBorder="1" applyAlignment="1">
      <alignment horizontal="center"/>
    </xf>
    <xf numFmtId="0" fontId="63" fillId="7" borderId="69" xfId="0" applyFont="1" applyFill="1" applyBorder="1" applyAlignment="1">
      <alignment horizontal="center"/>
    </xf>
    <xf numFmtId="0" fontId="62" fillId="12" borderId="58" xfId="0" applyFont="1" applyFill="1" applyBorder="1"/>
    <xf numFmtId="14" fontId="64" fillId="0" borderId="0" xfId="0" applyNumberFormat="1" applyFont="1" applyAlignment="1">
      <alignment horizontal="center" wrapText="1"/>
    </xf>
    <xf numFmtId="0" fontId="64" fillId="0" borderId="157" xfId="0" applyFont="1" applyBorder="1" applyAlignment="1">
      <alignment horizontal="center"/>
    </xf>
    <xf numFmtId="0" fontId="64" fillId="0" borderId="0" xfId="0" applyFont="1" applyAlignment="1">
      <alignment horizontal="center"/>
    </xf>
    <xf numFmtId="2" fontId="64" fillId="0" borderId="0" xfId="0" applyNumberFormat="1" applyFont="1" applyAlignment="1">
      <alignment horizontal="center"/>
    </xf>
    <xf numFmtId="0" fontId="62" fillId="0" borderId="153" xfId="0" applyFont="1" applyBorder="1"/>
    <xf numFmtId="0" fontId="9" fillId="0" borderId="69" xfId="2" applyFont="1" applyBorder="1"/>
    <xf numFmtId="0" fontId="9" fillId="0" borderId="69" xfId="2" applyFont="1" applyBorder="1" applyAlignment="1">
      <alignment horizontal="center"/>
    </xf>
    <xf numFmtId="0" fontId="9" fillId="0" borderId="122" xfId="2" applyFont="1" applyBorder="1"/>
    <xf numFmtId="0" fontId="9" fillId="0" borderId="123" xfId="2" applyFont="1" applyBorder="1"/>
    <xf numFmtId="0" fontId="9" fillId="0" borderId="85" xfId="2" applyFont="1" applyBorder="1"/>
    <xf numFmtId="0" fontId="62" fillId="13" borderId="58" xfId="0" applyFont="1" applyFill="1" applyBorder="1" applyAlignment="1">
      <alignment horizontal="center"/>
    </xf>
    <xf numFmtId="0" fontId="62" fillId="12" borderId="55" xfId="0" applyFont="1" applyFill="1" applyBorder="1" applyAlignment="1">
      <alignment horizontal="center"/>
    </xf>
    <xf numFmtId="0" fontId="62" fillId="0" borderId="58" xfId="0" applyFont="1" applyBorder="1" applyAlignment="1">
      <alignment horizontal="center"/>
    </xf>
    <xf numFmtId="2" fontId="62" fillId="0" borderId="58" xfId="0" applyNumberFormat="1" applyFont="1" applyBorder="1" applyAlignment="1">
      <alignment horizontal="center"/>
    </xf>
    <xf numFmtId="2" fontId="62" fillId="12" borderId="58" xfId="0" applyNumberFormat="1" applyFont="1" applyFill="1" applyBorder="1" applyAlignment="1">
      <alignment horizontal="center"/>
    </xf>
    <xf numFmtId="173" fontId="62" fillId="12" borderId="58" xfId="0" applyNumberFormat="1" applyFont="1" applyFill="1" applyBorder="1" applyAlignment="1">
      <alignment horizontal="center"/>
    </xf>
    <xf numFmtId="0" fontId="62" fillId="14" borderId="58" xfId="0" applyFont="1" applyFill="1" applyBorder="1" applyAlignment="1">
      <alignment horizontal="center"/>
    </xf>
    <xf numFmtId="0" fontId="66" fillId="7" borderId="58" xfId="0" applyFont="1" applyFill="1" applyBorder="1"/>
    <xf numFmtId="0" fontId="9" fillId="0" borderId="58" xfId="2" applyFont="1" applyBorder="1" applyAlignment="1">
      <alignment horizontal="center"/>
    </xf>
    <xf numFmtId="0" fontId="9" fillId="0" borderId="58" xfId="2" applyFont="1" applyBorder="1"/>
    <xf numFmtId="0" fontId="9" fillId="0" borderId="152" xfId="2" applyFont="1" applyBorder="1" applyAlignment="1">
      <alignment horizontal="center"/>
    </xf>
    <xf numFmtId="0" fontId="9" fillId="0" borderId="65" xfId="2" applyFont="1" applyBorder="1"/>
    <xf numFmtId="0" fontId="9" fillId="0" borderId="67" xfId="2" applyFont="1" applyBorder="1"/>
    <xf numFmtId="0" fontId="9" fillId="0" borderId="66" xfId="2" applyFont="1" applyBorder="1"/>
    <xf numFmtId="0" fontId="9" fillId="0" borderId="7" xfId="2" applyFont="1" applyBorder="1" applyAlignment="1">
      <alignment horizontal="center"/>
    </xf>
    <xf numFmtId="0" fontId="0" fillId="0" borderId="58" xfId="0" applyBorder="1" applyAlignment="1">
      <alignment horizontal="center"/>
    </xf>
    <xf numFmtId="0" fontId="62" fillId="12" borderId="77" xfId="0" applyFont="1" applyFill="1" applyBorder="1" applyAlignment="1">
      <alignment horizontal="center"/>
    </xf>
    <xf numFmtId="0" fontId="62" fillId="13" borderId="77" xfId="0" applyFont="1" applyFill="1" applyBorder="1"/>
    <xf numFmtId="0" fontId="62" fillId="13" borderId="77" xfId="0" applyFont="1" applyFill="1" applyBorder="1" applyAlignment="1">
      <alignment horizontal="center"/>
    </xf>
    <xf numFmtId="0" fontId="62" fillId="13" borderId="77" xfId="0" applyFont="1" applyFill="1" applyBorder="1" applyAlignment="1">
      <alignment horizontal="centerContinuous"/>
    </xf>
    <xf numFmtId="0" fontId="62" fillId="12" borderId="19" xfId="0" applyFont="1" applyFill="1" applyBorder="1" applyAlignment="1">
      <alignment horizontal="center"/>
    </xf>
    <xf numFmtId="0" fontId="62" fillId="0" borderId="77" xfId="0" applyFont="1" applyBorder="1" applyAlignment="1">
      <alignment horizontal="center"/>
    </xf>
    <xf numFmtId="2" fontId="62" fillId="0" borderId="77" xfId="0" applyNumberFormat="1" applyFont="1" applyBorder="1" applyAlignment="1">
      <alignment horizontal="center"/>
    </xf>
    <xf numFmtId="2" fontId="62" fillId="12" borderId="77" xfId="0" applyNumberFormat="1" applyFont="1" applyFill="1" applyBorder="1" applyAlignment="1">
      <alignment horizontal="center"/>
    </xf>
    <xf numFmtId="173" fontId="62" fillId="12" borderId="77" xfId="0" applyNumberFormat="1" applyFont="1" applyFill="1" applyBorder="1" applyAlignment="1">
      <alignment horizontal="center"/>
    </xf>
    <xf numFmtId="0" fontId="62" fillId="14" borderId="77" xfId="0" applyFont="1" applyFill="1" applyBorder="1" applyAlignment="1">
      <alignment horizontal="center"/>
    </xf>
    <xf numFmtId="0" fontId="9" fillId="0" borderId="56" xfId="2" applyFont="1" applyBorder="1"/>
    <xf numFmtId="0" fontId="9" fillId="0" borderId="19" xfId="2" applyFont="1" applyBorder="1"/>
    <xf numFmtId="0" fontId="62" fillId="13" borderId="152" xfId="0" applyFont="1" applyFill="1" applyBorder="1" applyAlignment="1">
      <alignment horizontal="center"/>
    </xf>
    <xf numFmtId="0" fontId="62" fillId="12" borderId="152" xfId="0" applyFont="1" applyFill="1" applyBorder="1" applyAlignment="1">
      <alignment horizontal="center"/>
    </xf>
    <xf numFmtId="0" fontId="62" fillId="12" borderId="85" xfId="0" applyFont="1" applyFill="1" applyBorder="1" applyAlignment="1">
      <alignment horizontal="center"/>
    </xf>
    <xf numFmtId="0" fontId="62" fillId="14" borderId="152" xfId="0" applyFont="1" applyFill="1" applyBorder="1" applyAlignment="1">
      <alignment horizontal="center"/>
    </xf>
    <xf numFmtId="0" fontId="0" fillId="7" borderId="77" xfId="0" applyFill="1" applyBorder="1"/>
    <xf numFmtId="0" fontId="9" fillId="7" borderId="77" xfId="0" applyFont="1" applyFill="1" applyBorder="1"/>
    <xf numFmtId="0" fontId="9" fillId="0" borderId="77" xfId="2" applyFont="1" applyBorder="1"/>
    <xf numFmtId="0" fontId="9" fillId="0" borderId="77" xfId="2" applyFont="1" applyBorder="1" applyAlignment="1">
      <alignment horizontal="center"/>
    </xf>
    <xf numFmtId="0" fontId="9" fillId="0" borderId="152" xfId="2" applyFont="1" applyBorder="1"/>
    <xf numFmtId="0" fontId="9" fillId="0" borderId="56" xfId="2" applyFont="1" applyBorder="1" applyAlignment="1">
      <alignment horizontal="center"/>
    </xf>
    <xf numFmtId="0" fontId="11" fillId="0" borderId="158" xfId="0" applyFont="1" applyBorder="1" applyAlignment="1">
      <alignment horizontal="center"/>
    </xf>
    <xf numFmtId="171" fontId="11" fillId="0" borderId="151" xfId="0" applyNumberFormat="1" applyFont="1" applyBorder="1" applyProtection="1">
      <protection locked="0"/>
    </xf>
    <xf numFmtId="171" fontId="11" fillId="0" borderId="20" xfId="0" applyNumberFormat="1" applyFont="1" applyBorder="1" applyProtection="1">
      <protection locked="0"/>
    </xf>
    <xf numFmtId="1" fontId="11" fillId="4" borderId="20" xfId="0" applyNumberFormat="1" applyFont="1" applyFill="1" applyBorder="1" applyProtection="1">
      <protection locked="0"/>
    </xf>
    <xf numFmtId="168" fontId="11" fillId="0" borderId="20" xfId="0" applyNumberFormat="1" applyFont="1" applyBorder="1" applyProtection="1">
      <protection locked="0"/>
    </xf>
    <xf numFmtId="0" fontId="0" fillId="15" borderId="0" xfId="0" applyFill="1" applyAlignment="1">
      <alignment horizontal="center"/>
    </xf>
    <xf numFmtId="0" fontId="64" fillId="0" borderId="0" xfId="0" applyFont="1" applyAlignment="1">
      <alignment horizontal="center" wrapText="1"/>
    </xf>
    <xf numFmtId="2" fontId="32" fillId="13" borderId="79" xfId="0" applyNumberFormat="1" applyFont="1" applyFill="1" applyBorder="1" applyAlignment="1">
      <alignment horizontal="center"/>
    </xf>
    <xf numFmtId="0" fontId="0" fillId="0" borderId="0" xfId="0" applyAlignment="1">
      <alignment horizontal="center"/>
    </xf>
    <xf numFmtId="173" fontId="0" fillId="0" borderId="0" xfId="0" applyNumberFormat="1"/>
    <xf numFmtId="0" fontId="64" fillId="0" borderId="0" xfId="0" applyFont="1" applyAlignment="1">
      <alignment horizontal="right" wrapText="1"/>
    </xf>
    <xf numFmtId="0" fontId="0" fillId="0" borderId="0" xfId="0" applyAlignment="1">
      <alignment horizontal="right"/>
    </xf>
    <xf numFmtId="0" fontId="11" fillId="0" borderId="20" xfId="2" applyFont="1" applyBorder="1" applyAlignment="1">
      <alignment horizontal="center"/>
    </xf>
    <xf numFmtId="0" fontId="11" fillId="0" borderId="20" xfId="0" applyFont="1" applyBorder="1" applyAlignment="1">
      <alignment horizontal="center"/>
    </xf>
    <xf numFmtId="0" fontId="11" fillId="0" borderId="20" xfId="0" applyFont="1" applyBorder="1"/>
    <xf numFmtId="0" fontId="11" fillId="0" borderId="20" xfId="0" applyFont="1" applyBorder="1" applyProtection="1">
      <protection locked="0"/>
    </xf>
    <xf numFmtId="1" fontId="11" fillId="0" borderId="20" xfId="2" applyNumberFormat="1" applyFont="1" applyBorder="1"/>
    <xf numFmtId="2" fontId="11" fillId="0" borderId="20" xfId="0" applyNumberFormat="1" applyFont="1" applyBorder="1"/>
    <xf numFmtId="0" fontId="11" fillId="0" borderId="20" xfId="2" applyFont="1" applyBorder="1" applyProtection="1">
      <protection locked="0"/>
    </xf>
    <xf numFmtId="1" fontId="11" fillId="0" borderId="103" xfId="0" applyNumberFormat="1" applyFont="1" applyBorder="1"/>
    <xf numFmtId="1" fontId="11" fillId="0" borderId="159" xfId="0" applyNumberFormat="1" applyFont="1" applyBorder="1"/>
    <xf numFmtId="1" fontId="11" fillId="0" borderId="20" xfId="0" applyNumberFormat="1" applyFont="1" applyBorder="1"/>
    <xf numFmtId="169" fontId="11" fillId="0" borderId="160" xfId="0" applyNumberFormat="1" applyFont="1" applyBorder="1" applyAlignment="1" applyProtection="1">
      <alignment horizontal="right"/>
      <protection locked="0"/>
    </xf>
    <xf numFmtId="1" fontId="11" fillId="0" borderId="161" xfId="0" applyNumberFormat="1" applyFont="1" applyBorder="1"/>
    <xf numFmtId="1" fontId="11" fillId="0" borderId="79" xfId="0" applyNumberFormat="1" applyFont="1" applyBorder="1"/>
    <xf numFmtId="1" fontId="11" fillId="0" borderId="103" xfId="2" applyNumberFormat="1" applyFont="1" applyBorder="1"/>
    <xf numFmtId="2" fontId="11" fillId="0" borderId="20" xfId="0" applyNumberFormat="1" applyFont="1" applyBorder="1" applyProtection="1">
      <protection locked="0"/>
    </xf>
    <xf numFmtId="2" fontId="11" fillId="0" borderId="20" xfId="2" applyNumberFormat="1" applyFont="1" applyBorder="1" applyProtection="1">
      <protection locked="0"/>
    </xf>
    <xf numFmtId="0" fontId="7" fillId="0" borderId="0" xfId="0" applyFont="1" applyProtection="1">
      <protection locked="0"/>
    </xf>
    <xf numFmtId="0" fontId="11" fillId="0" borderId="162" xfId="0" applyFont="1" applyBorder="1" applyAlignment="1">
      <alignment horizontal="center"/>
    </xf>
    <xf numFmtId="173" fontId="32" fillId="12" borderId="151" xfId="0" applyNumberFormat="1" applyFont="1" applyFill="1" applyBorder="1" applyAlignment="1" applyProtection="1">
      <alignment horizontal="center"/>
      <protection locked="0"/>
    </xf>
    <xf numFmtId="174" fontId="32" fillId="12" borderId="163" xfId="0" applyNumberFormat="1" applyFont="1" applyFill="1" applyBorder="1" applyAlignment="1" applyProtection="1">
      <alignment horizontal="center"/>
      <protection locked="0"/>
    </xf>
    <xf numFmtId="0" fontId="7" fillId="0" borderId="0" xfId="0" applyFont="1"/>
    <xf numFmtId="173" fontId="0" fillId="0" borderId="0" xfId="0" applyNumberFormat="1" applyAlignment="1">
      <alignment horizontal="center"/>
    </xf>
    <xf numFmtId="2" fontId="32" fillId="12" borderId="151" xfId="0" applyNumberFormat="1" applyFont="1" applyFill="1" applyBorder="1" applyAlignment="1" applyProtection="1">
      <alignment horizontal="center"/>
      <protection locked="0"/>
    </xf>
    <xf numFmtId="174" fontId="32" fillId="12" borderId="161" xfId="0" applyNumberFormat="1" applyFont="1" applyFill="1" applyBorder="1" applyAlignment="1" applyProtection="1">
      <alignment horizontal="center"/>
      <protection locked="0"/>
    </xf>
    <xf numFmtId="173" fontId="67" fillId="0" borderId="157" xfId="0" applyNumberFormat="1" applyFont="1" applyBorder="1" applyAlignment="1">
      <alignment horizontal="center" vertical="center"/>
    </xf>
    <xf numFmtId="0" fontId="0" fillId="0" borderId="0" xfId="0" applyProtection="1">
      <protection locked="0"/>
    </xf>
    <xf numFmtId="174" fontId="11" fillId="0" borderId="55" xfId="0" applyNumberFormat="1" applyFont="1" applyBorder="1" applyAlignment="1">
      <alignment horizontal="center"/>
    </xf>
    <xf numFmtId="173" fontId="32" fillId="12" borderId="161" xfId="0" applyNumberFormat="1" applyFont="1" applyFill="1" applyBorder="1" applyAlignment="1" applyProtection="1">
      <alignment horizontal="center"/>
      <protection locked="0"/>
    </xf>
    <xf numFmtId="0" fontId="68" fillId="0" borderId="0" xfId="0" applyFont="1"/>
    <xf numFmtId="0" fontId="69" fillId="0" borderId="0" xfId="0" applyFont="1" applyAlignment="1">
      <alignment horizontal="center"/>
    </xf>
    <xf numFmtId="0" fontId="7" fillId="0" borderId="0" xfId="0" applyFont="1" applyAlignment="1" applyProtection="1">
      <alignment horizontal="left"/>
      <protection locked="0"/>
    </xf>
    <xf numFmtId="0" fontId="9" fillId="4" borderId="120" xfId="0" applyFont="1" applyFill="1" applyBorder="1"/>
    <xf numFmtId="0" fontId="0" fillId="4" borderId="48" xfId="0" applyFill="1" applyBorder="1"/>
    <xf numFmtId="2" fontId="36" fillId="4" borderId="48" xfId="0" applyNumberFormat="1" applyFont="1" applyFill="1" applyBorder="1" applyAlignment="1">
      <alignment horizontal="center"/>
    </xf>
    <xf numFmtId="2" fontId="36" fillId="4" borderId="117" xfId="0" applyNumberFormat="1" applyFont="1" applyFill="1" applyBorder="1" applyAlignment="1">
      <alignment horizontal="center"/>
    </xf>
    <xf numFmtId="0" fontId="41" fillId="0" borderId="0" xfId="0" applyFont="1" applyAlignment="1" applyProtection="1">
      <alignment horizontal="left"/>
      <protection locked="0"/>
    </xf>
    <xf numFmtId="0" fontId="9" fillId="4" borderId="164" xfId="0" applyFont="1" applyFill="1" applyBorder="1"/>
    <xf numFmtId="0" fontId="0" fillId="4" borderId="0" xfId="0" applyFill="1"/>
    <xf numFmtId="2" fontId="36" fillId="4" borderId="0" xfId="0" applyNumberFormat="1" applyFont="1" applyFill="1" applyAlignment="1">
      <alignment horizontal="center"/>
    </xf>
    <xf numFmtId="2" fontId="36" fillId="4" borderId="54" xfId="0" applyNumberFormat="1" applyFont="1" applyFill="1" applyBorder="1" applyAlignment="1">
      <alignment horizontal="center"/>
    </xf>
    <xf numFmtId="1" fontId="7" fillId="0" borderId="0" xfId="0" applyNumberFormat="1" applyFont="1" applyAlignment="1" applyProtection="1">
      <alignment horizontal="left"/>
      <protection locked="0"/>
    </xf>
    <xf numFmtId="0" fontId="9" fillId="4" borderId="2" xfId="0" applyFont="1" applyFill="1" applyBorder="1"/>
    <xf numFmtId="0" fontId="0" fillId="4" borderId="5" xfId="0" applyFill="1" applyBorder="1"/>
    <xf numFmtId="2" fontId="36" fillId="4" borderId="5" xfId="0" applyNumberFormat="1" applyFont="1" applyFill="1" applyBorder="1" applyAlignment="1">
      <alignment horizontal="center"/>
    </xf>
    <xf numFmtId="2" fontId="36" fillId="4" borderId="160" xfId="0" applyNumberFormat="1" applyFont="1" applyFill="1" applyBorder="1" applyAlignment="1">
      <alignment horizontal="center"/>
    </xf>
    <xf numFmtId="0" fontId="62" fillId="0" borderId="0" xfId="0" applyFont="1"/>
    <xf numFmtId="0" fontId="11" fillId="0" borderId="153" xfId="0" applyFont="1" applyBorder="1"/>
    <xf numFmtId="14" fontId="64" fillId="0" borderId="0" xfId="0" applyNumberFormat="1" applyFont="1" applyAlignment="1">
      <alignment horizontal="center"/>
    </xf>
    <xf numFmtId="1" fontId="64" fillId="0" borderId="157" xfId="0" applyNumberFormat="1" applyFont="1" applyBorder="1" applyAlignment="1">
      <alignment horizontal="center"/>
    </xf>
    <xf numFmtId="1" fontId="0" fillId="0" borderId="0" xfId="0" applyNumberFormat="1" applyAlignment="1">
      <alignment horizontal="center"/>
    </xf>
    <xf numFmtId="0" fontId="13" fillId="0" borderId="0" xfId="0" applyFont="1"/>
    <xf numFmtId="0" fontId="11" fillId="0" borderId="165" xfId="0" applyFont="1" applyBorder="1" applyAlignment="1">
      <alignment horizontal="center"/>
    </xf>
    <xf numFmtId="0" fontId="11" fillId="0" borderId="151" xfId="0" applyFont="1" applyBorder="1" applyAlignment="1">
      <alignment horizontal="center"/>
    </xf>
    <xf numFmtId="2" fontId="32" fillId="0" borderId="150" xfId="0" applyNumberFormat="1" applyFont="1" applyBorder="1" applyAlignment="1" applyProtection="1">
      <alignment horizontal="center" vertical="center"/>
      <protection locked="0"/>
    </xf>
    <xf numFmtId="2" fontId="32" fillId="12" borderId="150" xfId="0" applyNumberFormat="1" applyFont="1" applyFill="1" applyBorder="1" applyAlignment="1" applyProtection="1">
      <alignment horizontal="center"/>
      <protection locked="0"/>
    </xf>
    <xf numFmtId="173" fontId="32" fillId="12" borderId="166" xfId="0" applyNumberFormat="1" applyFont="1" applyFill="1" applyBorder="1" applyAlignment="1" applyProtection="1">
      <alignment horizontal="center"/>
      <protection locked="0"/>
    </xf>
    <xf numFmtId="0" fontId="35" fillId="0" borderId="77" xfId="0" applyFont="1" applyBorder="1" applyAlignment="1">
      <alignment horizontal="center"/>
    </xf>
    <xf numFmtId="2" fontId="35" fillId="12" borderId="77" xfId="0" applyNumberFormat="1" applyFont="1" applyFill="1" applyBorder="1" applyAlignment="1">
      <alignment horizontal="center"/>
    </xf>
    <xf numFmtId="2" fontId="35" fillId="13" borderId="77" xfId="0" applyNumberFormat="1" applyFont="1" applyFill="1" applyBorder="1" applyAlignment="1">
      <alignment horizontal="center"/>
    </xf>
    <xf numFmtId="173" fontId="35" fillId="12" borderId="77" xfId="0" applyNumberFormat="1" applyFont="1" applyFill="1" applyBorder="1" applyAlignment="1">
      <alignment horizontal="center"/>
    </xf>
    <xf numFmtId="2" fontId="35" fillId="0" borderId="77" xfId="0" applyNumberFormat="1" applyFont="1" applyBorder="1" applyAlignment="1">
      <alignment horizontal="center"/>
    </xf>
    <xf numFmtId="173" fontId="35" fillId="12" borderId="152" xfId="0" applyNumberFormat="1" applyFont="1" applyFill="1" applyBorder="1" applyAlignment="1">
      <alignment horizontal="center"/>
    </xf>
    <xf numFmtId="2" fontId="35" fillId="14" borderId="152" xfId="0" applyNumberFormat="1" applyFont="1" applyFill="1" applyBorder="1" applyAlignment="1">
      <alignment horizontal="center"/>
    </xf>
    <xf numFmtId="169" fontId="35" fillId="7" borderId="152" xfId="0" applyNumberFormat="1" applyFont="1" applyFill="1" applyBorder="1" applyAlignment="1">
      <alignment horizontal="center"/>
    </xf>
    <xf numFmtId="169" fontId="35" fillId="7" borderId="152" xfId="0" applyNumberFormat="1" applyFont="1" applyFill="1" applyBorder="1" applyAlignment="1">
      <alignment horizontal="right"/>
    </xf>
    <xf numFmtId="0" fontId="71" fillId="0" borderId="152" xfId="0" applyFont="1" applyBorder="1" applyAlignment="1">
      <alignment horizontal="center"/>
    </xf>
    <xf numFmtId="2" fontId="71" fillId="12" borderId="152" xfId="0" applyNumberFormat="1" applyFont="1" applyFill="1" applyBorder="1" applyAlignment="1">
      <alignment horizontal="center"/>
    </xf>
    <xf numFmtId="2" fontId="71" fillId="13" borderId="152" xfId="0" applyNumberFormat="1" applyFont="1" applyFill="1" applyBorder="1" applyAlignment="1">
      <alignment horizontal="center"/>
    </xf>
    <xf numFmtId="2" fontId="71" fillId="0" borderId="152" xfId="0" applyNumberFormat="1" applyFont="1" applyBorder="1" applyAlignment="1">
      <alignment horizontal="center"/>
    </xf>
    <xf numFmtId="173" fontId="71" fillId="12" borderId="152" xfId="0" applyNumberFormat="1" applyFont="1" applyFill="1" applyBorder="1" applyAlignment="1">
      <alignment horizontal="center"/>
    </xf>
    <xf numFmtId="2" fontId="71" fillId="14" borderId="152" xfId="0" applyNumberFormat="1" applyFont="1" applyFill="1" applyBorder="1" applyAlignment="1">
      <alignment horizontal="center"/>
    </xf>
    <xf numFmtId="169" fontId="71" fillId="7" borderId="152" xfId="0" applyNumberFormat="1" applyFont="1" applyFill="1" applyBorder="1" applyAlignment="1">
      <alignment horizontal="center"/>
    </xf>
    <xf numFmtId="169" fontId="71" fillId="7" borderId="152" xfId="0" applyNumberFormat="1" applyFont="1" applyFill="1" applyBorder="1" applyAlignment="1">
      <alignment horizontal="right"/>
    </xf>
    <xf numFmtId="0" fontId="35" fillId="0" borderId="152" xfId="0" applyFont="1" applyBorder="1" applyAlignment="1">
      <alignment horizontal="center"/>
    </xf>
    <xf numFmtId="2" fontId="35" fillId="12" borderId="152" xfId="0" applyNumberFormat="1" applyFont="1" applyFill="1" applyBorder="1" applyAlignment="1">
      <alignment horizontal="center"/>
    </xf>
    <xf numFmtId="2" fontId="35" fillId="13" borderId="152" xfId="0" applyNumberFormat="1" applyFont="1" applyFill="1" applyBorder="1" applyAlignment="1">
      <alignment horizontal="center"/>
    </xf>
    <xf numFmtId="2" fontId="35" fillId="0" borderId="152" xfId="0" applyNumberFormat="1" applyFont="1" applyBorder="1" applyAlignment="1">
      <alignment horizontal="center"/>
    </xf>
    <xf numFmtId="2" fontId="32" fillId="6" borderId="48" xfId="0" applyNumberFormat="1" applyFont="1" applyFill="1" applyBorder="1" applyAlignment="1" applyProtection="1">
      <alignment horizontal="center"/>
      <protection locked="0"/>
    </xf>
    <xf numFmtId="2" fontId="35" fillId="6" borderId="0" xfId="0" applyNumberFormat="1" applyFont="1" applyFill="1" applyAlignment="1">
      <alignment horizontal="center"/>
    </xf>
    <xf numFmtId="2" fontId="71" fillId="6" borderId="0" xfId="0" applyNumberFormat="1" applyFont="1" applyFill="1" applyAlignment="1">
      <alignment horizontal="center"/>
    </xf>
    <xf numFmtId="0" fontId="55" fillId="0" borderId="0" xfId="0" applyFont="1" applyProtection="1">
      <protection locked="0"/>
    </xf>
    <xf numFmtId="0" fontId="55" fillId="0" borderId="0" xfId="0" applyFont="1"/>
    <xf numFmtId="49" fontId="0" fillId="0" borderId="0" xfId="0" applyNumberFormat="1"/>
    <xf numFmtId="186" fontId="28" fillId="0" borderId="0" xfId="0" applyNumberFormat="1" applyFont="1" applyAlignment="1">
      <alignment horizontal="center"/>
    </xf>
    <xf numFmtId="0" fontId="36" fillId="0" borderId="0" xfId="0" applyFont="1" applyAlignment="1">
      <alignment horizontal="left"/>
    </xf>
    <xf numFmtId="39" fontId="7" fillId="0" borderId="20" xfId="0" applyNumberFormat="1" applyFont="1" applyBorder="1" applyAlignment="1" applyProtection="1">
      <alignment horizontal="center"/>
      <protection locked="0"/>
    </xf>
    <xf numFmtId="0" fontId="0" fillId="0" borderId="54" xfId="0" applyBorder="1"/>
    <xf numFmtId="39" fontId="7" fillId="0" borderId="83" xfId="0" applyNumberFormat="1" applyFont="1" applyBorder="1" applyAlignment="1" applyProtection="1">
      <alignment horizontal="center"/>
      <protection locked="0"/>
    </xf>
    <xf numFmtId="0" fontId="60" fillId="0" borderId="0" xfId="0" applyFont="1" applyAlignment="1">
      <alignment horizontal="right"/>
    </xf>
    <xf numFmtId="0" fontId="60" fillId="0" borderId="0" xfId="0" applyFont="1" applyAlignment="1">
      <alignment horizontal="left"/>
    </xf>
    <xf numFmtId="0" fontId="36" fillId="0" borderId="167" xfId="0" applyFont="1" applyBorder="1" applyAlignment="1">
      <alignment horizontal="center" vertical="center" wrapText="1"/>
    </xf>
    <xf numFmtId="0" fontId="36" fillId="0" borderId="168" xfId="0" applyFont="1" applyBorder="1" applyAlignment="1">
      <alignment horizontal="center" vertical="center" wrapText="1"/>
    </xf>
    <xf numFmtId="0" fontId="36" fillId="0" borderId="169" xfId="0" applyFont="1" applyBorder="1" applyAlignment="1">
      <alignment horizontal="center" vertical="center" wrapText="1"/>
    </xf>
    <xf numFmtId="0" fontId="36" fillId="0" borderId="170" xfId="0" applyFont="1" applyBorder="1" applyAlignment="1">
      <alignment horizontal="center" vertical="center" wrapText="1"/>
    </xf>
    <xf numFmtId="0" fontId="36" fillId="0" borderId="0" xfId="0" applyFont="1" applyAlignment="1">
      <alignment horizontal="center" vertical="center" wrapText="1"/>
    </xf>
    <xf numFmtId="0" fontId="36" fillId="0" borderId="152" xfId="0" applyFont="1" applyBorder="1" applyAlignment="1">
      <alignment horizontal="center" vertical="center" wrapText="1"/>
    </xf>
    <xf numFmtId="2" fontId="36" fillId="0" borderId="0" xfId="0" applyNumberFormat="1" applyFont="1" applyAlignment="1">
      <alignment horizontal="center" vertical="center" wrapText="1"/>
    </xf>
    <xf numFmtId="173" fontId="36" fillId="0" borderId="0" xfId="0" applyNumberFormat="1" applyFont="1" applyAlignment="1">
      <alignment horizontal="center" vertical="center" wrapText="1"/>
    </xf>
    <xf numFmtId="0" fontId="36" fillId="0" borderId="0" xfId="0" applyFont="1" applyAlignment="1">
      <alignment horizontal="right" vertical="center" wrapText="1"/>
    </xf>
    <xf numFmtId="0" fontId="0" fillId="0" borderId="53" xfId="0" applyBorder="1" applyAlignment="1">
      <alignment horizontal="center"/>
    </xf>
    <xf numFmtId="0" fontId="0" fillId="0" borderId="54" xfId="0" applyBorder="1" applyAlignment="1">
      <alignment horizontal="center"/>
    </xf>
    <xf numFmtId="0" fontId="7" fillId="0" borderId="74" xfId="0" applyFont="1" applyBorder="1" applyAlignment="1" applyProtection="1">
      <alignment horizontal="left"/>
      <protection locked="0"/>
    </xf>
    <xf numFmtId="2" fontId="7" fillId="0" borderId="74" xfId="0" applyNumberFormat="1" applyFont="1" applyBorder="1" applyAlignment="1" applyProtection="1">
      <alignment horizontal="center"/>
      <protection locked="0"/>
    </xf>
    <xf numFmtId="187" fontId="7" fillId="0" borderId="74" xfId="0" applyNumberFormat="1" applyFont="1" applyBorder="1" applyAlignment="1" applyProtection="1">
      <alignment horizontal="center"/>
      <protection locked="0"/>
    </xf>
    <xf numFmtId="37" fontId="7" fillId="0" borderId="139" xfId="0" applyNumberFormat="1" applyFont="1" applyBorder="1" applyAlignment="1" applyProtection="1">
      <alignment horizontal="right"/>
      <protection locked="0"/>
    </xf>
    <xf numFmtId="37" fontId="7" fillId="0" borderId="74" xfId="0" applyNumberFormat="1" applyFont="1" applyBorder="1" applyAlignment="1" applyProtection="1">
      <alignment horizontal="right"/>
      <protection locked="0"/>
    </xf>
    <xf numFmtId="187" fontId="0" fillId="0" borderId="74" xfId="0" applyNumberFormat="1" applyBorder="1" applyAlignment="1">
      <alignment horizontal="right"/>
    </xf>
    <xf numFmtId="39" fontId="0" fillId="0" borderId="74" xfId="0" applyNumberFormat="1" applyBorder="1" applyAlignment="1">
      <alignment horizontal="right"/>
    </xf>
    <xf numFmtId="39" fontId="0" fillId="0" borderId="135" xfId="0" applyNumberFormat="1" applyBorder="1" applyAlignment="1">
      <alignment horizontal="right"/>
    </xf>
    <xf numFmtId="39" fontId="0" fillId="0" borderId="171" xfId="0" applyNumberFormat="1" applyBorder="1"/>
    <xf numFmtId="0" fontId="0" fillId="0" borderId="158" xfId="0" applyBorder="1"/>
    <xf numFmtId="2" fontId="0" fillId="0" borderId="80" xfId="0" applyNumberFormat="1" applyBorder="1"/>
    <xf numFmtId="2" fontId="0" fillId="0" borderId="172" xfId="0" applyNumberFormat="1" applyBorder="1"/>
    <xf numFmtId="169" fontId="0" fillId="0" borderId="172" xfId="0" applyNumberFormat="1" applyBorder="1"/>
    <xf numFmtId="2" fontId="0" fillId="0" borderId="171" xfId="0" applyNumberFormat="1" applyBorder="1"/>
    <xf numFmtId="0" fontId="7" fillId="0" borderId="20" xfId="0" applyFont="1" applyBorder="1" applyAlignment="1" applyProtection="1">
      <alignment horizontal="left"/>
      <protection locked="0"/>
    </xf>
    <xf numFmtId="2" fontId="7" fillId="0" borderId="20" xfId="0" applyNumberFormat="1" applyFont="1" applyBorder="1" applyAlignment="1" applyProtection="1">
      <alignment horizontal="center"/>
      <protection locked="0"/>
    </xf>
    <xf numFmtId="37" fontId="7" fillId="0" borderId="20" xfId="0" applyNumberFormat="1" applyFont="1" applyBorder="1" applyAlignment="1" applyProtection="1">
      <alignment horizontal="right"/>
      <protection locked="0"/>
    </xf>
    <xf numFmtId="187" fontId="0" fillId="0" borderId="20" xfId="0" applyNumberFormat="1" applyBorder="1" applyAlignment="1">
      <alignment horizontal="right"/>
    </xf>
    <xf numFmtId="39" fontId="0" fillId="0" borderId="103" xfId="0" applyNumberFormat="1" applyBorder="1" applyAlignment="1">
      <alignment horizontal="right"/>
    </xf>
    <xf numFmtId="39" fontId="0" fillId="0" borderId="161" xfId="0" applyNumberFormat="1" applyBorder="1"/>
    <xf numFmtId="2" fontId="0" fillId="0" borderId="83" xfId="0" applyNumberFormat="1" applyBorder="1"/>
    <xf numFmtId="2" fontId="0" fillId="0" borderId="20" xfId="0" applyNumberFormat="1" applyBorder="1"/>
    <xf numFmtId="169" fontId="0" fillId="0" borderId="20" xfId="0" applyNumberFormat="1" applyBorder="1"/>
    <xf numFmtId="39" fontId="0" fillId="0" borderId="2" xfId="0" applyNumberFormat="1" applyBorder="1" applyAlignment="1">
      <alignment horizontal="right"/>
    </xf>
    <xf numFmtId="187" fontId="7" fillId="0" borderId="20" xfId="0" applyNumberFormat="1" applyFont="1" applyBorder="1" applyAlignment="1" applyProtection="1">
      <alignment horizontal="center"/>
      <protection locked="0"/>
    </xf>
    <xf numFmtId="0" fontId="0" fillId="0" borderId="3" xfId="0" applyBorder="1" applyAlignment="1">
      <alignment horizontal="center"/>
    </xf>
    <xf numFmtId="0" fontId="0" fillId="0" borderId="160" xfId="0" applyBorder="1" applyAlignment="1">
      <alignment horizontal="center"/>
    </xf>
    <xf numFmtId="0" fontId="36" fillId="0" borderId="20" xfId="0" applyFont="1" applyBorder="1" applyAlignment="1">
      <alignment horizontal="center"/>
    </xf>
    <xf numFmtId="0" fontId="36" fillId="0" borderId="103" xfId="0" applyFont="1" applyBorder="1" applyAlignment="1">
      <alignment horizontal="center"/>
    </xf>
    <xf numFmtId="2" fontId="7" fillId="0" borderId="60" xfId="0" applyNumberFormat="1" applyFont="1" applyBorder="1" applyAlignment="1">
      <alignment horizontal="center"/>
    </xf>
    <xf numFmtId="0" fontId="7" fillId="0" borderId="60" xfId="0" applyFont="1" applyBorder="1" applyAlignment="1">
      <alignment horizontal="center"/>
    </xf>
    <xf numFmtId="169" fontId="0" fillId="0" borderId="60" xfId="0" applyNumberFormat="1" applyBorder="1" applyAlignment="1">
      <alignment horizontal="center"/>
    </xf>
    <xf numFmtId="39" fontId="36" fillId="0" borderId="60" xfId="0" applyNumberFormat="1" applyFont="1" applyBorder="1" applyAlignment="1">
      <alignment horizontal="center"/>
    </xf>
    <xf numFmtId="39" fontId="36" fillId="0" borderId="103" xfId="0" applyNumberFormat="1" applyFont="1" applyBorder="1" applyAlignment="1">
      <alignment horizontal="center"/>
    </xf>
    <xf numFmtId="39" fontId="36" fillId="0" borderId="161" xfId="0" applyNumberFormat="1" applyFont="1" applyBorder="1" applyAlignment="1">
      <alignment horizontal="center"/>
    </xf>
    <xf numFmtId="0" fontId="0" fillId="0" borderId="155" xfId="0" applyBorder="1" applyAlignment="1">
      <alignment horizontal="center"/>
    </xf>
    <xf numFmtId="0" fontId="0" fillId="0" borderId="48" xfId="0" applyBorder="1" applyAlignment="1">
      <alignment horizontal="center"/>
    </xf>
    <xf numFmtId="0" fontId="0" fillId="3" borderId="48" xfId="0" applyFill="1" applyBorder="1" applyAlignment="1">
      <alignment horizontal="center"/>
    </xf>
    <xf numFmtId="2" fontId="7" fillId="3" borderId="48" xfId="0" applyNumberFormat="1" applyFont="1" applyFill="1" applyBorder="1" applyAlignment="1">
      <alignment horizontal="center"/>
    </xf>
    <xf numFmtId="0" fontId="7" fillId="3" borderId="48" xfId="0" applyFont="1" applyFill="1" applyBorder="1" applyAlignment="1">
      <alignment horizontal="center"/>
    </xf>
    <xf numFmtId="169" fontId="0" fillId="3" borderId="48" xfId="0" applyNumberFormat="1" applyFill="1" applyBorder="1" applyAlignment="1">
      <alignment horizontal="center"/>
    </xf>
    <xf numFmtId="39" fontId="0" fillId="3" borderId="48" xfId="0" applyNumberFormat="1" applyFill="1" applyBorder="1" applyAlignment="1">
      <alignment horizontal="center"/>
    </xf>
    <xf numFmtId="39" fontId="0" fillId="3" borderId="60" xfId="0" applyNumberFormat="1" applyFill="1" applyBorder="1"/>
    <xf numFmtId="0" fontId="0" fillId="3" borderId="163" xfId="0" applyFill="1" applyBorder="1"/>
    <xf numFmtId="0" fontId="0" fillId="0" borderId="173" xfId="0" applyBorder="1" applyAlignment="1">
      <alignment horizontal="center"/>
    </xf>
    <xf numFmtId="0" fontId="0" fillId="0" borderId="117" xfId="0" applyBorder="1" applyAlignment="1">
      <alignment horizontal="center"/>
    </xf>
    <xf numFmtId="0" fontId="0" fillId="0" borderId="20" xfId="0" applyBorder="1" applyAlignment="1">
      <alignment horizontal="left"/>
    </xf>
    <xf numFmtId="37" fontId="0" fillId="0" borderId="20" xfId="0" applyNumberFormat="1" applyBorder="1" applyAlignment="1">
      <alignment horizontal="right"/>
    </xf>
    <xf numFmtId="37" fontId="0" fillId="0" borderId="20" xfId="0" applyNumberFormat="1" applyBorder="1" applyAlignment="1" applyProtection="1">
      <alignment horizontal="right"/>
      <protection locked="0"/>
    </xf>
    <xf numFmtId="37" fontId="7" fillId="0" borderId="115" xfId="0" applyNumberFormat="1" applyFont="1" applyBorder="1" applyAlignment="1" applyProtection="1">
      <alignment horizontal="right"/>
      <protection locked="0"/>
    </xf>
    <xf numFmtId="0" fontId="0" fillId="0" borderId="60" xfId="0" applyBorder="1" applyAlignment="1">
      <alignment horizontal="center"/>
    </xf>
    <xf numFmtId="0" fontId="27" fillId="3" borderId="48" xfId="0" applyFont="1" applyFill="1" applyBorder="1" applyAlignment="1">
      <alignment horizontal="center"/>
    </xf>
    <xf numFmtId="2" fontId="27" fillId="3" borderId="48" xfId="0" applyNumberFormat="1" applyFont="1" applyFill="1" applyBorder="1" applyAlignment="1">
      <alignment horizontal="center"/>
    </xf>
    <xf numFmtId="169" fontId="27" fillId="3" borderId="48" xfId="0" applyNumberFormat="1" applyFont="1" applyFill="1" applyBorder="1" applyAlignment="1">
      <alignment horizontal="center"/>
    </xf>
    <xf numFmtId="39" fontId="27" fillId="3" borderId="48" xfId="0" applyNumberFormat="1" applyFont="1" applyFill="1" applyBorder="1" applyAlignment="1">
      <alignment horizontal="center"/>
    </xf>
    <xf numFmtId="39" fontId="27" fillId="3" borderId="60" xfId="0" applyNumberFormat="1" applyFont="1" applyFill="1" applyBorder="1"/>
    <xf numFmtId="0" fontId="27" fillId="3" borderId="163" xfId="0" applyFont="1" applyFill="1" applyBorder="1"/>
    <xf numFmtId="0" fontId="0" fillId="0" borderId="60" xfId="0" applyBorder="1" applyAlignment="1" applyProtection="1">
      <alignment horizontal="center"/>
      <protection locked="0"/>
    </xf>
    <xf numFmtId="0" fontId="0" fillId="3" borderId="48" xfId="0" applyFill="1" applyBorder="1" applyAlignment="1" applyProtection="1">
      <alignment horizontal="center"/>
      <protection locked="0"/>
    </xf>
    <xf numFmtId="2" fontId="0" fillId="0" borderId="161" xfId="0" applyNumberFormat="1" applyBorder="1"/>
    <xf numFmtId="0" fontId="0" fillId="3" borderId="155" xfId="0" applyFill="1" applyBorder="1" applyAlignment="1">
      <alignment horizontal="center"/>
    </xf>
    <xf numFmtId="0" fontId="0" fillId="3" borderId="0" xfId="0" applyFill="1" applyAlignment="1">
      <alignment horizontal="center"/>
    </xf>
    <xf numFmtId="2" fontId="0" fillId="3" borderId="0" xfId="0" applyNumberFormat="1" applyFill="1" applyAlignment="1">
      <alignment horizontal="center"/>
    </xf>
    <xf numFmtId="173" fontId="0" fillId="3" borderId="0" xfId="0" applyNumberFormat="1" applyFill="1" applyAlignment="1">
      <alignment horizontal="center"/>
    </xf>
    <xf numFmtId="0" fontId="0" fillId="0" borderId="47" xfId="0" applyBorder="1" applyAlignment="1">
      <alignment horizontal="center"/>
    </xf>
    <xf numFmtId="0" fontId="0" fillId="0" borderId="18" xfId="0" applyBorder="1" applyAlignment="1">
      <alignment horizontal="center"/>
    </xf>
    <xf numFmtId="0" fontId="36" fillId="0" borderId="174" xfId="0" applyFont="1" applyBorder="1" applyAlignment="1">
      <alignment horizontal="center"/>
    </xf>
    <xf numFmtId="0" fontId="36" fillId="0" borderId="175" xfId="0" applyFont="1" applyBorder="1" applyAlignment="1">
      <alignment horizontal="center"/>
    </xf>
    <xf numFmtId="2" fontId="7" fillId="0" borderId="176" xfId="0" applyNumberFormat="1" applyFont="1" applyBorder="1" applyAlignment="1">
      <alignment horizontal="center"/>
    </xf>
    <xf numFmtId="0" fontId="7" fillId="0" borderId="176" xfId="0" applyFont="1" applyBorder="1" applyAlignment="1">
      <alignment horizontal="center"/>
    </xf>
    <xf numFmtId="0" fontId="0" fillId="0" borderId="176" xfId="0" applyBorder="1" applyAlignment="1" applyProtection="1">
      <alignment horizontal="center"/>
      <protection locked="0"/>
    </xf>
    <xf numFmtId="169" fontId="0" fillId="0" borderId="176" xfId="0" applyNumberFormat="1" applyBorder="1" applyAlignment="1">
      <alignment horizontal="center"/>
    </xf>
    <xf numFmtId="39" fontId="36" fillId="0" borderId="176" xfId="0" applyNumberFormat="1" applyFont="1" applyBorder="1" applyAlignment="1">
      <alignment horizontal="center"/>
    </xf>
    <xf numFmtId="39" fontId="36" fillId="0" borderId="175" xfId="0" applyNumberFormat="1" applyFont="1" applyBorder="1" applyAlignment="1">
      <alignment horizontal="center"/>
    </xf>
    <xf numFmtId="39" fontId="36" fillId="0" borderId="166" xfId="0" applyNumberFormat="1" applyFont="1" applyBorder="1" applyAlignment="1">
      <alignment horizontal="center"/>
    </xf>
    <xf numFmtId="0" fontId="13" fillId="0" borderId="0" xfId="0" applyFont="1" applyAlignment="1">
      <alignment horizontal="center"/>
    </xf>
    <xf numFmtId="0" fontId="13" fillId="0" borderId="0" xfId="0" applyFont="1" applyAlignment="1">
      <alignment horizontal="left"/>
    </xf>
    <xf numFmtId="2" fontId="73" fillId="0" borderId="0" xfId="0" applyNumberFormat="1" applyFont="1" applyAlignment="1">
      <alignment horizontal="center"/>
    </xf>
    <xf numFmtId="169" fontId="13" fillId="0" borderId="0" xfId="0" applyNumberFormat="1" applyFont="1" applyAlignment="1">
      <alignment horizontal="left"/>
    </xf>
    <xf numFmtId="0" fontId="13" fillId="0" borderId="0" xfId="0" applyFont="1" applyProtection="1">
      <protection locked="0"/>
    </xf>
    <xf numFmtId="169" fontId="13" fillId="0" borderId="0" xfId="0" applyNumberFormat="1" applyFont="1" applyAlignment="1">
      <alignment horizontal="right"/>
    </xf>
    <xf numFmtId="169" fontId="13" fillId="0" borderId="0" xfId="0" applyNumberFormat="1" applyFont="1" applyAlignment="1">
      <alignment horizontal="center"/>
    </xf>
    <xf numFmtId="39" fontId="13" fillId="0" borderId="0" xfId="0" applyNumberFormat="1" applyFont="1" applyAlignment="1">
      <alignment horizontal="center"/>
    </xf>
    <xf numFmtId="39" fontId="13" fillId="0" borderId="0" xfId="0" applyNumberFormat="1" applyFont="1"/>
    <xf numFmtId="2" fontId="60" fillId="0" borderId="0" xfId="0" applyNumberFormat="1" applyFont="1" applyAlignment="1">
      <alignment horizontal="center"/>
    </xf>
    <xf numFmtId="2" fontId="13" fillId="0" borderId="0" xfId="0" applyNumberFormat="1" applyFont="1" applyAlignment="1">
      <alignment horizontal="center"/>
    </xf>
    <xf numFmtId="173" fontId="13" fillId="0" borderId="0" xfId="0" applyNumberFormat="1" applyFont="1" applyAlignment="1">
      <alignment horizontal="center"/>
    </xf>
    <xf numFmtId="0" fontId="13" fillId="0" borderId="0" xfId="0" applyFont="1" applyAlignment="1">
      <alignment horizontal="right"/>
    </xf>
    <xf numFmtId="2" fontId="7" fillId="0" borderId="0" xfId="0" applyNumberFormat="1" applyFont="1" applyAlignment="1">
      <alignment horizontal="center"/>
    </xf>
    <xf numFmtId="0" fontId="7" fillId="0" borderId="0" xfId="0" applyFont="1" applyAlignment="1">
      <alignment horizontal="center"/>
    </xf>
    <xf numFmtId="0" fontId="0" fillId="0" borderId="0" xfId="0" applyAlignment="1" applyProtection="1">
      <alignment horizontal="center"/>
      <protection locked="0"/>
    </xf>
    <xf numFmtId="169" fontId="0" fillId="0" borderId="0" xfId="0" applyNumberFormat="1" applyAlignment="1">
      <alignment horizontal="center"/>
    </xf>
    <xf numFmtId="39" fontId="0" fillId="0" borderId="0" xfId="0" applyNumberFormat="1" applyAlignment="1">
      <alignment horizontal="center"/>
    </xf>
    <xf numFmtId="39" fontId="0" fillId="0" borderId="0" xfId="0" applyNumberFormat="1"/>
    <xf numFmtId="0" fontId="60" fillId="0" borderId="0" xfId="0" applyFont="1" applyAlignment="1">
      <alignment horizontal="center"/>
    </xf>
    <xf numFmtId="2" fontId="74" fillId="0" borderId="0" xfId="0" applyNumberFormat="1" applyFont="1" applyAlignment="1">
      <alignment horizontal="center"/>
    </xf>
    <xf numFmtId="0" fontId="74" fillId="0" borderId="0" xfId="0" applyFont="1" applyAlignment="1">
      <alignment horizontal="center"/>
    </xf>
    <xf numFmtId="169" fontId="60" fillId="0" borderId="0" xfId="0" applyNumberFormat="1" applyFont="1" applyAlignment="1">
      <alignment horizontal="center"/>
    </xf>
    <xf numFmtId="169" fontId="60" fillId="0" borderId="0" xfId="0" applyNumberFormat="1" applyFont="1" applyAlignment="1">
      <alignment horizontal="right"/>
    </xf>
    <xf numFmtId="39" fontId="60" fillId="0" borderId="0" xfId="0" applyNumberFormat="1" applyFont="1"/>
    <xf numFmtId="169" fontId="60" fillId="0" borderId="0" xfId="0" applyNumberFormat="1" applyFont="1" applyAlignment="1">
      <alignment horizontal="left"/>
    </xf>
    <xf numFmtId="173" fontId="60" fillId="0" borderId="0" xfId="0" applyNumberFormat="1" applyFont="1" applyAlignment="1">
      <alignment horizontal="center"/>
    </xf>
    <xf numFmtId="0" fontId="0" fillId="0" borderId="17" xfId="0" applyBorder="1" applyAlignment="1">
      <alignment horizontal="center"/>
    </xf>
    <xf numFmtId="0" fontId="36" fillId="0" borderId="17" xfId="0" applyFont="1" applyBorder="1" applyAlignment="1">
      <alignment horizontal="center"/>
    </xf>
    <xf numFmtId="2" fontId="7" fillId="0" borderId="17" xfId="0" applyNumberFormat="1" applyFont="1" applyBorder="1" applyAlignment="1">
      <alignment horizontal="center"/>
    </xf>
    <xf numFmtId="2" fontId="0" fillId="0" borderId="17" xfId="0" applyNumberFormat="1" applyBorder="1" applyAlignment="1">
      <alignment horizontal="center"/>
    </xf>
    <xf numFmtId="0" fontId="7" fillId="0" borderId="17" xfId="0" applyFont="1" applyBorder="1" applyAlignment="1">
      <alignment horizontal="center"/>
    </xf>
    <xf numFmtId="0" fontId="0" fillId="0" borderId="17" xfId="0" applyBorder="1" applyAlignment="1" applyProtection="1">
      <alignment horizontal="center"/>
      <protection locked="0"/>
    </xf>
    <xf numFmtId="169" fontId="0" fillId="0" borderId="17" xfId="0" applyNumberFormat="1" applyBorder="1" applyAlignment="1">
      <alignment horizontal="center"/>
    </xf>
    <xf numFmtId="39" fontId="0" fillId="0" borderId="17" xfId="0" applyNumberFormat="1" applyBorder="1" applyAlignment="1">
      <alignment horizontal="center"/>
    </xf>
    <xf numFmtId="39" fontId="0" fillId="0" borderId="17" xfId="0" applyNumberFormat="1" applyBorder="1"/>
    <xf numFmtId="0" fontId="36" fillId="0" borderId="47" xfId="0" applyFont="1" applyBorder="1" applyAlignment="1">
      <alignment horizontal="center" vertical="center" wrapText="1"/>
    </xf>
    <xf numFmtId="0" fontId="36" fillId="0" borderId="76" xfId="0" applyFont="1" applyBorder="1" applyAlignment="1">
      <alignment horizontal="center" vertical="center" wrapText="1"/>
    </xf>
    <xf numFmtId="0" fontId="36" fillId="0" borderId="76" xfId="0" applyFont="1" applyBorder="1" applyAlignment="1" applyProtection="1">
      <alignment horizontal="center" vertical="center" wrapText="1"/>
      <protection locked="0"/>
    </xf>
    <xf numFmtId="39" fontId="36" fillId="0" borderId="76" xfId="0" applyNumberFormat="1" applyFont="1" applyBorder="1" applyAlignment="1">
      <alignment horizontal="center" vertical="center" wrapText="1"/>
    </xf>
    <xf numFmtId="39" fontId="36" fillId="0" borderId="177" xfId="0" applyNumberFormat="1" applyFont="1" applyBorder="1" applyAlignment="1">
      <alignment horizontal="center" vertical="center" wrapText="1"/>
    </xf>
    <xf numFmtId="39" fontId="36" fillId="0" borderId="170" xfId="0" applyNumberFormat="1" applyFont="1" applyBorder="1" applyAlignment="1">
      <alignment horizontal="center" vertical="center" wrapText="1"/>
    </xf>
    <xf numFmtId="39" fontId="0" fillId="0" borderId="62" xfId="0" applyNumberFormat="1" applyBorder="1"/>
    <xf numFmtId="39" fontId="36" fillId="3" borderId="60" xfId="0" applyNumberFormat="1" applyFont="1" applyFill="1" applyBorder="1" applyAlignment="1">
      <alignment horizontal="center"/>
    </xf>
    <xf numFmtId="0" fontId="36" fillId="0" borderId="168" xfId="0" applyFont="1" applyBorder="1" applyAlignment="1" applyProtection="1">
      <alignment horizontal="center" vertical="center" wrapText="1"/>
      <protection locked="0"/>
    </xf>
    <xf numFmtId="39" fontId="36" fillId="0" borderId="168" xfId="0" applyNumberFormat="1" applyFont="1" applyBorder="1" applyAlignment="1">
      <alignment horizontal="center" vertical="center" wrapText="1"/>
    </xf>
    <xf numFmtId="39" fontId="36" fillId="0" borderId="169" xfId="0" applyNumberFormat="1" applyFont="1" applyBorder="1" applyAlignment="1">
      <alignment horizontal="center" vertical="center" wrapText="1"/>
    </xf>
    <xf numFmtId="2" fontId="7" fillId="16" borderId="60" xfId="0" applyNumberFormat="1" applyFont="1" applyFill="1" applyBorder="1" applyAlignment="1">
      <alignment horizontal="center"/>
    </xf>
    <xf numFmtId="39" fontId="0" fillId="3" borderId="48" xfId="0" applyNumberFormat="1" applyFill="1" applyBorder="1"/>
    <xf numFmtId="0" fontId="0" fillId="3" borderId="48" xfId="0" applyFill="1" applyBorder="1"/>
    <xf numFmtId="2" fontId="9" fillId="0" borderId="0" xfId="0" applyNumberFormat="1" applyFont="1" applyAlignment="1">
      <alignment horizontal="center"/>
    </xf>
    <xf numFmtId="169" fontId="9" fillId="0" borderId="0" xfId="0" applyNumberFormat="1" applyFont="1" applyAlignment="1">
      <alignment horizontal="center"/>
    </xf>
    <xf numFmtId="39" fontId="9" fillId="0" borderId="0" xfId="0" applyNumberFormat="1" applyFont="1" applyAlignment="1">
      <alignment horizontal="center"/>
    </xf>
    <xf numFmtId="173" fontId="9" fillId="0" borderId="0" xfId="0" applyNumberFormat="1" applyFont="1" applyAlignment="1">
      <alignment horizontal="center"/>
    </xf>
    <xf numFmtId="39" fontId="9" fillId="0" borderId="0" xfId="0" applyNumberFormat="1" applyFont="1"/>
    <xf numFmtId="0" fontId="60" fillId="0" borderId="5" xfId="0" applyFont="1" applyBorder="1" applyAlignment="1">
      <alignment horizontal="center" wrapText="1"/>
    </xf>
    <xf numFmtId="0" fontId="0" fillId="0" borderId="0" xfId="0" applyAlignment="1">
      <alignment wrapText="1"/>
    </xf>
    <xf numFmtId="39" fontId="0" fillId="0" borderId="0" xfId="0" applyNumberFormat="1" applyAlignment="1">
      <alignment wrapText="1"/>
    </xf>
    <xf numFmtId="0" fontId="0" fillId="0" borderId="0" xfId="0" applyAlignment="1">
      <alignment horizontal="center" wrapText="1"/>
    </xf>
    <xf numFmtId="2" fontId="0" fillId="0" borderId="0" xfId="0" applyNumberFormat="1" applyAlignment="1">
      <alignment horizontal="center" wrapText="1"/>
    </xf>
    <xf numFmtId="173" fontId="0" fillId="0" borderId="0" xfId="0" applyNumberFormat="1" applyAlignment="1">
      <alignment horizontal="center" wrapText="1"/>
    </xf>
    <xf numFmtId="0" fontId="0" fillId="0" borderId="0" xfId="0" applyAlignment="1">
      <alignment horizontal="right" wrapText="1"/>
    </xf>
    <xf numFmtId="37" fontId="0" fillId="0" borderId="0" xfId="0" applyNumberFormat="1" applyAlignment="1">
      <alignment horizontal="center"/>
    </xf>
    <xf numFmtId="0" fontId="36" fillId="4" borderId="120" xfId="0" applyFont="1" applyFill="1" applyBorder="1" applyAlignment="1">
      <alignment horizontal="left"/>
    </xf>
    <xf numFmtId="0" fontId="36" fillId="4" borderId="2" xfId="0" applyFont="1" applyFill="1" applyBorder="1" applyAlignment="1">
      <alignment horizontal="left"/>
    </xf>
    <xf numFmtId="0" fontId="75" fillId="0" borderId="0" xfId="0" applyFont="1" applyAlignment="1">
      <alignment horizontal="center" wrapText="1"/>
    </xf>
    <xf numFmtId="173" fontId="70" fillId="0" borderId="157" xfId="0" applyNumberFormat="1" applyFont="1" applyBorder="1" applyAlignment="1">
      <alignment horizontal="center"/>
    </xf>
    <xf numFmtId="173" fontId="67" fillId="0" borderId="157" xfId="0" applyNumberFormat="1" applyFont="1" applyBorder="1" applyAlignment="1">
      <alignment horizontal="center"/>
    </xf>
    <xf numFmtId="168" fontId="11" fillId="4" borderId="3" xfId="0" applyNumberFormat="1" applyFont="1" applyFill="1" applyBorder="1" applyProtection="1">
      <protection locked="0"/>
    </xf>
    <xf numFmtId="168" fontId="11" fillId="4" borderId="5" xfId="0" applyNumberFormat="1" applyFont="1" applyFill="1" applyBorder="1" applyProtection="1">
      <protection locked="0"/>
    </xf>
    <xf numFmtId="1" fontId="11" fillId="4" borderId="6" xfId="0" applyNumberFormat="1" applyFont="1" applyFill="1" applyBorder="1" applyProtection="1">
      <protection locked="0"/>
    </xf>
    <xf numFmtId="0" fontId="12" fillId="0" borderId="0" xfId="0" applyFont="1" applyAlignment="1">
      <alignment horizontal="center" vertical="center" wrapText="1"/>
    </xf>
    <xf numFmtId="0" fontId="12" fillId="0" borderId="54" xfId="0" applyFont="1" applyBorder="1" applyAlignment="1">
      <alignment horizontal="center" vertical="center"/>
    </xf>
    <xf numFmtId="0" fontId="15" fillId="2" borderId="3" xfId="0" applyFont="1" applyFill="1" applyBorder="1" applyAlignment="1" applyProtection="1">
      <alignment horizontal="center"/>
      <protection locked="0"/>
    </xf>
    <xf numFmtId="0" fontId="12" fillId="0" borderId="55" xfId="0" applyFont="1" applyBorder="1" applyAlignment="1">
      <alignment horizontal="center" vertical="center"/>
    </xf>
    <xf numFmtId="0" fontId="11" fillId="0" borderId="7" xfId="0" applyFont="1" applyBorder="1" applyAlignment="1">
      <alignment horizontal="center" textRotation="90" wrapText="1"/>
    </xf>
    <xf numFmtId="0" fontId="76" fillId="0" borderId="0" xfId="0" applyFont="1" applyAlignment="1">
      <alignment horizontal="center" wrapText="1"/>
    </xf>
    <xf numFmtId="0" fontId="64" fillId="17" borderId="178" xfId="3" applyFont="1" applyFill="1" applyBorder="1" applyAlignment="1">
      <alignment horizontal="center"/>
    </xf>
    <xf numFmtId="14" fontId="64" fillId="0" borderId="157" xfId="3" applyNumberFormat="1" applyFont="1" applyBorder="1" applyAlignment="1">
      <alignment horizontal="center" wrapText="1"/>
    </xf>
    <xf numFmtId="0" fontId="64" fillId="0" borderId="157" xfId="3" applyFont="1" applyBorder="1" applyAlignment="1">
      <alignment horizontal="center" wrapText="1"/>
    </xf>
    <xf numFmtId="0" fontId="41" fillId="7" borderId="5" xfId="0" applyFont="1" applyFill="1" applyBorder="1" applyAlignment="1">
      <alignment vertical="top"/>
    </xf>
    <xf numFmtId="0" fontId="78" fillId="0" borderId="0" xfId="0" applyFont="1" applyAlignment="1">
      <alignment horizontal="center"/>
    </xf>
    <xf numFmtId="0" fontId="78" fillId="0" borderId="0" xfId="0" applyFont="1" applyAlignment="1">
      <alignment horizontal="center" wrapText="1"/>
    </xf>
    <xf numFmtId="0" fontId="12" fillId="0" borderId="54" xfId="0" applyFont="1" applyBorder="1" applyAlignment="1">
      <alignment horizontal="center" vertical="center" wrapText="1"/>
    </xf>
    <xf numFmtId="1" fontId="11" fillId="0" borderId="3" xfId="0" applyNumberFormat="1" applyFont="1" applyBorder="1" applyProtection="1"/>
    <xf numFmtId="1" fontId="11" fillId="0" borderId="10" xfId="0" applyNumberFormat="1" applyFont="1" applyBorder="1" applyProtection="1"/>
    <xf numFmtId="0" fontId="18" fillId="0" borderId="4" xfId="0" applyFont="1" applyBorder="1" applyAlignment="1">
      <alignment horizontal="center"/>
    </xf>
    <xf numFmtId="0" fontId="11" fillId="0" borderId="3" xfId="0" applyFont="1" applyBorder="1" applyAlignment="1" applyProtection="1">
      <alignment horizontal="center"/>
    </xf>
    <xf numFmtId="0" fontId="11" fillId="0" borderId="10" xfId="0" applyFont="1" applyBorder="1" applyAlignment="1" applyProtection="1">
      <alignment horizontal="center"/>
    </xf>
    <xf numFmtId="0" fontId="11" fillId="0" borderId="3" xfId="0" applyFont="1" applyBorder="1" applyProtection="1"/>
    <xf numFmtId="0" fontId="11" fillId="0" borderId="151" xfId="0" applyFont="1" applyBorder="1" applyProtection="1"/>
    <xf numFmtId="0" fontId="11" fillId="0" borderId="150" xfId="0" applyFont="1" applyBorder="1" applyProtection="1"/>
    <xf numFmtId="0" fontId="0" fillId="0" borderId="106" xfId="0" applyBorder="1" applyAlignment="1" applyProtection="1">
      <alignment horizontal="left" vertical="top" wrapText="1" indent="1"/>
      <protection locked="0"/>
    </xf>
    <xf numFmtId="0" fontId="0" fillId="0" borderId="107" xfId="0" applyBorder="1" applyAlignment="1" applyProtection="1">
      <alignment horizontal="left" vertical="top" wrapText="1" indent="1"/>
      <protection locked="0"/>
    </xf>
    <xf numFmtId="0" fontId="0" fillId="0" borderId="108" xfId="0" applyBorder="1" applyAlignment="1" applyProtection="1">
      <alignment horizontal="left" vertical="top" wrapText="1" indent="1"/>
      <protection locked="0"/>
    </xf>
    <xf numFmtId="0" fontId="0" fillId="0" borderId="86" xfId="0" applyBorder="1" applyAlignment="1" applyProtection="1">
      <alignment horizontal="left" vertical="top" wrapText="1" indent="1"/>
      <protection locked="0"/>
    </xf>
    <xf numFmtId="0" fontId="0" fillId="0" borderId="0" xfId="0" applyAlignment="1" applyProtection="1">
      <alignment horizontal="left" vertical="top" wrapText="1" indent="1"/>
      <protection locked="0"/>
    </xf>
    <xf numFmtId="0" fontId="0" fillId="0" borderId="109" xfId="0" applyBorder="1" applyAlignment="1" applyProtection="1">
      <alignment horizontal="left" vertical="top" wrapText="1" indent="1"/>
      <protection locked="0"/>
    </xf>
    <xf numFmtId="0" fontId="0" fillId="0" borderId="110" xfId="0" applyBorder="1" applyAlignment="1" applyProtection="1">
      <alignment horizontal="left" vertical="top" wrapText="1" indent="1"/>
      <protection locked="0"/>
    </xf>
    <xf numFmtId="0" fontId="0" fillId="0" borderId="111" xfId="0" applyBorder="1" applyAlignment="1" applyProtection="1">
      <alignment horizontal="left" vertical="top" wrapText="1" indent="1"/>
      <protection locked="0"/>
    </xf>
    <xf numFmtId="0" fontId="0" fillId="0" borderId="112" xfId="0" applyBorder="1" applyAlignment="1" applyProtection="1">
      <alignment horizontal="left" vertical="top" wrapText="1" indent="1"/>
      <protection locked="0"/>
    </xf>
    <xf numFmtId="0" fontId="8" fillId="0" borderId="60" xfId="0" applyFont="1" applyBorder="1" applyAlignment="1" applyProtection="1">
      <alignment horizontal="left" vertical="center" wrapText="1" indent="4"/>
      <protection hidden="1"/>
    </xf>
    <xf numFmtId="0" fontId="11" fillId="0" borderId="0" xfId="0" applyFont="1" applyAlignment="1" applyProtection="1">
      <alignment horizontal="right"/>
      <protection hidden="1"/>
    </xf>
    <xf numFmtId="170" fontId="11" fillId="0" borderId="1" xfId="0" applyNumberFormat="1" applyFont="1" applyBorder="1" applyAlignment="1" applyProtection="1">
      <alignment horizontal="center"/>
      <protection locked="0"/>
    </xf>
    <xf numFmtId="170" fontId="11" fillId="0" borderId="50" xfId="0" applyNumberFormat="1" applyFont="1" applyBorder="1" applyAlignment="1" applyProtection="1">
      <alignment horizontal="center"/>
      <protection locked="0"/>
    </xf>
    <xf numFmtId="0" fontId="11" fillId="2" borderId="113" xfId="0" applyFont="1" applyFill="1" applyBorder="1" applyAlignment="1" applyProtection="1">
      <alignment horizontal="center" textRotation="90" wrapText="1"/>
      <protection locked="0"/>
    </xf>
    <xf numFmtId="0" fontId="11" fillId="2" borderId="114" xfId="0" applyFont="1" applyFill="1" applyBorder="1" applyAlignment="1" applyProtection="1">
      <alignment horizontal="center" textRotation="90" wrapText="1"/>
      <protection locked="0"/>
    </xf>
    <xf numFmtId="0" fontId="11" fillId="2" borderId="115" xfId="0" applyFont="1" applyFill="1" applyBorder="1" applyAlignment="1" applyProtection="1">
      <alignment horizontal="center" textRotation="90" wrapText="1"/>
      <protection locked="0"/>
    </xf>
    <xf numFmtId="0" fontId="11" fillId="2" borderId="116" xfId="0" applyFont="1" applyFill="1" applyBorder="1" applyAlignment="1" applyProtection="1">
      <alignment horizontal="center" textRotation="90" wrapText="1"/>
      <protection locked="0"/>
    </xf>
    <xf numFmtId="0" fontId="11" fillId="2" borderId="117" xfId="0" applyFont="1" applyFill="1" applyBorder="1" applyAlignment="1" applyProtection="1">
      <alignment horizontal="center" textRotation="90" wrapText="1"/>
      <protection locked="0"/>
    </xf>
    <xf numFmtId="0" fontId="11" fillId="2" borderId="118" xfId="0" applyFont="1" applyFill="1" applyBorder="1" applyAlignment="1" applyProtection="1">
      <alignment horizontal="center" textRotation="90" wrapText="1"/>
      <protection locked="0"/>
    </xf>
    <xf numFmtId="0" fontId="32" fillId="0" borderId="42" xfId="0" applyFont="1" applyBorder="1" applyAlignment="1">
      <alignment horizontal="left" vertical="center" wrapText="1" indent="3"/>
    </xf>
    <xf numFmtId="0" fontId="32" fillId="0" borderId="50" xfId="0" applyFont="1" applyBorder="1" applyAlignment="1">
      <alignment horizontal="left" vertical="center" wrapText="1" indent="3"/>
    </xf>
    <xf numFmtId="0" fontId="32" fillId="0" borderId="119" xfId="0" applyFont="1" applyBorder="1" applyAlignment="1">
      <alignment horizontal="left" vertical="center" wrapText="1"/>
    </xf>
    <xf numFmtId="0" fontId="32" fillId="0" borderId="42" xfId="0" applyFont="1" applyBorder="1" applyAlignment="1">
      <alignment horizontal="left" vertical="center" wrapText="1"/>
    </xf>
    <xf numFmtId="0" fontId="32" fillId="0" borderId="50" xfId="0" applyFont="1" applyBorder="1" applyAlignment="1">
      <alignment horizontal="left" vertical="center" wrapText="1"/>
    </xf>
    <xf numFmtId="49" fontId="9" fillId="0" borderId="103" xfId="0" applyNumberFormat="1" applyFont="1" applyBorder="1" applyAlignment="1" applyProtection="1">
      <alignment horizontal="left" wrapText="1" indent="1"/>
      <protection locked="0"/>
    </xf>
    <xf numFmtId="49" fontId="9" fillId="0" borderId="60" xfId="0" applyNumberFormat="1" applyFont="1" applyBorder="1" applyAlignment="1" applyProtection="1">
      <alignment horizontal="left" wrapText="1" indent="1"/>
      <protection locked="0"/>
    </xf>
    <xf numFmtId="49" fontId="9" fillId="0" borderId="61" xfId="0" applyNumberFormat="1" applyFont="1" applyBorder="1" applyAlignment="1" applyProtection="1">
      <alignment horizontal="left" wrapText="1" indent="1"/>
      <protection locked="0"/>
    </xf>
    <xf numFmtId="171" fontId="9" fillId="0" borderId="128" xfId="0" applyNumberFormat="1" applyFont="1" applyBorder="1" applyAlignment="1" applyProtection="1">
      <alignment horizontal="left" vertical="top" wrapText="1" indent="1"/>
      <protection locked="0"/>
    </xf>
    <xf numFmtId="171" fontId="9" fillId="0" borderId="129" xfId="0" applyNumberFormat="1" applyFont="1" applyBorder="1" applyAlignment="1" applyProtection="1">
      <alignment horizontal="left" vertical="top" wrapText="1" indent="1"/>
      <protection locked="0"/>
    </xf>
    <xf numFmtId="0" fontId="35" fillId="0" borderId="122" xfId="0" applyFont="1" applyBorder="1" applyAlignment="1">
      <alignment horizontal="left" vertical="center" wrapText="1" indent="1"/>
    </xf>
    <xf numFmtId="0" fontId="35" fillId="0" borderId="123" xfId="0" applyFont="1" applyBorder="1" applyAlignment="1">
      <alignment horizontal="left" vertical="center" wrapText="1" indent="1"/>
    </xf>
    <xf numFmtId="0" fontId="35" fillId="0" borderId="124" xfId="0" applyFont="1" applyBorder="1" applyAlignment="1">
      <alignment horizontal="left" vertical="center" wrapText="1" indent="1"/>
    </xf>
    <xf numFmtId="0" fontId="35" fillId="0" borderId="125" xfId="0" applyFont="1" applyBorder="1" applyAlignment="1">
      <alignment horizontal="center" vertical="center" wrapText="1" indent="1"/>
    </xf>
    <xf numFmtId="0" fontId="35" fillId="0" borderId="124" xfId="0" applyFont="1" applyBorder="1" applyAlignment="1">
      <alignment horizontal="center" vertical="center" wrapText="1" indent="1"/>
    </xf>
    <xf numFmtId="0" fontId="11" fillId="0" borderId="103" xfId="0" applyFont="1" applyBorder="1" applyAlignment="1">
      <alignment horizontal="right" vertical="center"/>
    </xf>
    <xf numFmtId="0" fontId="11" fillId="0" borderId="60" xfId="0" applyFont="1" applyBorder="1" applyAlignment="1">
      <alignment horizontal="right" vertical="center"/>
    </xf>
    <xf numFmtId="0" fontId="11" fillId="0" borderId="61" xfId="0" applyFont="1" applyBorder="1" applyAlignment="1">
      <alignment horizontal="right" vertical="center"/>
    </xf>
    <xf numFmtId="0" fontId="11" fillId="0" borderId="126" xfId="0" applyFont="1" applyBorder="1" applyAlignment="1">
      <alignment horizontal="right" vertical="center"/>
    </xf>
    <xf numFmtId="0" fontId="11" fillId="0" borderId="127" xfId="0" applyFont="1" applyBorder="1" applyAlignment="1">
      <alignment horizontal="right" vertical="center"/>
    </xf>
    <xf numFmtId="0" fontId="32" fillId="0" borderId="119" xfId="0" applyFont="1" applyBorder="1" applyAlignment="1">
      <alignment horizontal="left" vertical="center" wrapText="1" indent="3"/>
    </xf>
    <xf numFmtId="0" fontId="32" fillId="7" borderId="120" xfId="0" applyFont="1" applyFill="1" applyBorder="1" applyAlignment="1">
      <alignment horizontal="left" vertical="center"/>
    </xf>
    <xf numFmtId="0" fontId="32" fillId="7" borderId="48" xfId="0" applyFont="1" applyFill="1" applyBorder="1" applyAlignment="1">
      <alignment horizontal="left" vertical="center"/>
    </xf>
    <xf numFmtId="0" fontId="32" fillId="7" borderId="121" xfId="0" applyFont="1" applyFill="1" applyBorder="1" applyAlignment="1">
      <alignment horizontal="left" vertical="center"/>
    </xf>
    <xf numFmtId="0" fontId="32" fillId="0" borderId="119" xfId="0" applyFont="1" applyBorder="1" applyAlignment="1">
      <alignment horizontal="left" vertical="center"/>
    </xf>
    <xf numFmtId="0" fontId="32" fillId="0" borderId="42" xfId="0" applyFont="1" applyBorder="1" applyAlignment="1">
      <alignment horizontal="left" vertical="center"/>
    </xf>
    <xf numFmtId="0" fontId="32" fillId="0" borderId="50" xfId="0" applyFont="1" applyBorder="1" applyAlignment="1">
      <alignment horizontal="left" vertical="center"/>
    </xf>
    <xf numFmtId="0" fontId="11" fillId="0" borderId="130" xfId="0" applyFont="1" applyBorder="1" applyAlignment="1">
      <alignment horizontal="center" vertical="center"/>
    </xf>
    <xf numFmtId="0" fontId="11" fillId="0" borderId="131" xfId="0" applyFont="1" applyBorder="1" applyAlignment="1">
      <alignment horizontal="center" vertical="center"/>
    </xf>
    <xf numFmtId="0" fontId="11" fillId="0" borderId="132" xfId="0" applyFont="1" applyBorder="1" applyAlignment="1">
      <alignment horizontal="center" vertical="center"/>
    </xf>
    <xf numFmtId="0" fontId="11" fillId="0" borderId="133" xfId="0" applyFont="1" applyBorder="1" applyAlignment="1">
      <alignment horizontal="center" vertical="center"/>
    </xf>
    <xf numFmtId="0" fontId="11" fillId="0" borderId="28" xfId="0" applyFont="1" applyBorder="1" applyAlignment="1">
      <alignment horizontal="center" vertical="center"/>
    </xf>
    <xf numFmtId="0" fontId="11" fillId="0" borderId="27" xfId="0" applyFont="1" applyBorder="1" applyAlignment="1">
      <alignment horizontal="center" vertical="center"/>
    </xf>
    <xf numFmtId="0" fontId="11" fillId="0" borderId="130" xfId="0" applyFont="1" applyBorder="1" applyAlignment="1">
      <alignment horizontal="center" vertical="center" wrapText="1"/>
    </xf>
    <xf numFmtId="0" fontId="11" fillId="0" borderId="131" xfId="0" applyFont="1" applyBorder="1" applyAlignment="1">
      <alignment horizontal="center" vertical="center" wrapText="1"/>
    </xf>
    <xf numFmtId="0" fontId="11" fillId="0" borderId="134" xfId="0" applyFont="1" applyBorder="1" applyAlignment="1">
      <alignment horizontal="center" vertical="center" wrapText="1"/>
    </xf>
    <xf numFmtId="0" fontId="11" fillId="0" borderId="133" xfId="0" applyFont="1" applyBorder="1" applyAlignment="1">
      <alignment horizontal="center" vertical="center" wrapText="1"/>
    </xf>
    <xf numFmtId="0" fontId="11" fillId="0" borderId="28" xfId="0" applyFont="1" applyBorder="1" applyAlignment="1">
      <alignment horizontal="center" vertical="center" wrapText="1"/>
    </xf>
    <xf numFmtId="0" fontId="11" fillId="0" borderId="29" xfId="0" applyFont="1" applyBorder="1" applyAlignment="1">
      <alignment horizontal="center" vertical="center" wrapText="1"/>
    </xf>
    <xf numFmtId="0" fontId="11" fillId="0" borderId="103" xfId="0" applyFont="1" applyBorder="1" applyAlignment="1">
      <alignment horizontal="left" vertical="center" indent="1"/>
    </xf>
    <xf numFmtId="0" fontId="11" fillId="0" borderId="60" xfId="0" applyFont="1" applyBorder="1" applyAlignment="1">
      <alignment horizontal="left" vertical="center" indent="1"/>
    </xf>
    <xf numFmtId="0" fontId="11" fillId="0" borderId="61" xfId="0" applyFont="1" applyBorder="1" applyAlignment="1">
      <alignment horizontal="left" vertical="center" indent="1"/>
    </xf>
    <xf numFmtId="0" fontId="20" fillId="0" borderId="0" xfId="0" applyFont="1" applyAlignment="1">
      <alignment horizontal="center" vertical="center" wrapText="1"/>
    </xf>
    <xf numFmtId="0" fontId="9" fillId="0" borderId="135" xfId="0" applyFont="1" applyBorder="1" applyAlignment="1">
      <alignment horizontal="center" vertical="center"/>
    </xf>
    <xf numFmtId="0" fontId="9" fillId="0" borderId="136" xfId="0" applyFont="1" applyBorder="1" applyAlignment="1">
      <alignment horizontal="center" vertical="center"/>
    </xf>
    <xf numFmtId="0" fontId="9" fillId="0" borderId="137" xfId="0" applyFont="1" applyBorder="1" applyAlignment="1">
      <alignment horizontal="center" vertical="center"/>
    </xf>
    <xf numFmtId="0" fontId="9" fillId="0" borderId="138" xfId="0" applyFont="1" applyBorder="1" applyAlignment="1">
      <alignment horizontal="center" vertical="center"/>
    </xf>
    <xf numFmtId="0" fontId="11" fillId="0" borderId="139" xfId="0" applyFont="1" applyBorder="1" applyAlignment="1">
      <alignment horizontal="center" vertical="top" wrapText="1"/>
    </xf>
    <xf numFmtId="0" fontId="11" fillId="0" borderId="116" xfId="0" applyFont="1" applyBorder="1" applyAlignment="1">
      <alignment horizontal="center" vertical="top" wrapText="1"/>
    </xf>
    <xf numFmtId="0" fontId="22" fillId="0" borderId="0" xfId="0" applyFont="1" applyAlignment="1">
      <alignment horizontal="left" vertical="center" wrapText="1" indent="1"/>
    </xf>
    <xf numFmtId="0" fontId="11" fillId="0" borderId="64" xfId="0" applyFont="1" applyBorder="1" applyAlignment="1">
      <alignment horizontal="center" vertical="center" textRotation="90" wrapText="1"/>
    </xf>
    <xf numFmtId="0" fontId="11" fillId="0" borderId="53" xfId="0" applyFont="1" applyBorder="1" applyAlignment="1">
      <alignment horizontal="center" vertical="center" textRotation="90" wrapText="1"/>
    </xf>
    <xf numFmtId="0" fontId="11" fillId="0" borderId="140" xfId="0" applyFont="1" applyBorder="1" applyAlignment="1">
      <alignment horizontal="center" vertical="center" textRotation="90" wrapText="1"/>
    </xf>
    <xf numFmtId="0" fontId="11" fillId="4" borderId="2" xfId="0" applyFont="1" applyFill="1" applyBorder="1" applyAlignment="1">
      <alignment horizontal="center" vertical="top" wrapText="1"/>
    </xf>
    <xf numFmtId="0" fontId="11" fillId="4" borderId="5" xfId="0" applyFont="1" applyFill="1" applyBorder="1" applyAlignment="1">
      <alignment horizontal="center" vertical="top" wrapText="1"/>
    </xf>
    <xf numFmtId="0" fontId="11" fillId="4" borderId="82" xfId="0" applyFont="1" applyFill="1" applyBorder="1" applyAlignment="1">
      <alignment horizontal="center" vertical="top" wrapText="1"/>
    </xf>
    <xf numFmtId="0" fontId="49" fillId="0" borderId="0" xfId="0" applyFont="1" applyAlignment="1" applyProtection="1">
      <alignment horizontal="left" vertical="top" wrapText="1" indent="2"/>
      <protection hidden="1"/>
    </xf>
    <xf numFmtId="0" fontId="8" fillId="0" borderId="51" xfId="0" applyFont="1" applyBorder="1" applyAlignment="1" applyProtection="1">
      <alignment horizontal="left" vertical="top" wrapText="1" indent="1"/>
      <protection hidden="1"/>
    </xf>
    <xf numFmtId="0" fontId="44" fillId="0" borderId="0" xfId="0" applyFont="1" applyAlignment="1" applyProtection="1">
      <alignment horizontal="center"/>
      <protection hidden="1"/>
    </xf>
    <xf numFmtId="0" fontId="45" fillId="0" borderId="0" xfId="0" applyFont="1" applyAlignment="1" applyProtection="1">
      <alignment horizontal="center"/>
      <protection hidden="1"/>
    </xf>
    <xf numFmtId="0" fontId="8" fillId="0" borderId="141" xfId="0" applyFont="1" applyBorder="1" applyAlignment="1" applyProtection="1">
      <alignment horizontal="left" vertical="top" wrapText="1" indent="1"/>
      <protection locked="0" hidden="1"/>
    </xf>
    <xf numFmtId="0" fontId="8" fillId="0" borderId="0" xfId="0" applyFont="1" applyAlignment="1" applyProtection="1">
      <alignment horizontal="left" vertical="top" wrapText="1" indent="1"/>
      <protection locked="0" hidden="1"/>
    </xf>
    <xf numFmtId="0" fontId="8" fillId="0" borderId="142" xfId="0" applyFont="1" applyBorder="1" applyAlignment="1" applyProtection="1">
      <alignment horizontal="left" vertical="top" wrapText="1" indent="1"/>
      <protection locked="0" hidden="1"/>
    </xf>
    <xf numFmtId="0" fontId="58" fillId="12" borderId="65" xfId="0" applyFont="1" applyFill="1" applyBorder="1" applyAlignment="1">
      <alignment horizontal="center"/>
    </xf>
    <xf numFmtId="0" fontId="58" fillId="12" borderId="67" xfId="0" applyFont="1" applyFill="1" applyBorder="1" applyAlignment="1">
      <alignment horizontal="center"/>
    </xf>
    <xf numFmtId="0" fontId="57" fillId="0" borderId="0" xfId="0" applyFont="1" applyAlignment="1">
      <alignment horizontal="center"/>
    </xf>
    <xf numFmtId="0" fontId="2" fillId="0" borderId="0" xfId="0" applyFont="1" applyAlignment="1">
      <alignment horizontal="center"/>
    </xf>
    <xf numFmtId="0" fontId="11" fillId="0" borderId="46" xfId="0" applyFont="1" applyBorder="1" applyAlignment="1">
      <alignment horizontal="center"/>
    </xf>
    <xf numFmtId="0" fontId="11" fillId="0" borderId="5" xfId="0" applyFont="1" applyBorder="1" applyAlignment="1">
      <alignment horizontal="center"/>
    </xf>
    <xf numFmtId="0" fontId="58" fillId="12" borderId="66" xfId="0" applyFont="1" applyFill="1" applyBorder="1" applyAlignment="1">
      <alignment horizontal="center"/>
    </xf>
    <xf numFmtId="0" fontId="58" fillId="13" borderId="122" xfId="0" applyFont="1" applyFill="1" applyBorder="1" applyAlignment="1">
      <alignment horizontal="center"/>
    </xf>
    <xf numFmtId="0" fontId="58" fillId="13" borderId="123" xfId="0" applyFont="1" applyFill="1" applyBorder="1" applyAlignment="1">
      <alignment horizontal="center"/>
    </xf>
    <xf numFmtId="0" fontId="58" fillId="13" borderId="66" xfId="0" applyFont="1" applyFill="1" applyBorder="1" applyAlignment="1">
      <alignment horizontal="center"/>
    </xf>
    <xf numFmtId="0" fontId="58" fillId="13" borderId="67" xfId="0" applyFont="1" applyFill="1" applyBorder="1" applyAlignment="1">
      <alignment horizontal="center"/>
    </xf>
    <xf numFmtId="0" fontId="58" fillId="7" borderId="122" xfId="0" applyFont="1" applyFill="1" applyBorder="1" applyAlignment="1">
      <alignment horizontal="center"/>
    </xf>
    <xf numFmtId="0" fontId="58" fillId="7" borderId="123" xfId="0" applyFont="1" applyFill="1" applyBorder="1" applyAlignment="1">
      <alignment horizontal="center"/>
    </xf>
    <xf numFmtId="0" fontId="58" fillId="7" borderId="85" xfId="0" applyFont="1" applyFill="1" applyBorder="1" applyAlignment="1">
      <alignment horizontal="center"/>
    </xf>
    <xf numFmtId="0" fontId="11" fillId="0" borderId="155" xfId="0" applyFont="1" applyBorder="1" applyAlignment="1">
      <alignment horizontal="center" textRotation="90" wrapText="1"/>
    </xf>
    <xf numFmtId="0" fontId="11" fillId="0" borderId="7" xfId="0" applyFont="1" applyBorder="1" applyAlignment="1">
      <alignment horizontal="center" textRotation="90" wrapText="1"/>
    </xf>
    <xf numFmtId="0" fontId="11" fillId="0" borderId="48" xfId="0" applyFont="1" applyBorder="1" applyAlignment="1">
      <alignment horizontal="center" textRotation="90" wrapText="1"/>
    </xf>
    <xf numFmtId="0" fontId="11" fillId="0" borderId="0" xfId="0" applyFont="1" applyAlignment="1">
      <alignment horizontal="center" textRotation="90" wrapText="1"/>
    </xf>
    <xf numFmtId="0" fontId="11" fillId="0" borderId="156" xfId="0" applyFont="1" applyBorder="1" applyAlignment="1">
      <alignment horizontal="center" textRotation="90" wrapText="1"/>
    </xf>
    <xf numFmtId="0" fontId="11" fillId="0" borderId="55" xfId="0" applyFont="1" applyBorder="1" applyAlignment="1">
      <alignment horizontal="center" textRotation="90" wrapText="1"/>
    </xf>
    <xf numFmtId="0" fontId="58" fillId="0" borderId="122" xfId="0" applyFont="1" applyBorder="1" applyAlignment="1">
      <alignment horizontal="center"/>
    </xf>
    <xf numFmtId="0" fontId="58" fillId="0" borderId="85" xfId="0" applyFont="1" applyBorder="1" applyAlignment="1">
      <alignment horizontal="center"/>
    </xf>
    <xf numFmtId="0" fontId="58" fillId="12" borderId="122" xfId="0" applyFont="1" applyFill="1" applyBorder="1" applyAlignment="1">
      <alignment horizontal="center"/>
    </xf>
    <xf numFmtId="0" fontId="58" fillId="12" borderId="123" xfId="0" applyFont="1" applyFill="1" applyBorder="1" applyAlignment="1">
      <alignment horizontal="center"/>
    </xf>
    <xf numFmtId="0" fontId="58" fillId="12" borderId="85" xfId="0" applyFont="1" applyFill="1" applyBorder="1" applyAlignment="1">
      <alignment horizontal="center"/>
    </xf>
    <xf numFmtId="0" fontId="58" fillId="14" borderId="122" xfId="0" applyFont="1" applyFill="1" applyBorder="1" applyAlignment="1">
      <alignment horizontal="center"/>
    </xf>
    <xf numFmtId="0" fontId="58" fillId="14" borderId="85" xfId="0" applyFont="1" applyFill="1" applyBorder="1" applyAlignment="1">
      <alignment horizontal="center"/>
    </xf>
    <xf numFmtId="0" fontId="62" fillId="12" borderId="66" xfId="0" applyFont="1" applyFill="1" applyBorder="1" applyAlignment="1">
      <alignment horizontal="center"/>
    </xf>
    <xf numFmtId="0" fontId="62" fillId="12" borderId="67" xfId="0" applyFont="1" applyFill="1" applyBorder="1" applyAlignment="1">
      <alignment horizontal="center"/>
    </xf>
    <xf numFmtId="0" fontId="63" fillId="7" borderId="66" xfId="0" applyFont="1" applyFill="1" applyBorder="1" applyAlignment="1">
      <alignment horizontal="center"/>
    </xf>
    <xf numFmtId="0" fontId="63" fillId="7" borderId="67" xfId="0" applyFont="1" applyFill="1" applyBorder="1" applyAlignment="1">
      <alignment horizontal="center"/>
    </xf>
    <xf numFmtId="0" fontId="9" fillId="0" borderId="69" xfId="2" applyFont="1" applyBorder="1" applyAlignment="1">
      <alignment horizontal="center" vertical="center" wrapText="1"/>
    </xf>
    <xf numFmtId="0" fontId="9" fillId="0" borderId="58" xfId="2" applyFont="1" applyBorder="1" applyAlignment="1">
      <alignment horizontal="center" vertical="center" wrapText="1"/>
    </xf>
    <xf numFmtId="0" fontId="9" fillId="0" borderId="77" xfId="2" applyFont="1" applyBorder="1" applyAlignment="1">
      <alignment horizontal="center" vertical="center" wrapText="1"/>
    </xf>
    <xf numFmtId="0" fontId="63" fillId="7" borderId="7" xfId="0" applyFont="1" applyFill="1" applyBorder="1" applyAlignment="1">
      <alignment horizontal="center"/>
    </xf>
    <xf numFmtId="0" fontId="63" fillId="7" borderId="55" xfId="0" applyFont="1" applyFill="1" applyBorder="1" applyAlignment="1">
      <alignment horizontal="center"/>
    </xf>
    <xf numFmtId="0" fontId="63" fillId="7" borderId="7" xfId="0" applyFont="1" applyFill="1" applyBorder="1" applyAlignment="1">
      <alignment horizontal="center" vertical="top"/>
    </xf>
    <xf numFmtId="0" fontId="63" fillId="7" borderId="55" xfId="0" applyFont="1" applyFill="1" applyBorder="1" applyAlignment="1">
      <alignment horizontal="center" vertical="top"/>
    </xf>
    <xf numFmtId="0" fontId="63" fillId="7" borderId="56" xfId="0" applyFont="1" applyFill="1" applyBorder="1" applyAlignment="1">
      <alignment horizontal="center" vertical="top"/>
    </xf>
    <xf numFmtId="0" fontId="63" fillId="7" borderId="19" xfId="0" applyFont="1" applyFill="1" applyBorder="1" applyAlignment="1">
      <alignment horizontal="center" vertical="top"/>
    </xf>
    <xf numFmtId="0" fontId="63" fillId="7" borderId="56" xfId="0" applyFont="1" applyFill="1" applyBorder="1" applyAlignment="1">
      <alignment horizontal="center"/>
    </xf>
    <xf numFmtId="0" fontId="63" fillId="7" borderId="19" xfId="0" applyFont="1" applyFill="1" applyBorder="1" applyAlignment="1">
      <alignment horizontal="center"/>
    </xf>
    <xf numFmtId="0" fontId="0" fillId="18" borderId="0" xfId="0" applyFill="1"/>
    <xf numFmtId="3" fontId="0" fillId="18" borderId="0" xfId="0" applyNumberFormat="1" applyFill="1"/>
  </cellXfs>
  <cellStyles count="4">
    <cellStyle name="Hyperlink" xfId="1" builtinId="8"/>
    <cellStyle name="Normal" xfId="0" builtinId="0"/>
    <cellStyle name="Normal 2" xfId="2" xr:uid="{00000000-0005-0000-0000-000002000000}"/>
    <cellStyle name="Normal_User Data" xfId="3" xr:uid="{DED10E14-8F7B-4204-ADB8-285880843DBF}"/>
  </cellStyles>
  <dxfs count="94">
    <dxf>
      <fill>
        <patternFill>
          <bgColor indexed="52"/>
        </patternFill>
      </fill>
    </dxf>
    <dxf>
      <fill>
        <patternFill>
          <bgColor indexed="46"/>
        </patternFill>
      </fill>
    </dxf>
    <dxf>
      <fill>
        <patternFill>
          <bgColor indexed="52"/>
        </patternFill>
      </fill>
    </dxf>
    <dxf>
      <fill>
        <patternFill>
          <bgColor indexed="46"/>
        </patternFill>
      </fill>
    </dxf>
    <dxf>
      <fill>
        <patternFill>
          <bgColor indexed="52"/>
        </patternFill>
      </fill>
    </dxf>
    <dxf>
      <fill>
        <patternFill>
          <bgColor indexed="46"/>
        </patternFill>
      </fill>
    </dxf>
    <dxf>
      <fill>
        <patternFill patternType="none">
          <bgColor indexed="65"/>
        </patternFill>
      </fill>
    </dxf>
    <dxf>
      <fill>
        <patternFill>
          <bgColor indexed="52"/>
        </patternFill>
      </fill>
    </dxf>
    <dxf>
      <fill>
        <patternFill>
          <bgColor indexed="46"/>
        </patternFill>
      </fill>
    </dxf>
    <dxf>
      <fill>
        <patternFill>
          <bgColor indexed="52"/>
        </patternFill>
      </fill>
    </dxf>
    <dxf>
      <fill>
        <patternFill>
          <bgColor indexed="46"/>
        </patternFill>
      </fill>
    </dxf>
    <dxf>
      <fill>
        <patternFill>
          <bgColor indexed="52"/>
        </patternFill>
      </fill>
    </dxf>
    <dxf>
      <fill>
        <patternFill>
          <bgColor indexed="46"/>
        </patternFill>
      </fill>
    </dxf>
    <dxf>
      <fill>
        <patternFill patternType="none">
          <bgColor indexed="65"/>
        </patternFill>
      </fill>
    </dxf>
    <dxf>
      <fill>
        <patternFill>
          <bgColor indexed="22"/>
        </patternFill>
      </fill>
    </dxf>
    <dxf>
      <font>
        <b val="0"/>
        <i val="0"/>
        <condense val="0"/>
        <extend val="0"/>
      </font>
      <fill>
        <patternFill patternType="none">
          <bgColor indexed="65"/>
        </patternFill>
      </fill>
      <border>
        <left style="hair">
          <color indexed="64"/>
        </left>
        <right style="hair">
          <color indexed="64"/>
        </right>
        <top style="hair">
          <color indexed="64"/>
        </top>
        <bottom style="hair">
          <color indexed="64"/>
        </bottom>
      </border>
    </dxf>
    <dxf>
      <fill>
        <patternFill>
          <bgColor indexed="22"/>
        </patternFill>
      </fill>
    </dxf>
    <dxf>
      <font>
        <b val="0"/>
        <i val="0"/>
        <condense val="0"/>
        <extend val="0"/>
      </font>
      <fill>
        <patternFill patternType="none">
          <bgColor indexed="65"/>
        </patternFill>
      </fill>
      <border>
        <left style="hair">
          <color indexed="64"/>
        </left>
        <right style="hair">
          <color indexed="64"/>
        </right>
        <top style="hair">
          <color indexed="64"/>
        </top>
        <bottom style="hair">
          <color indexed="64"/>
        </bottom>
      </border>
    </dxf>
    <dxf>
      <fill>
        <patternFill>
          <bgColor indexed="22"/>
        </patternFill>
      </fill>
    </dxf>
    <dxf>
      <font>
        <b/>
        <i val="0"/>
        <condense val="0"/>
        <extend val="0"/>
      </font>
      <fill>
        <patternFill>
          <bgColor indexed="45"/>
        </patternFill>
      </fill>
      <border>
        <left style="thin">
          <color indexed="64"/>
        </left>
        <right style="thin">
          <color indexed="64"/>
        </right>
        <top style="thin">
          <color indexed="64"/>
        </top>
        <bottom style="thin">
          <color indexed="64"/>
        </bottom>
      </border>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border>
        <left/>
        <right style="thin">
          <color indexed="64"/>
        </right>
        <top style="thin">
          <color indexed="64"/>
        </top>
        <bottom style="thin">
          <color indexed="64"/>
        </bottom>
      </border>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patternType="solid">
          <bgColor indexed="13"/>
        </patternFill>
      </fill>
    </dxf>
    <dxf>
      <fill>
        <patternFill>
          <bgColor indexed="13"/>
        </patternFill>
      </fill>
    </dxf>
    <dxf>
      <font>
        <i val="0"/>
        <condense val="0"/>
        <extend val="0"/>
        <color auto="1"/>
      </font>
      <fill>
        <patternFill patternType="solid">
          <bgColor indexed="13"/>
        </patternFill>
      </fill>
    </dxf>
    <dxf>
      <fill>
        <patternFill patternType="none">
          <bgColor indexed="65"/>
        </patternFill>
      </fill>
    </dxf>
    <dxf>
      <fill>
        <patternFill>
          <bgColor indexed="52"/>
        </patternFill>
      </fill>
    </dxf>
    <dxf>
      <fill>
        <patternFill>
          <bgColor indexed="46"/>
        </patternFill>
      </fill>
    </dxf>
    <dxf>
      <fill>
        <patternFill>
          <bgColor indexed="23"/>
        </patternFill>
      </fill>
    </dxf>
    <dxf>
      <fill>
        <patternFill>
          <bgColor indexed="23"/>
        </patternFill>
      </fill>
    </dxf>
    <dxf>
      <fill>
        <patternFill>
          <bgColor indexed="52"/>
        </patternFill>
      </fill>
    </dxf>
    <dxf>
      <fill>
        <patternFill>
          <bgColor indexed="46"/>
        </patternFill>
      </fill>
    </dxf>
    <dxf>
      <fill>
        <patternFill>
          <bgColor indexed="23"/>
        </patternFill>
      </fill>
    </dxf>
    <dxf>
      <fill>
        <patternFill>
          <bgColor indexed="23"/>
        </patternFill>
      </fill>
    </dxf>
    <dxf>
      <fill>
        <patternFill>
          <bgColor indexed="52"/>
        </patternFill>
      </fill>
    </dxf>
    <dxf>
      <fill>
        <patternFill>
          <bgColor indexed="46"/>
        </patternFill>
      </fill>
    </dxf>
    <dxf>
      <fill>
        <patternFill>
          <bgColor indexed="23"/>
        </patternFill>
      </fill>
    </dxf>
    <dxf>
      <fill>
        <patternFill>
          <bgColor indexed="23"/>
        </patternFill>
      </fill>
    </dxf>
    <dxf>
      <fill>
        <patternFill>
          <bgColor indexed="52"/>
        </patternFill>
      </fill>
    </dxf>
    <dxf>
      <fill>
        <patternFill>
          <bgColor indexed="46"/>
        </patternFill>
      </fill>
    </dxf>
    <dxf>
      <fill>
        <patternFill>
          <bgColor indexed="23"/>
        </patternFill>
      </fill>
    </dxf>
    <dxf>
      <fill>
        <patternFill>
          <bgColor indexed="23"/>
        </patternFill>
      </fill>
    </dxf>
    <dxf>
      <fill>
        <patternFill>
          <bgColor indexed="52"/>
        </patternFill>
      </fill>
    </dxf>
    <dxf>
      <fill>
        <patternFill>
          <bgColor indexed="46"/>
        </patternFill>
      </fill>
    </dxf>
    <dxf>
      <fill>
        <patternFill>
          <bgColor indexed="23"/>
        </patternFill>
      </fill>
    </dxf>
    <dxf>
      <fill>
        <patternFill>
          <bgColor indexed="23"/>
        </patternFill>
      </fill>
    </dxf>
    <dxf>
      <fill>
        <patternFill>
          <bgColor indexed="52"/>
        </patternFill>
      </fill>
    </dxf>
    <dxf>
      <fill>
        <patternFill>
          <bgColor indexed="46"/>
        </patternFill>
      </fill>
    </dxf>
    <dxf>
      <fill>
        <patternFill>
          <bgColor indexed="23"/>
        </patternFill>
      </fill>
    </dxf>
    <dxf>
      <fill>
        <patternFill>
          <bgColor indexed="23"/>
        </patternFill>
      </fill>
    </dxf>
    <dxf>
      <fill>
        <patternFill>
          <bgColor indexed="52"/>
        </patternFill>
      </fill>
    </dxf>
    <dxf>
      <fill>
        <patternFill>
          <bgColor indexed="46"/>
        </patternFill>
      </fill>
    </dxf>
    <dxf>
      <fill>
        <patternFill>
          <bgColor indexed="23"/>
        </patternFill>
      </fill>
    </dxf>
    <dxf>
      <fill>
        <patternFill>
          <bgColor indexed="23"/>
        </patternFill>
      </fill>
    </dxf>
    <dxf>
      <fill>
        <patternFill>
          <bgColor indexed="52"/>
        </patternFill>
      </fill>
    </dxf>
    <dxf>
      <fill>
        <patternFill>
          <bgColor indexed="46"/>
        </patternFill>
      </fill>
    </dxf>
    <dxf>
      <fill>
        <patternFill>
          <bgColor indexed="23"/>
        </patternFill>
      </fill>
    </dxf>
    <dxf>
      <fill>
        <patternFill>
          <bgColor indexed="23"/>
        </patternFill>
      </fill>
    </dxf>
    <dxf>
      <fill>
        <patternFill>
          <bgColor indexed="52"/>
        </patternFill>
      </fill>
    </dxf>
    <dxf>
      <fill>
        <patternFill>
          <bgColor indexed="46"/>
        </patternFill>
      </fill>
    </dxf>
    <dxf>
      <fill>
        <patternFill>
          <bgColor indexed="23"/>
        </patternFill>
      </fill>
    </dxf>
    <dxf>
      <fill>
        <patternFill>
          <bgColor indexed="52"/>
        </patternFill>
      </fill>
    </dxf>
    <dxf>
      <fill>
        <patternFill>
          <bgColor indexed="46"/>
        </patternFill>
      </fill>
    </dxf>
    <dxf>
      <fill>
        <patternFill>
          <bgColor indexed="52"/>
        </patternFill>
      </fill>
    </dxf>
    <dxf>
      <fill>
        <patternFill>
          <bgColor indexed="46"/>
        </patternFill>
      </fill>
    </dxf>
    <dxf>
      <fill>
        <patternFill>
          <bgColor indexed="23"/>
        </patternFill>
      </fill>
    </dxf>
    <dxf>
      <fill>
        <patternFill>
          <bgColor indexed="46"/>
        </patternFill>
      </fill>
    </dxf>
    <dxf>
      <fill>
        <patternFill>
          <bgColor indexed="13"/>
        </patternFill>
      </fill>
    </dxf>
    <dxf>
      <fill>
        <patternFill>
          <bgColor indexed="13"/>
        </patternFill>
      </fill>
    </dxf>
    <dxf>
      <fill>
        <patternFill>
          <bgColor indexed="13"/>
        </patternFill>
      </fill>
    </dxf>
    <dxf>
      <fill>
        <patternFill>
          <bgColor indexed="13"/>
        </patternFill>
      </fill>
    </dxf>
    <dxf>
      <font>
        <b val="0"/>
        <i val="0"/>
        <condense val="0"/>
        <extend val="0"/>
        <color indexed="10"/>
      </font>
      <fill>
        <patternFill>
          <bgColor indexed="13"/>
        </patternFill>
      </fill>
    </dxf>
    <dxf>
      <fill>
        <patternFill>
          <bgColor indexed="52"/>
        </patternFill>
      </fill>
    </dxf>
    <dxf>
      <fill>
        <patternFill>
          <bgColor indexed="46"/>
        </patternFill>
      </fill>
    </dxf>
    <dxf>
      <fill>
        <patternFill>
          <bgColor indexed="23"/>
        </patternFill>
      </fill>
    </dxf>
  </dxfs>
  <tableStyles count="0" defaultTableStyle="TableStyleMedium2" defaultPivotStyle="PivotStyleLight16"/>
  <colors>
    <mruColors>
      <color rgb="FF99CCFF"/>
      <color rgb="FFCCEC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209550</xdr:colOff>
      <xdr:row>57</xdr:row>
      <xdr:rowOff>57150</xdr:rowOff>
    </xdr:from>
    <xdr:to>
      <xdr:col>4</xdr:col>
      <xdr:colOff>1038225</xdr:colOff>
      <xdr:row>57</xdr:row>
      <xdr:rowOff>485775</xdr:rowOff>
    </xdr:to>
    <xdr:sp macro="[0]!LaunchSubmittalProcessingRoutine" textlink="">
      <xdr:nvSpPr>
        <xdr:cNvPr id="8193" name="AutoShape 1">
          <a:extLst>
            <a:ext uri="{FF2B5EF4-FFF2-40B4-BE49-F238E27FC236}">
              <a16:creationId xmlns:a16="http://schemas.microsoft.com/office/drawing/2014/main" id="{00000000-0008-0000-0000-000001200000}"/>
            </a:ext>
          </a:extLst>
        </xdr:cNvPr>
        <xdr:cNvSpPr>
          <a:spLocks noChangeArrowheads="1"/>
        </xdr:cNvSpPr>
      </xdr:nvSpPr>
      <xdr:spPr bwMode="auto">
        <a:xfrm>
          <a:off x="209550" y="8020050"/>
          <a:ext cx="3105150" cy="428625"/>
        </a:xfrm>
        <a:prstGeom prst="roundRect">
          <a:avLst>
            <a:gd name="adj" fmla="val 16667"/>
          </a:avLst>
        </a:prstGeom>
        <a:gradFill rotWithShape="0">
          <a:gsLst>
            <a:gs pos="0">
              <a:srgbClr xmlns:mc="http://schemas.openxmlformats.org/markup-compatibility/2006" xmlns:a14="http://schemas.microsoft.com/office/drawing/2010/main" val="000000" mc:Ignorable="a14" a14:legacySpreadsheetColorIndex="8"/>
            </a:gs>
            <a:gs pos="50000">
              <a:srgbClr xmlns:mc="http://schemas.openxmlformats.org/markup-compatibility/2006" xmlns:a14="http://schemas.microsoft.com/office/drawing/2010/main" val="99CCFF" mc:Ignorable="a14" a14:legacySpreadsheetColorIndex="44"/>
            </a:gs>
            <a:gs pos="100000">
              <a:srgbClr xmlns:mc="http://schemas.openxmlformats.org/markup-compatibility/2006" xmlns:a14="http://schemas.microsoft.com/office/drawing/2010/main" val="000000" mc:Ignorable="a14" a14:legacySpreadsheetColorIndex="8"/>
            </a:gs>
          </a:gsLst>
          <a:lin ang="5400000" scaled="1"/>
        </a:gra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36576" tIns="27432" rIns="36576" bIns="27432" anchor="ctr" upright="1"/>
        <a:lstStyle/>
        <a:p>
          <a:pPr algn="ctr" rtl="0">
            <a:defRPr sz="1000"/>
          </a:pPr>
          <a:r>
            <a:rPr lang="en-US" sz="1400" b="1" i="0" u="none" strike="noStrike" baseline="0">
              <a:solidFill>
                <a:srgbClr xmlns:mc="http://schemas.openxmlformats.org/markup-compatibility/2006" xmlns:a14="http://schemas.microsoft.com/office/drawing/2010/main" val="800000" mc:Ignorable="a14" a14:legacySpreadsheetColorIndex="16"/>
              </a:solidFill>
              <a:latin typeface="Arial" panose="020B0604020202020204" pitchFamily="34" charset="0"/>
              <a:cs typeface="Arial"/>
            </a:rPr>
            <a:t>Submit  Mar '19  /  Create  Apr '19</a:t>
          </a:r>
        </a:p>
      </xdr:txBody>
    </xdr:sp>
    <xdr:clientData/>
  </xdr:twoCellAnchor>
  <xdr:twoCellAnchor editAs="oneCell">
    <xdr:from>
      <xdr:col>4</xdr:col>
      <xdr:colOff>1257300</xdr:colOff>
      <xdr:row>57</xdr:row>
      <xdr:rowOff>57150</xdr:rowOff>
    </xdr:from>
    <xdr:to>
      <xdr:col>6</xdr:col>
      <xdr:colOff>1914525</xdr:colOff>
      <xdr:row>57</xdr:row>
      <xdr:rowOff>485775</xdr:rowOff>
    </xdr:to>
    <xdr:sp macro="[0]!LaunchCreateNewWorkbookRoutine" textlink="">
      <xdr:nvSpPr>
        <xdr:cNvPr id="8195" name="AutoShape 3">
          <a:extLst>
            <a:ext uri="{FF2B5EF4-FFF2-40B4-BE49-F238E27FC236}">
              <a16:creationId xmlns:a16="http://schemas.microsoft.com/office/drawing/2014/main" id="{00000000-0008-0000-0000-000003200000}"/>
            </a:ext>
          </a:extLst>
        </xdr:cNvPr>
        <xdr:cNvSpPr>
          <a:spLocks noChangeArrowheads="1"/>
        </xdr:cNvSpPr>
      </xdr:nvSpPr>
      <xdr:spPr bwMode="auto">
        <a:xfrm>
          <a:off x="3533775" y="8020050"/>
          <a:ext cx="2819400" cy="428625"/>
        </a:xfrm>
        <a:prstGeom prst="roundRect">
          <a:avLst>
            <a:gd name="adj" fmla="val 16667"/>
          </a:avLst>
        </a:prstGeom>
        <a:gradFill rotWithShape="0">
          <a:gsLst>
            <a:gs pos="0">
              <a:srgbClr xmlns:mc="http://schemas.openxmlformats.org/markup-compatibility/2006" xmlns:a14="http://schemas.microsoft.com/office/drawing/2010/main" val="000000" mc:Ignorable="a14" a14:legacySpreadsheetColorIndex="8"/>
            </a:gs>
            <a:gs pos="50000">
              <a:srgbClr xmlns:mc="http://schemas.openxmlformats.org/markup-compatibility/2006" xmlns:a14="http://schemas.microsoft.com/office/drawing/2010/main" val="99CCFF" mc:Ignorable="a14" a14:legacySpreadsheetColorIndex="44"/>
            </a:gs>
            <a:gs pos="100000">
              <a:srgbClr xmlns:mc="http://schemas.openxmlformats.org/markup-compatibility/2006" xmlns:a14="http://schemas.microsoft.com/office/drawing/2010/main" val="000000" mc:Ignorable="a14" a14:legacySpreadsheetColorIndex="8"/>
            </a:gs>
          </a:gsLst>
          <a:lin ang="5400000" scaled="1"/>
        </a:gra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36576" tIns="27432" rIns="36576" bIns="27432" anchor="ctr" upright="1"/>
        <a:lstStyle/>
        <a:p>
          <a:pPr algn="ctr" rtl="0">
            <a:defRPr sz="1000"/>
          </a:pPr>
          <a:r>
            <a:rPr lang="en-US" sz="1400" b="1" i="0" u="none" strike="noStrike" baseline="0">
              <a:solidFill>
                <a:srgbClr xmlns:mc="http://schemas.openxmlformats.org/markup-compatibility/2006" xmlns:a14="http://schemas.microsoft.com/office/drawing/2010/main" val="800000" mc:Ignorable="a14" a14:legacySpreadsheetColorIndex="16"/>
              </a:solidFill>
              <a:latin typeface="Arial" panose="020B0604020202020204" pitchFamily="34" charset="0"/>
              <a:cs typeface="Arial"/>
            </a:rPr>
            <a:t>Create  Apr '19  Only</a:t>
          </a:r>
        </a:p>
      </xdr:txBody>
    </xdr:sp>
    <xdr:clientData/>
  </xdr:twoCellAnchor>
  <mc:AlternateContent xmlns:mc="http://schemas.openxmlformats.org/markup-compatibility/2006">
    <mc:Choice xmlns:a14="http://schemas.microsoft.com/office/drawing/2010/main" Requires="a14">
      <xdr:twoCellAnchor editAs="oneCell">
        <xdr:from>
          <xdr:col>0</xdr:col>
          <xdr:colOff>201930</xdr:colOff>
          <xdr:row>54</xdr:row>
          <xdr:rowOff>30480</xdr:rowOff>
        </xdr:from>
        <xdr:to>
          <xdr:col>0</xdr:col>
          <xdr:colOff>381000</xdr:colOff>
          <xdr:row>54</xdr:row>
          <xdr:rowOff>220980</xdr:rowOff>
        </xdr:to>
        <xdr:sp macro="" textlink="">
          <xdr:nvSpPr>
            <xdr:cNvPr id="8200" name="chkAutoEmail_ro" hidden="1">
              <a:extLst>
                <a:ext uri="{63B3BB69-23CF-44E3-9099-C40C66FF867C}">
                  <a14:compatExt spid="_x0000_s8200"/>
                </a:ext>
                <a:ext uri="{FF2B5EF4-FFF2-40B4-BE49-F238E27FC236}">
                  <a16:creationId xmlns:a16="http://schemas.microsoft.com/office/drawing/2014/main" id="{00000000-0008-0000-0000-000008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285750</xdr:colOff>
          <xdr:row>54</xdr:row>
          <xdr:rowOff>30480</xdr:rowOff>
        </xdr:from>
        <xdr:to>
          <xdr:col>4</xdr:col>
          <xdr:colOff>468630</xdr:colOff>
          <xdr:row>54</xdr:row>
          <xdr:rowOff>220980</xdr:rowOff>
        </xdr:to>
        <xdr:sp macro="" textlink="">
          <xdr:nvSpPr>
            <xdr:cNvPr id="8201" name="chkAutoEmail_co" hidden="1">
              <a:extLst>
                <a:ext uri="{63B3BB69-23CF-44E3-9099-C40C66FF867C}">
                  <a14:compatExt spid="_x0000_s8201"/>
                </a:ext>
                <a:ext uri="{FF2B5EF4-FFF2-40B4-BE49-F238E27FC236}">
                  <a16:creationId xmlns:a16="http://schemas.microsoft.com/office/drawing/2014/main" id="{00000000-0008-0000-0000-000009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6</xdr:col>
      <xdr:colOff>409575</xdr:colOff>
      <xdr:row>54</xdr:row>
      <xdr:rowOff>38100</xdr:rowOff>
    </xdr:from>
    <xdr:to>
      <xdr:col>6</xdr:col>
      <xdr:colOff>1771650</xdr:colOff>
      <xdr:row>54</xdr:row>
      <xdr:rowOff>266700</xdr:rowOff>
    </xdr:to>
    <xdr:sp macro="[0]!LaunchEditAddresses" textlink="">
      <xdr:nvSpPr>
        <xdr:cNvPr id="8202" name="AutoShape 10">
          <a:extLst>
            <a:ext uri="{FF2B5EF4-FFF2-40B4-BE49-F238E27FC236}">
              <a16:creationId xmlns:a16="http://schemas.microsoft.com/office/drawing/2014/main" id="{00000000-0008-0000-0000-00000A200000}"/>
            </a:ext>
          </a:extLst>
        </xdr:cNvPr>
        <xdr:cNvSpPr>
          <a:spLocks noChangeArrowheads="1"/>
        </xdr:cNvSpPr>
      </xdr:nvSpPr>
      <xdr:spPr bwMode="auto">
        <a:xfrm>
          <a:off x="4848225" y="7067550"/>
          <a:ext cx="1362075" cy="228600"/>
        </a:xfrm>
        <a:prstGeom prst="roundRect">
          <a:avLst>
            <a:gd name="adj" fmla="val 16667"/>
          </a:avLst>
        </a:prstGeom>
        <a:solidFill>
          <a:srgbClr xmlns:mc="http://schemas.openxmlformats.org/markup-compatibility/2006" xmlns:a14="http://schemas.microsoft.com/office/drawing/2010/main" val="99CCFF" mc:Ignorable="a14" a14:legacySpreadsheetColorIndex="44"/>
        </a:solidFill>
        <a:ln w="19050">
          <a:solidFill>
            <a:srgbClr xmlns:mc="http://schemas.openxmlformats.org/markup-compatibility/2006" xmlns:a14="http://schemas.microsoft.com/office/drawing/2010/main" val="333399" mc:Ignorable="a14" a14:legacySpreadsheetColorIndex="62"/>
          </a:solidFill>
          <a:round/>
          <a:headEnd/>
          <a:tailEnd/>
        </a:ln>
      </xdr:spPr>
      <xdr:txBody>
        <a:bodyPr vertOverflow="clip" wrap="square" lIns="27432" tIns="22860" rIns="27432" bIns="22860" anchor="ctr" upright="1"/>
        <a:lstStyle/>
        <a:p>
          <a:pPr algn="ctr" rtl="0">
            <a:defRPr sz="1000"/>
          </a:pPr>
          <a:r>
            <a:rPr lang="en-US" sz="900" b="1" i="0" u="none" strike="noStrike" baseline="0">
              <a:solidFill>
                <a:srgbClr val="808080"/>
              </a:solidFill>
              <a:latin typeface="Arial"/>
              <a:cs typeface="Arial"/>
            </a:rPr>
            <a:t>EDIT PWSS Information</a:t>
          </a:r>
        </a:p>
      </xdr:txBody>
    </xdr:sp>
    <xdr:clientData fPrintsWithSheet="0"/>
  </xdr:twoCellAnchor>
  <xdr:twoCellAnchor>
    <xdr:from>
      <xdr:col>0</xdr:col>
      <xdr:colOff>438150</xdr:colOff>
      <xdr:row>54</xdr:row>
      <xdr:rowOff>38100</xdr:rowOff>
    </xdr:from>
    <xdr:to>
      <xdr:col>4</xdr:col>
      <xdr:colOff>209550</xdr:colOff>
      <xdr:row>54</xdr:row>
      <xdr:rowOff>209550</xdr:rowOff>
    </xdr:to>
    <xdr:sp macro="" textlink="">
      <xdr:nvSpPr>
        <xdr:cNvPr id="8203" name="Text Box 11">
          <a:extLst>
            <a:ext uri="{FF2B5EF4-FFF2-40B4-BE49-F238E27FC236}">
              <a16:creationId xmlns:a16="http://schemas.microsoft.com/office/drawing/2014/main" id="{00000000-0008-0000-0000-00000B200000}"/>
            </a:ext>
          </a:extLst>
        </xdr:cNvPr>
        <xdr:cNvSpPr txBox="1">
          <a:spLocks noChangeArrowheads="1"/>
        </xdr:cNvSpPr>
      </xdr:nvSpPr>
      <xdr:spPr bwMode="auto">
        <a:xfrm>
          <a:off x="438150" y="7067550"/>
          <a:ext cx="2047875" cy="171450"/>
        </a:xfrm>
        <a:prstGeom prst="rect">
          <a:avLst/>
        </a:prstGeom>
        <a:noFill/>
        <a:ln>
          <a:noFill/>
        </a:ln>
        <a:extLst>
          <a:ext uri="{909E8E84-426E-40DD-AFC4-6F175D3DCCD1}">
            <a14:hiddenFill xmlns:a14="http://schemas.microsoft.com/office/drawing/2010/main">
              <a:gradFill rotWithShape="0">
                <a:gsLst>
                  <a:gs pos="0">
                    <a:srgbClr xmlns:mc="http://schemas.openxmlformats.org/markup-compatibility/2006" val="000000" mc:Ignorable="a14" a14:legacySpreadsheetColorIndex="8"/>
                  </a:gs>
                  <a:gs pos="50000">
                    <a:srgbClr xmlns:mc="http://schemas.openxmlformats.org/markup-compatibility/2006" val="99CCFF" mc:Ignorable="a14" a14:legacySpreadsheetColorIndex="44"/>
                  </a:gs>
                  <a:gs pos="100000">
                    <a:srgbClr xmlns:mc="http://schemas.openxmlformats.org/markup-compatibility/2006" val="000000" mc:Ignorable="a14" a14:legacySpreadsheetColorIndex="8"/>
                  </a:gs>
                </a:gsLst>
                <a:lin ang="5400000" scaled="1"/>
              </a:gra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FF"/>
              </a:solidFill>
              <a:latin typeface="Arial"/>
              <a:cs typeface="Arial"/>
            </a:rPr>
            <a:t>Auto-Email PWSS Regional Office</a:t>
          </a:r>
        </a:p>
      </xdr:txBody>
    </xdr:sp>
    <xdr:clientData/>
  </xdr:twoCellAnchor>
  <xdr:twoCellAnchor>
    <xdr:from>
      <xdr:col>4</xdr:col>
      <xdr:colOff>552450</xdr:colOff>
      <xdr:row>54</xdr:row>
      <xdr:rowOff>38100</xdr:rowOff>
    </xdr:from>
    <xdr:to>
      <xdr:col>6</xdr:col>
      <xdr:colOff>333375</xdr:colOff>
      <xdr:row>54</xdr:row>
      <xdr:rowOff>209550</xdr:rowOff>
    </xdr:to>
    <xdr:sp macro="" textlink="">
      <xdr:nvSpPr>
        <xdr:cNvPr id="8204" name="Text Box 12">
          <a:extLst>
            <a:ext uri="{FF2B5EF4-FFF2-40B4-BE49-F238E27FC236}">
              <a16:creationId xmlns:a16="http://schemas.microsoft.com/office/drawing/2014/main" id="{00000000-0008-0000-0000-00000C200000}"/>
            </a:ext>
          </a:extLst>
        </xdr:cNvPr>
        <xdr:cNvSpPr txBox="1">
          <a:spLocks noChangeArrowheads="1"/>
        </xdr:cNvSpPr>
      </xdr:nvSpPr>
      <xdr:spPr bwMode="auto">
        <a:xfrm>
          <a:off x="2828925" y="7067550"/>
          <a:ext cx="1943100" cy="171450"/>
        </a:xfrm>
        <a:prstGeom prst="rect">
          <a:avLst/>
        </a:prstGeom>
        <a:noFill/>
        <a:ln>
          <a:noFill/>
        </a:ln>
        <a:extLst>
          <a:ext uri="{909E8E84-426E-40DD-AFC4-6F175D3DCCD1}">
            <a14:hiddenFill xmlns:a14="http://schemas.microsoft.com/office/drawing/2010/main">
              <a:gradFill rotWithShape="0">
                <a:gsLst>
                  <a:gs pos="0">
                    <a:srgbClr xmlns:mc="http://schemas.openxmlformats.org/markup-compatibility/2006" val="000000" mc:Ignorable="a14" a14:legacySpreadsheetColorIndex="8"/>
                  </a:gs>
                  <a:gs pos="50000">
                    <a:srgbClr xmlns:mc="http://schemas.openxmlformats.org/markup-compatibility/2006" val="99CCFF" mc:Ignorable="a14" a14:legacySpreadsheetColorIndex="44"/>
                  </a:gs>
                  <a:gs pos="100000">
                    <a:srgbClr xmlns:mc="http://schemas.openxmlformats.org/markup-compatibility/2006" val="000000" mc:Ignorable="a14" a14:legacySpreadsheetColorIndex="8"/>
                  </a:gs>
                </a:gsLst>
                <a:lin ang="5400000" scaled="1"/>
              </a:gra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FF"/>
              </a:solidFill>
              <a:latin typeface="Arial"/>
              <a:cs typeface="Arial"/>
            </a:rPr>
            <a:t>Auto-Email PWSS Central Office</a:t>
          </a:r>
        </a:p>
      </xdr:txBody>
    </xdr:sp>
    <xdr:clientData/>
  </xdr:twoCellAnchor>
  <mc:AlternateContent xmlns:mc="http://schemas.openxmlformats.org/markup-compatibility/2006">
    <mc:Choice xmlns:a14="http://schemas.microsoft.com/office/drawing/2010/main" Requires="a14">
      <xdr:twoCellAnchor editAs="oneCell">
        <xdr:from>
          <xdr:col>0</xdr:col>
          <xdr:colOff>190500</xdr:colOff>
          <xdr:row>55</xdr:row>
          <xdr:rowOff>38100</xdr:rowOff>
        </xdr:from>
        <xdr:to>
          <xdr:col>0</xdr:col>
          <xdr:colOff>373380</xdr:colOff>
          <xdr:row>55</xdr:row>
          <xdr:rowOff>228600</xdr:rowOff>
        </xdr:to>
        <xdr:sp macro="" textlink="">
          <xdr:nvSpPr>
            <xdr:cNvPr id="8206" name="chkAcknowlegement_gen_info" hidden="1">
              <a:extLst>
                <a:ext uri="{63B3BB69-23CF-44E3-9099-C40C66FF867C}">
                  <a14:compatExt spid="_x0000_s8206"/>
                </a:ext>
                <a:ext uri="{FF2B5EF4-FFF2-40B4-BE49-F238E27FC236}">
                  <a16:creationId xmlns:a16="http://schemas.microsoft.com/office/drawing/2014/main" id="{00000000-0008-0000-0000-00000E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28575</xdr:rowOff>
        </xdr:from>
        <xdr:to>
          <xdr:col>11</xdr:col>
          <xdr:colOff>361950</xdr:colOff>
          <xdr:row>12</xdr:row>
          <xdr:rowOff>95250</xdr:rowOff>
        </xdr:to>
        <xdr:grpSp>
          <xdr:nvGrpSpPr>
            <xdr:cNvPr id="59725" name="Group 14">
              <a:extLst>
                <a:ext uri="{FF2B5EF4-FFF2-40B4-BE49-F238E27FC236}">
                  <a16:creationId xmlns:a16="http://schemas.microsoft.com/office/drawing/2014/main" id="{00000000-0008-0000-0100-00004DE90000}"/>
                </a:ext>
              </a:extLst>
            </xdr:cNvPr>
            <xdr:cNvGrpSpPr>
              <a:grpSpLocks/>
            </xdr:cNvGrpSpPr>
          </xdr:nvGrpSpPr>
          <xdr:grpSpPr bwMode="auto">
            <a:xfrm>
              <a:off x="4368800" y="2263775"/>
              <a:ext cx="1025525" cy="454025"/>
              <a:chOff x="386" y="236"/>
              <a:chExt cx="105" cy="49"/>
            </a:xfrm>
          </xdr:grpSpPr>
          <xdr:sp macro="" textlink="">
            <xdr:nvSpPr>
              <xdr:cNvPr id="59394" name="Label1" hidden="1">
                <a:extLst>
                  <a:ext uri="{63B3BB69-23CF-44E3-9099-C40C66FF867C}">
                    <a14:compatExt spid="_x0000_s59394"/>
                  </a:ext>
                  <a:ext uri="{FF2B5EF4-FFF2-40B4-BE49-F238E27FC236}">
                    <a16:creationId xmlns:a16="http://schemas.microsoft.com/office/drawing/2014/main" id="{00000000-0008-0000-0100-000002E80000}"/>
                  </a:ext>
                </a:extLst>
              </xdr:cNvPr>
              <xdr:cNvSpPr/>
            </xdr:nvSpPr>
            <xdr:spPr bwMode="auto">
              <a:xfrm>
                <a:off x="386" y="236"/>
                <a:ext cx="101" cy="48"/>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59396" name="btnCalcOn" hidden="1">
                <a:extLst>
                  <a:ext uri="{63B3BB69-23CF-44E3-9099-C40C66FF867C}">
                    <a14:compatExt spid="_x0000_s59396"/>
                  </a:ext>
                  <a:ext uri="{FF2B5EF4-FFF2-40B4-BE49-F238E27FC236}">
                    <a16:creationId xmlns:a16="http://schemas.microsoft.com/office/drawing/2014/main" id="{00000000-0008-0000-0100-000004E80000}"/>
                  </a:ext>
                </a:extLst>
              </xdr:cNvPr>
              <xdr:cNvSpPr/>
            </xdr:nvSpPr>
            <xdr:spPr bwMode="auto">
              <a:xfrm>
                <a:off x="390" y="263"/>
                <a:ext cx="41" cy="22"/>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59397" name="btnCalcOff" hidden="1">
                <a:extLst>
                  <a:ext uri="{63B3BB69-23CF-44E3-9099-C40C66FF867C}">
                    <a14:compatExt spid="_x0000_s59397"/>
                  </a:ext>
                  <a:ext uri="{FF2B5EF4-FFF2-40B4-BE49-F238E27FC236}">
                    <a16:creationId xmlns:a16="http://schemas.microsoft.com/office/drawing/2014/main" id="{00000000-0008-0000-0100-000005E80000}"/>
                  </a:ext>
                </a:extLst>
              </xdr:cNvPr>
              <xdr:cNvSpPr/>
            </xdr:nvSpPr>
            <xdr:spPr bwMode="auto">
              <a:xfrm>
                <a:off x="434" y="263"/>
                <a:ext cx="50" cy="21"/>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59403" name="Label2" hidden="1">
                <a:extLst>
                  <a:ext uri="{63B3BB69-23CF-44E3-9099-C40C66FF867C}">
                    <a14:compatExt spid="_x0000_s59403"/>
                  </a:ext>
                  <a:ext uri="{FF2B5EF4-FFF2-40B4-BE49-F238E27FC236}">
                    <a16:creationId xmlns:a16="http://schemas.microsoft.com/office/drawing/2014/main" id="{00000000-0008-0000-0100-00000BE80000}"/>
                  </a:ext>
                </a:extLst>
              </xdr:cNvPr>
              <xdr:cNvSpPr/>
            </xdr:nvSpPr>
            <xdr:spPr bwMode="auto">
              <a:xfrm>
                <a:off x="386" y="251"/>
                <a:ext cx="105" cy="15"/>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8</xdr:row>
          <xdr:rowOff>209550</xdr:rowOff>
        </xdr:from>
        <xdr:to>
          <xdr:col>12</xdr:col>
          <xdr:colOff>0</xdr:colOff>
          <xdr:row>9</xdr:row>
          <xdr:rowOff>163830</xdr:rowOff>
        </xdr:to>
        <xdr:sp macro="" textlink="">
          <xdr:nvSpPr>
            <xdr:cNvPr id="54366" name="chkPopulateDefaultSettings" hidden="1">
              <a:extLst>
                <a:ext uri="{63B3BB69-23CF-44E3-9099-C40C66FF867C}">
                  <a14:compatExt spid="_x0000_s54366"/>
                </a:ext>
                <a:ext uri="{FF2B5EF4-FFF2-40B4-BE49-F238E27FC236}">
                  <a16:creationId xmlns:a16="http://schemas.microsoft.com/office/drawing/2014/main" id="{00000000-0008-0000-0500-00005ED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95250</xdr:colOff>
      <xdr:row>22</xdr:row>
      <xdr:rowOff>57150</xdr:rowOff>
    </xdr:from>
    <xdr:to>
      <xdr:col>1</xdr:col>
      <xdr:colOff>695325</xdr:colOff>
      <xdr:row>22</xdr:row>
      <xdr:rowOff>238125</xdr:rowOff>
    </xdr:to>
    <xdr:sp macro="[0]!ToggleDateRangeSort" textlink="">
      <xdr:nvSpPr>
        <xdr:cNvPr id="81934" name="AutoShape 14">
          <a:extLst>
            <a:ext uri="{FF2B5EF4-FFF2-40B4-BE49-F238E27FC236}">
              <a16:creationId xmlns:a16="http://schemas.microsoft.com/office/drawing/2014/main" id="{00000000-0008-0000-0800-00000E400100}"/>
            </a:ext>
          </a:extLst>
        </xdr:cNvPr>
        <xdr:cNvSpPr>
          <a:spLocks noChangeArrowheads="1"/>
        </xdr:cNvSpPr>
      </xdr:nvSpPr>
      <xdr:spPr bwMode="auto">
        <a:xfrm>
          <a:off x="314325" y="2924175"/>
          <a:ext cx="600075" cy="180975"/>
        </a:xfrm>
        <a:prstGeom prst="roundRect">
          <a:avLst>
            <a:gd name="adj" fmla="val 16667"/>
          </a:avLst>
        </a:prstGeom>
        <a:gradFill rotWithShape="0">
          <a:gsLst>
            <a:gs pos="0">
              <a:srgbClr xmlns:mc="http://schemas.openxmlformats.org/markup-compatibility/2006" xmlns:a14="http://schemas.microsoft.com/office/drawing/2010/main" val="000000" mc:Ignorable="a14" a14:legacySpreadsheetColorIndex="8"/>
            </a:gs>
            <a:gs pos="50000">
              <a:srgbClr xmlns:mc="http://schemas.openxmlformats.org/markup-compatibility/2006" xmlns:a14="http://schemas.microsoft.com/office/drawing/2010/main" val="99CCFF" mc:Ignorable="a14" a14:legacySpreadsheetColorIndex="44"/>
            </a:gs>
            <a:gs pos="100000">
              <a:srgbClr xmlns:mc="http://schemas.openxmlformats.org/markup-compatibility/2006" xmlns:a14="http://schemas.microsoft.com/office/drawing/2010/main" val="000000" mc:Ignorable="a14" a14:legacySpreadsheetColorIndex="8"/>
            </a:gs>
          </a:gsLst>
          <a:lin ang="5400000" scaled="1"/>
        </a:gra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27432" tIns="22860" rIns="27432" bIns="22860" anchor="ctr" upright="1"/>
        <a:lstStyle/>
        <a:p>
          <a:pPr algn="ctr" rtl="0">
            <a:defRPr sz="1000"/>
          </a:pPr>
          <a:r>
            <a:rPr lang="en-US" sz="800" b="1" i="0" u="none" strike="noStrike" baseline="0">
              <a:solidFill>
                <a:srgbClr val="800000"/>
              </a:solidFill>
              <a:latin typeface="Arial"/>
              <a:cs typeface="Arial"/>
            </a:rPr>
            <a:t>Date Sort</a:t>
          </a:r>
        </a:p>
      </xdr:txBody>
    </xdr:sp>
    <xdr:clientData fPrintsWithSheet="0"/>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51</xdr:row>
          <xdr:rowOff>19050</xdr:rowOff>
        </xdr:from>
        <xdr:to>
          <xdr:col>0</xdr:col>
          <xdr:colOff>449580</xdr:colOff>
          <xdr:row>51</xdr:row>
          <xdr:rowOff>266700</xdr:rowOff>
        </xdr:to>
        <xdr:sp macro="" textlink="">
          <xdr:nvSpPr>
            <xdr:cNvPr id="108545" name="chkAcknowlegement_summary" hidden="1">
              <a:extLst>
                <a:ext uri="{63B3BB69-23CF-44E3-9099-C40C66FF867C}">
                  <a14:compatExt spid="_x0000_s108545"/>
                </a:ext>
                <a:ext uri="{FF2B5EF4-FFF2-40B4-BE49-F238E27FC236}">
                  <a16:creationId xmlns:a16="http://schemas.microsoft.com/office/drawing/2014/main" id="{00000000-0008-0000-0900-000001A8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1F0000" mc:Ignorable="a14" a14:legacySpreadsheetColorIndex="31"/>
        </a:solidFill>
        <a:ln w="9525" cap="flat" cmpd="sng" algn="ctr">
          <a:solidFill>
            <a:srgbClr xmlns:mc="http://schemas.openxmlformats.org/markup-compatibility/2006" xmlns:a14="http://schemas.microsoft.com/office/drawing/2010/main" val="3E0000" mc:Ignorable="a14" a14:legacySpreadsheetColorIndex="62"/>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1F0000" mc:Ignorable="a14" a14:legacySpreadsheetColorIndex="31"/>
        </a:solidFill>
        <a:ln w="9525" cap="flat" cmpd="sng" algn="ctr">
          <a:solidFill>
            <a:srgbClr xmlns:mc="http://schemas.openxmlformats.org/markup-compatibility/2006" xmlns:a14="http://schemas.microsoft.com/office/drawing/2010/main" val="3E0000" mc:Ignorable="a14" a14:legacySpreadsheetColorIndex="62"/>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drawing" Target="../drawings/drawing2.xml"/><Relationship Id="rId7" Type="http://schemas.openxmlformats.org/officeDocument/2006/relationships/control" Target="../activeX/activeX5.xml"/><Relationship Id="rId12" Type="http://schemas.openxmlformats.org/officeDocument/2006/relationships/image" Target="../media/image5.emf"/><Relationship Id="rId2" Type="http://schemas.openxmlformats.org/officeDocument/2006/relationships/customProperty" Target="../customProperty2.bin"/><Relationship Id="rId1" Type="http://schemas.openxmlformats.org/officeDocument/2006/relationships/printerSettings" Target="../printerSettings/printerSettings2.bin"/><Relationship Id="rId6" Type="http://schemas.openxmlformats.org/officeDocument/2006/relationships/image" Target="../media/image2.emf"/><Relationship Id="rId11" Type="http://schemas.openxmlformats.org/officeDocument/2006/relationships/control" Target="../activeX/activeX7.xml"/><Relationship Id="rId5" Type="http://schemas.openxmlformats.org/officeDocument/2006/relationships/control" Target="../activeX/activeX4.xml"/><Relationship Id="rId10" Type="http://schemas.openxmlformats.org/officeDocument/2006/relationships/image" Target="../media/image4.emf"/><Relationship Id="rId4" Type="http://schemas.openxmlformats.org/officeDocument/2006/relationships/vmlDrawing" Target="../drawings/vmlDrawing2.vml"/><Relationship Id="rId9"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customProperty" Target="../customProperty5.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customProperty" Target="../customProperty6.bin"/><Relationship Id="rId1" Type="http://schemas.openxmlformats.org/officeDocument/2006/relationships/printerSettings" Target="../printerSettings/printerSettings6.bin"/><Relationship Id="rId6" Type="http://schemas.openxmlformats.org/officeDocument/2006/relationships/image" Target="../media/image1.emf"/><Relationship Id="rId5" Type="http://schemas.openxmlformats.org/officeDocument/2006/relationships/control" Target="../activeX/activeX8.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8.bin"/><Relationship Id="rId1" Type="http://schemas.openxmlformats.org/officeDocument/2006/relationships/printerSettings" Target="../printerSettings/printerSettings9.bin"/><Relationship Id="rId5" Type="http://schemas.openxmlformats.org/officeDocument/2006/relationships/comments" Target="../comments3.xml"/><Relationship Id="rId4"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9.bin"/><Relationship Id="rId1" Type="http://schemas.openxmlformats.org/officeDocument/2006/relationships/printerSettings" Target="../printerSettings/printerSettings10.bin"/><Relationship Id="rId6" Type="http://schemas.openxmlformats.org/officeDocument/2006/relationships/image" Target="../media/image6.emf"/><Relationship Id="rId5" Type="http://schemas.openxmlformats.org/officeDocument/2006/relationships/control" Target="../activeX/activeX9.xml"/><Relationship Id="rId4"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GeneralInfo">
    <pageSetUpPr fitToPage="1"/>
  </sheetPr>
  <dimension ref="A1:G72"/>
  <sheetViews>
    <sheetView showGridLines="0" tabSelected="1" topLeftCell="A23" zoomScaleNormal="100" workbookViewId="0">
      <selection activeCell="L39" sqref="L39"/>
    </sheetView>
  </sheetViews>
  <sheetFormatPr defaultColWidth="9.1640625" defaultRowHeight="12.3" x14ac:dyDescent="0.4"/>
  <cols>
    <col min="1" max="1" width="6.71875" customWidth="1"/>
    <col min="5" max="5" width="30.71875" customWidth="1"/>
    <col min="6" max="6" width="1.71875" customWidth="1"/>
    <col min="7" max="7" width="30.71875" customWidth="1"/>
  </cols>
  <sheetData>
    <row r="1" spans="1:7" ht="5.5" customHeight="1" x14ac:dyDescent="0.4">
      <c r="A1" s="180" t="s">
        <v>0</v>
      </c>
      <c r="B1" s="180" t="s">
        <v>0</v>
      </c>
      <c r="C1" s="180"/>
      <c r="D1" s="180"/>
      <c r="E1" s="180"/>
      <c r="F1" s="180"/>
      <c r="G1" s="180"/>
    </row>
    <row r="2" spans="1:7" ht="4.1500000000000004" customHeight="1" x14ac:dyDescent="0.4">
      <c r="A2" s="693"/>
      <c r="B2" s="693"/>
      <c r="C2" s="693"/>
      <c r="D2" s="693"/>
      <c r="E2" s="693"/>
      <c r="F2" s="693"/>
      <c r="G2" s="693"/>
    </row>
    <row r="3" spans="1:7" ht="17.399999999999999" x14ac:dyDescent="0.55000000000000004">
      <c r="A3" s="694" t="s">
        <v>1</v>
      </c>
      <c r="B3" s="694"/>
      <c r="C3" s="694"/>
      <c r="D3" s="694"/>
      <c r="E3" s="694"/>
      <c r="F3" s="694"/>
      <c r="G3" s="694"/>
    </row>
    <row r="4" spans="1:7" ht="4.1500000000000004" customHeight="1" x14ac:dyDescent="0.4">
      <c r="A4" s="693"/>
      <c r="B4" s="693"/>
      <c r="C4" s="693"/>
      <c r="D4" s="693"/>
      <c r="E4" s="693"/>
      <c r="F4" s="693"/>
      <c r="G4" s="693"/>
    </row>
    <row r="5" spans="1:7" ht="22.2" x14ac:dyDescent="0.7">
      <c r="A5" s="695" t="s">
        <v>2</v>
      </c>
      <c r="B5" s="695"/>
      <c r="C5" s="695"/>
      <c r="D5" s="695"/>
      <c r="E5" s="695"/>
      <c r="F5" s="695"/>
      <c r="G5" s="695"/>
    </row>
    <row r="6" spans="1:7" ht="4.1500000000000004" customHeight="1" x14ac:dyDescent="0.4">
      <c r="A6" s="693"/>
      <c r="B6" s="693"/>
      <c r="C6" s="693"/>
      <c r="D6" s="693"/>
      <c r="E6" s="693"/>
      <c r="F6" s="693"/>
      <c r="G6" s="693"/>
    </row>
    <row r="7" spans="1:7" ht="4.1500000000000004" customHeight="1" x14ac:dyDescent="0.4">
      <c r="A7" s="699"/>
      <c r="B7" s="699"/>
      <c r="C7" s="699"/>
      <c r="D7" s="699"/>
      <c r="E7" s="699"/>
      <c r="F7" s="699"/>
      <c r="G7" s="699"/>
    </row>
    <row r="8" spans="1:7" ht="4.1500000000000004" customHeight="1" x14ac:dyDescent="0.4"/>
    <row r="9" spans="1:7" ht="9" customHeight="1" x14ac:dyDescent="0.4"/>
    <row r="10" spans="1:7" ht="15" x14ac:dyDescent="0.5">
      <c r="A10" s="181" t="s">
        <v>3</v>
      </c>
      <c r="B10" s="181"/>
      <c r="C10" s="181"/>
      <c r="D10" s="181"/>
      <c r="E10" s="182">
        <v>43525</v>
      </c>
      <c r="F10" s="183"/>
      <c r="G10" s="184"/>
    </row>
    <row r="11" spans="1:7" ht="6" customHeight="1" x14ac:dyDescent="0.5">
      <c r="A11" s="181"/>
      <c r="E11" s="1">
        <v>43555</v>
      </c>
    </row>
    <row r="12" spans="1:7" ht="15" x14ac:dyDescent="0.5">
      <c r="A12" s="181" t="s">
        <v>4</v>
      </c>
      <c r="B12" s="181"/>
      <c r="C12" s="181"/>
      <c r="E12" s="185" t="s">
        <v>713</v>
      </c>
      <c r="F12" s="183"/>
      <c r="G12" s="184"/>
    </row>
    <row r="13" spans="1:7" ht="6" customHeight="1" x14ac:dyDescent="0.5">
      <c r="A13" s="181"/>
      <c r="E13" s="186"/>
    </row>
    <row r="14" spans="1:7" ht="15" customHeight="1" x14ac:dyDescent="0.5">
      <c r="A14" s="181" t="s">
        <v>5</v>
      </c>
      <c r="B14" s="181"/>
      <c r="C14" s="181"/>
      <c r="D14" s="181"/>
      <c r="E14" s="187" t="s">
        <v>714</v>
      </c>
      <c r="F14" s="188"/>
      <c r="G14" s="189"/>
    </row>
    <row r="15" spans="1:7" ht="6" hidden="1" customHeight="1" x14ac:dyDescent="0.5">
      <c r="A15" s="181"/>
      <c r="E15" s="186"/>
    </row>
    <row r="16" spans="1:7" ht="15" hidden="1" customHeight="1" x14ac:dyDescent="0.5">
      <c r="A16" s="181" t="s">
        <v>6</v>
      </c>
      <c r="B16" s="181"/>
      <c r="C16" s="181"/>
      <c r="D16" s="181"/>
      <c r="E16" s="709">
        <v>189600</v>
      </c>
      <c r="F16" s="183"/>
      <c r="G16" s="189"/>
    </row>
    <row r="17" spans="1:7" ht="9" customHeight="1" x14ac:dyDescent="0.5">
      <c r="A17" s="181"/>
      <c r="E17" s="186"/>
    </row>
    <row r="18" spans="1:7" ht="17.399999999999999" x14ac:dyDescent="0.5">
      <c r="A18" s="181"/>
      <c r="B18" s="181"/>
      <c r="C18" s="181"/>
      <c r="E18" s="190" t="s">
        <v>7</v>
      </c>
      <c r="G18" s="190" t="s">
        <v>8</v>
      </c>
    </row>
    <row r="19" spans="1:7" ht="9" customHeight="1" x14ac:dyDescent="0.5">
      <c r="A19" s="181"/>
      <c r="E19" s="186"/>
      <c r="G19" s="186"/>
    </row>
    <row r="20" spans="1:7" ht="15" x14ac:dyDescent="0.5">
      <c r="A20" s="181" t="s">
        <v>9</v>
      </c>
      <c r="B20" s="181"/>
      <c r="C20" s="181"/>
      <c r="E20" s="191" t="s">
        <v>715</v>
      </c>
      <c r="G20" s="191" t="s">
        <v>717</v>
      </c>
    </row>
    <row r="21" spans="1:7" ht="4.9000000000000004" customHeight="1" x14ac:dyDescent="0.5">
      <c r="A21" s="181"/>
      <c r="E21" s="186"/>
      <c r="G21" s="186"/>
    </row>
    <row r="22" spans="1:7" ht="15" customHeight="1" x14ac:dyDescent="0.5">
      <c r="A22" s="181" t="s">
        <v>10</v>
      </c>
      <c r="B22" s="181"/>
      <c r="C22" s="181"/>
      <c r="E22" s="191" t="s">
        <v>716</v>
      </c>
      <c r="G22" s="191" t="s">
        <v>718</v>
      </c>
    </row>
    <row r="23" spans="1:7" ht="4.9000000000000004" customHeight="1" x14ac:dyDescent="0.4">
      <c r="A23" s="192"/>
      <c r="E23" s="186"/>
      <c r="G23" s="186"/>
    </row>
    <row r="24" spans="1:7" ht="15" customHeight="1" x14ac:dyDescent="0.5">
      <c r="A24" s="181" t="s">
        <v>11</v>
      </c>
      <c r="B24" s="181"/>
      <c r="C24" s="181"/>
      <c r="D24" s="181"/>
      <c r="E24" s="191" t="s">
        <v>363</v>
      </c>
      <c r="G24" s="191" t="s">
        <v>363</v>
      </c>
    </row>
    <row r="25" spans="1:7" ht="4.9000000000000004" customHeight="1" x14ac:dyDescent="0.4">
      <c r="A25" s="192"/>
      <c r="E25" s="186"/>
      <c r="G25" s="186"/>
    </row>
    <row r="26" spans="1:7" ht="15" customHeight="1" x14ac:dyDescent="0.5">
      <c r="A26" s="181" t="s">
        <v>12</v>
      </c>
      <c r="B26" s="181"/>
      <c r="C26" s="181"/>
      <c r="D26" s="181"/>
      <c r="E26" s="166"/>
      <c r="G26" s="166"/>
    </row>
    <row r="27" spans="1:7" ht="4.9000000000000004" customHeight="1" x14ac:dyDescent="0.5">
      <c r="A27" s="181"/>
      <c r="E27" s="186"/>
      <c r="G27" s="186"/>
    </row>
    <row r="28" spans="1:7" ht="15" customHeight="1" x14ac:dyDescent="0.5">
      <c r="A28" s="181" t="s">
        <v>13</v>
      </c>
      <c r="B28" s="181"/>
      <c r="C28" s="181"/>
      <c r="E28" s="167" t="s">
        <v>363</v>
      </c>
      <c r="G28" s="167" t="s">
        <v>363</v>
      </c>
    </row>
    <row r="29" spans="1:7" ht="4.9000000000000004" customHeight="1" x14ac:dyDescent="0.5">
      <c r="A29" s="181"/>
      <c r="E29" s="186"/>
      <c r="G29" s="186"/>
    </row>
    <row r="30" spans="1:7" ht="15" customHeight="1" x14ac:dyDescent="0.5">
      <c r="A30" s="181" t="s">
        <v>14</v>
      </c>
      <c r="B30" s="181"/>
      <c r="C30" s="181"/>
      <c r="E30" s="167" t="s">
        <v>719</v>
      </c>
      <c r="G30" s="167" t="s">
        <v>720</v>
      </c>
    </row>
    <row r="31" spans="1:7" hidden="1" x14ac:dyDescent="0.4">
      <c r="E31" s="186"/>
    </row>
    <row r="32" spans="1:7" ht="15" hidden="1" customHeight="1" x14ac:dyDescent="0.5">
      <c r="A32" s="181" t="s">
        <v>15</v>
      </c>
      <c r="B32" s="181"/>
      <c r="C32" s="181"/>
      <c r="D32" s="181"/>
      <c r="E32" s="193"/>
    </row>
    <row r="33" spans="1:7" ht="7.15" customHeight="1" x14ac:dyDescent="0.4"/>
    <row r="34" spans="1:7" ht="15" x14ac:dyDescent="0.5">
      <c r="A34" s="181" t="s">
        <v>16</v>
      </c>
      <c r="B34" s="181"/>
      <c r="C34" s="181"/>
      <c r="D34" s="181"/>
      <c r="E34" s="181"/>
    </row>
    <row r="35" spans="1:7" ht="3.7" customHeight="1" x14ac:dyDescent="0.4"/>
    <row r="36" spans="1:7" ht="13.15" customHeight="1" x14ac:dyDescent="0.4">
      <c r="A36" s="1108"/>
      <c r="B36" s="1109"/>
      <c r="C36" s="1109"/>
      <c r="D36" s="1109"/>
      <c r="E36" s="1109"/>
      <c r="F36" s="1109"/>
      <c r="G36" s="1110"/>
    </row>
    <row r="37" spans="1:7" x14ac:dyDescent="0.4">
      <c r="A37" s="1111"/>
      <c r="B37" s="1112"/>
      <c r="C37" s="1112"/>
      <c r="D37" s="1112"/>
      <c r="E37" s="1112"/>
      <c r="F37" s="1112"/>
      <c r="G37" s="1113"/>
    </row>
    <row r="38" spans="1:7" x14ac:dyDescent="0.4">
      <c r="A38" s="1111"/>
      <c r="B38" s="1112"/>
      <c r="C38" s="1112"/>
      <c r="D38" s="1112"/>
      <c r="E38" s="1112"/>
      <c r="F38" s="1112"/>
      <c r="G38" s="1113"/>
    </row>
    <row r="39" spans="1:7" x14ac:dyDescent="0.4">
      <c r="A39" s="1111"/>
      <c r="B39" s="1112"/>
      <c r="C39" s="1112"/>
      <c r="D39" s="1112"/>
      <c r="E39" s="1112"/>
      <c r="F39" s="1112"/>
      <c r="G39" s="1113"/>
    </row>
    <row r="40" spans="1:7" x14ac:dyDescent="0.4">
      <c r="A40" s="1111"/>
      <c r="B40" s="1112"/>
      <c r="C40" s="1112"/>
      <c r="D40" s="1112"/>
      <c r="E40" s="1112"/>
      <c r="F40" s="1112"/>
      <c r="G40" s="1113"/>
    </row>
    <row r="41" spans="1:7" x14ac:dyDescent="0.4">
      <c r="A41" s="1111"/>
      <c r="B41" s="1112"/>
      <c r="C41" s="1112"/>
      <c r="D41" s="1112"/>
      <c r="E41" s="1112"/>
      <c r="F41" s="1112"/>
      <c r="G41" s="1113"/>
    </row>
    <row r="42" spans="1:7" x14ac:dyDescent="0.4">
      <c r="A42" s="1111"/>
      <c r="B42" s="1112"/>
      <c r="C42" s="1112"/>
      <c r="D42" s="1112"/>
      <c r="E42" s="1112"/>
      <c r="F42" s="1112"/>
      <c r="G42" s="1113"/>
    </row>
    <row r="43" spans="1:7" x14ac:dyDescent="0.4">
      <c r="A43" s="1114"/>
      <c r="B43" s="1115"/>
      <c r="C43" s="1115"/>
      <c r="D43" s="1115"/>
      <c r="E43" s="1115"/>
      <c r="F43" s="1115"/>
      <c r="G43" s="1116"/>
    </row>
    <row r="44" spans="1:7" ht="6" customHeight="1" x14ac:dyDescent="0.4"/>
    <row r="45" spans="1:7" ht="15" x14ac:dyDescent="0.5">
      <c r="A45" s="181" t="s">
        <v>17</v>
      </c>
      <c r="B45" s="181"/>
      <c r="C45" s="181"/>
      <c r="D45" s="181"/>
    </row>
    <row r="46" spans="1:7" ht="3.7" customHeight="1" x14ac:dyDescent="0.4"/>
    <row r="47" spans="1:7" ht="13.15" customHeight="1" x14ac:dyDescent="0.4">
      <c r="A47" s="1108"/>
      <c r="B47" s="1109"/>
      <c r="C47" s="1109"/>
      <c r="D47" s="1109"/>
      <c r="E47" s="1109"/>
      <c r="F47" s="1109"/>
      <c r="G47" s="1110"/>
    </row>
    <row r="48" spans="1:7" x14ac:dyDescent="0.4">
      <c r="A48" s="1111"/>
      <c r="B48" s="1112"/>
      <c r="C48" s="1112"/>
      <c r="D48" s="1112"/>
      <c r="E48" s="1112"/>
      <c r="F48" s="1112"/>
      <c r="G48" s="1113"/>
    </row>
    <row r="49" spans="1:7" x14ac:dyDescent="0.4">
      <c r="A49" s="1111"/>
      <c r="B49" s="1112"/>
      <c r="C49" s="1112"/>
      <c r="D49" s="1112"/>
      <c r="E49" s="1112"/>
      <c r="F49" s="1112"/>
      <c r="G49" s="1113"/>
    </row>
    <row r="50" spans="1:7" x14ac:dyDescent="0.4">
      <c r="A50" s="1111"/>
      <c r="B50" s="1112"/>
      <c r="C50" s="1112"/>
      <c r="D50" s="1112"/>
      <c r="E50" s="1112"/>
      <c r="F50" s="1112"/>
      <c r="G50" s="1113"/>
    </row>
    <row r="51" spans="1:7" x14ac:dyDescent="0.4">
      <c r="A51" s="1111"/>
      <c r="B51" s="1112"/>
      <c r="C51" s="1112"/>
      <c r="D51" s="1112"/>
      <c r="E51" s="1112"/>
      <c r="F51" s="1112"/>
      <c r="G51" s="1113"/>
    </row>
    <row r="52" spans="1:7" x14ac:dyDescent="0.4">
      <c r="A52" s="1111"/>
      <c r="B52" s="1112"/>
      <c r="C52" s="1112"/>
      <c r="D52" s="1112"/>
      <c r="E52" s="1112"/>
      <c r="F52" s="1112"/>
      <c r="G52" s="1113"/>
    </row>
    <row r="53" spans="1:7" x14ac:dyDescent="0.4">
      <c r="A53" s="1111"/>
      <c r="B53" s="1112"/>
      <c r="C53" s="1112"/>
      <c r="D53" s="1112"/>
      <c r="E53" s="1112"/>
      <c r="F53" s="1112"/>
      <c r="G53" s="1113"/>
    </row>
    <row r="54" spans="1:7" x14ac:dyDescent="0.4">
      <c r="A54" s="1114"/>
      <c r="B54" s="1115"/>
      <c r="C54" s="1115"/>
      <c r="D54" s="1115"/>
      <c r="E54" s="1115"/>
      <c r="F54" s="1115"/>
      <c r="G54" s="1116"/>
    </row>
    <row r="55" spans="1:7" s="194" customFormat="1" ht="24" customHeight="1" x14ac:dyDescent="0.4">
      <c r="B55" s="195"/>
      <c r="E55" s="196"/>
    </row>
    <row r="56" spans="1:7" s="194" customFormat="1" ht="43.5" customHeight="1" x14ac:dyDescent="0.4">
      <c r="A56" s="1117" t="str">
        <f>"By checking this box, the ORC certifies that the requirements of 15A NCAC 18C .1301 ""General Requirements"",  .1302 ""Tests, Forms, and Reporting"", and .1303 ""Facility Oversight"" have been met for the month of " &amp; TEXT(FormMasterDate,"mmmm, yyyy") &amp; " and that records documenting compliance with this rule are maintained on the premises and available for inspection upon request."</f>
        <v>By checking this box, the ORC certifies that the requirements of 15A NCAC 18C .1301 "General Requirements",  .1302 "Tests, Forms, and Reporting", and .1303 "Facility Oversight" have been met for the month of March, 2019 and that records documenting compliance with this rule are maintained on the premises and available for inspection upon request.</v>
      </c>
      <c r="B56" s="1117"/>
      <c r="C56" s="1117"/>
      <c r="D56" s="1117"/>
      <c r="E56" s="1117"/>
      <c r="F56" s="1117"/>
      <c r="G56" s="1117"/>
    </row>
    <row r="57" spans="1:7" s="194" customFormat="1" ht="6" customHeight="1" x14ac:dyDescent="0.4">
      <c r="B57" s="508"/>
      <c r="C57" s="508"/>
      <c r="D57" s="508"/>
      <c r="E57" s="698"/>
      <c r="F57" s="508"/>
      <c r="G57" s="508"/>
    </row>
    <row r="58" spans="1:7" ht="45" customHeight="1" x14ac:dyDescent="0.4">
      <c r="A58" s="699"/>
      <c r="B58" s="699"/>
      <c r="C58" s="699"/>
      <c r="D58" s="699"/>
      <c r="E58" s="699"/>
      <c r="F58" s="699"/>
      <c r="G58" s="699"/>
    </row>
    <row r="59" spans="1:7" ht="6" customHeight="1" x14ac:dyDescent="0.4"/>
    <row r="60" spans="1:7" ht="12" customHeight="1" x14ac:dyDescent="0.5">
      <c r="A60" s="696" t="s">
        <v>18</v>
      </c>
      <c r="B60" s="696"/>
      <c r="C60" s="693"/>
      <c r="D60" s="693"/>
      <c r="E60" s="693"/>
      <c r="F60" s="693"/>
      <c r="G60" s="693"/>
    </row>
    <row r="61" spans="1:7" ht="4.1500000000000004" customHeight="1" x14ac:dyDescent="0.4">
      <c r="A61" s="693"/>
      <c r="B61" s="693"/>
      <c r="C61" s="693"/>
      <c r="D61" s="693"/>
      <c r="E61" s="693"/>
      <c r="F61" s="693"/>
      <c r="G61" s="693"/>
    </row>
    <row r="62" spans="1:7" x14ac:dyDescent="0.4">
      <c r="A62" s="697" t="s">
        <v>19</v>
      </c>
      <c r="B62" s="697"/>
      <c r="C62" s="697"/>
      <c r="D62" s="693"/>
      <c r="E62" s="697" t="s">
        <v>20</v>
      </c>
      <c r="F62" s="693"/>
      <c r="G62" s="697" t="s">
        <v>21</v>
      </c>
    </row>
    <row r="63" spans="1:7" x14ac:dyDescent="0.4">
      <c r="A63" s="697" t="s">
        <v>22</v>
      </c>
      <c r="B63" s="697"/>
      <c r="C63" s="697"/>
      <c r="D63" s="693"/>
      <c r="E63" s="697" t="s">
        <v>23</v>
      </c>
      <c r="F63" s="693"/>
      <c r="G63" s="697" t="s">
        <v>26</v>
      </c>
    </row>
    <row r="64" spans="1:7" hidden="1" x14ac:dyDescent="0.4">
      <c r="A64" s="697" t="s">
        <v>24</v>
      </c>
      <c r="B64" s="697"/>
      <c r="C64" s="697"/>
      <c r="D64" s="693"/>
      <c r="E64" s="693"/>
      <c r="F64" s="693"/>
      <c r="G64" s="693"/>
    </row>
    <row r="65" spans="1:7" hidden="1" x14ac:dyDescent="0.4">
      <c r="A65" s="697" t="s">
        <v>25</v>
      </c>
      <c r="B65" s="697"/>
      <c r="C65" s="697"/>
      <c r="D65" s="697"/>
      <c r="E65" s="693"/>
      <c r="F65" s="693"/>
      <c r="G65" s="693"/>
    </row>
    <row r="66" spans="1:7" x14ac:dyDescent="0.4">
      <c r="A66" s="697"/>
      <c r="B66" s="697"/>
      <c r="C66" s="697"/>
      <c r="D66" s="697"/>
      <c r="E66" s="693"/>
      <c r="F66" s="693"/>
      <c r="G66" s="693"/>
    </row>
    <row r="67" spans="1:7" x14ac:dyDescent="0.4">
      <c r="A67" s="697"/>
      <c r="B67" s="697"/>
      <c r="C67" s="697"/>
      <c r="D67" s="697"/>
      <c r="E67" s="693"/>
      <c r="F67" s="693"/>
      <c r="G67" s="693"/>
    </row>
    <row r="68" spans="1:7" ht="6" customHeight="1" x14ac:dyDescent="0.4"/>
    <row r="69" spans="1:7" ht="3.7" customHeight="1" x14ac:dyDescent="0.4">
      <c r="A69" s="180"/>
      <c r="B69" s="180"/>
      <c r="C69" s="180"/>
      <c r="D69" s="180"/>
      <c r="E69" s="180"/>
      <c r="F69" s="180"/>
      <c r="G69" s="180"/>
    </row>
    <row r="70" spans="1:7" s="197" customFormat="1" ht="10.199999999999999" x14ac:dyDescent="0.35">
      <c r="A70" s="197" t="s">
        <v>711</v>
      </c>
      <c r="C70" s="198"/>
    </row>
    <row r="71" spans="1:7" s="197" customFormat="1" ht="10.199999999999999" x14ac:dyDescent="0.35">
      <c r="A71" s="197" t="s">
        <v>27</v>
      </c>
    </row>
    <row r="72" spans="1:7" ht="10.15" customHeight="1" x14ac:dyDescent="0.4">
      <c r="A72" s="706" t="str">
        <f>"Version: "  &amp; Version_csv &amp; Version_main &amp; Version_update</f>
        <v>Version: V02.11-01</v>
      </c>
      <c r="B72" s="707"/>
      <c r="C72" s="197" t="s">
        <v>962</v>
      </c>
      <c r="E72" s="1118" t="str">
        <f>IF(LEN(set_DateTimeStamp_submit)=0, "","MOR data (.csv) files last written:  " &amp; TEXT(set_DateTimeStamp_submit,"mmmm d, yyyy  h:mm am/pm"))</f>
        <v>MOR data (.csv) files last written:  April 10, 2019  11:14 AM</v>
      </c>
      <c r="F72" s="1118"/>
      <c r="G72" s="1118"/>
    </row>
  </sheetData>
  <sheetProtection algorithmName="SHA-512" hashValue="UnLkSBtzxvHo9j/o7W6lL/OMZYRXs2cEu/3dLhp1JU1kf68N9etKs8p4GXd8fst7WMGiVBXq1Ky9qPiXYdyxfA==" saltValue="hndWDuWtS7JE5N8hJI5ynA==" spinCount="100000" sheet="1" objects="1" scenarios="1"/>
  <mergeCells count="4">
    <mergeCell ref="A36:G43"/>
    <mergeCell ref="A47:G54"/>
    <mergeCell ref="A56:G56"/>
    <mergeCell ref="E72:G72"/>
  </mergeCells>
  <phoneticPr fontId="40" type="noConversion"/>
  <dataValidations count="1">
    <dataValidation type="textLength" operator="lessThan" allowBlank="1" showInputMessage="1" showErrorMessage="1" errorTitle="   IMPORTANT!  Invalid Entry ..." error="Please limit comments to less than 4001 characters in length._x000a_" sqref="A36 A47" xr:uid="{00000000-0002-0000-0000-000000000000}">
      <formula1>4001</formula1>
    </dataValidation>
  </dataValidations>
  <hyperlinks>
    <hyperlink ref="A62" location="'1940 - Plant Op.'!A1" display="'1940 - Plant Op.'!A1" xr:uid="{00000000-0004-0000-0000-000000000000}"/>
    <hyperlink ref="E62" location="'1940-II - Phy. &amp; Chem.'!A1" display="'1940-II - Phy. &amp; Chem.'!A1" xr:uid="{00000000-0004-0000-0000-000001000000}"/>
    <hyperlink ref="G62" location="'1940-III - CFE Turb.'!A1" display="'1940-III - CFE Turb.'!A1" xr:uid="{00000000-0004-0000-0000-000002000000}"/>
    <hyperlink ref="A63" location="'1940-IV - EP DI'!A1" display="'1940-IV - EP DI'!A1" xr:uid="{00000000-0004-0000-0000-000003000000}"/>
    <hyperlink ref="E63" location="'1940-V - IFE Turb.'!A1" display="'1940-V - IFE Turb.'!A1" xr:uid="{00000000-0004-0000-0000-000004000000}"/>
    <hyperlink ref="A64" location="Chloramination!A1" display="Chloramination!A1" xr:uid="{00000000-0004-0000-0000-000005000000}"/>
    <hyperlink ref="A65" location="'DBP-1-chlorine dioxide-chlorite'!A1" display="DBP-1-chlorine dioxide-chlorite" xr:uid="{00000000-0004-0000-0000-000006000000}"/>
    <hyperlink ref="G63" location="'Dist Sys Monitoring'!A1" display="'Dist Sys Monitoring'!A1" xr:uid="{00000000-0004-0000-0000-000007000000}"/>
  </hyperlinks>
  <printOptions horizontalCentered="1" verticalCentered="1"/>
  <pageMargins left="0.5" right="0.5" top="0.5" bottom="0.5" header="0.375" footer="0.375"/>
  <pageSetup scale="96" orientation="portrait" r:id="rId1"/>
  <headerFooter alignWithMargins="0"/>
  <customProperties>
    <customPr name="SheetID" r:id="rId2"/>
  </customProperties>
  <drawing r:id="rId3"/>
  <legacyDrawing r:id="rId4"/>
  <controls>
    <mc:AlternateContent xmlns:mc="http://schemas.openxmlformats.org/markup-compatibility/2006">
      <mc:Choice Requires="x14">
        <control shapeId="8206" r:id="rId5" name="chkAcknowlegement_gen_info">
          <controlPr defaultSize="0" autoFill="0" autoLine="0" r:id="rId6">
            <anchor moveWithCells="1">
              <from>
                <xdr:col>0</xdr:col>
                <xdr:colOff>190500</xdr:colOff>
                <xdr:row>55</xdr:row>
                <xdr:rowOff>38100</xdr:rowOff>
              </from>
              <to>
                <xdr:col>0</xdr:col>
                <xdr:colOff>373380</xdr:colOff>
                <xdr:row>55</xdr:row>
                <xdr:rowOff>228600</xdr:rowOff>
              </to>
            </anchor>
          </controlPr>
        </control>
      </mc:Choice>
      <mc:Fallback>
        <control shapeId="8206" r:id="rId5" name="chkAcknowlegement_gen_info"/>
      </mc:Fallback>
    </mc:AlternateContent>
    <mc:AlternateContent xmlns:mc="http://schemas.openxmlformats.org/markup-compatibility/2006">
      <mc:Choice Requires="x14">
        <control shapeId="8201" r:id="rId7" name="chkAutoEmail_co">
          <controlPr defaultSize="0" autoFill="0" autoLine="0" r:id="rId6">
            <anchor moveWithCells="1">
              <from>
                <xdr:col>4</xdr:col>
                <xdr:colOff>285750</xdr:colOff>
                <xdr:row>54</xdr:row>
                <xdr:rowOff>30480</xdr:rowOff>
              </from>
              <to>
                <xdr:col>4</xdr:col>
                <xdr:colOff>468630</xdr:colOff>
                <xdr:row>54</xdr:row>
                <xdr:rowOff>220980</xdr:rowOff>
              </to>
            </anchor>
          </controlPr>
        </control>
      </mc:Choice>
      <mc:Fallback>
        <control shapeId="8201" r:id="rId7" name="chkAutoEmail_co"/>
      </mc:Fallback>
    </mc:AlternateContent>
    <mc:AlternateContent xmlns:mc="http://schemas.openxmlformats.org/markup-compatibility/2006">
      <mc:Choice Requires="x14">
        <control shapeId="8200" r:id="rId8" name="chkAutoEmail_ro">
          <controlPr defaultSize="0" autoFill="0" autoLine="0" r:id="rId6">
            <anchor moveWithCells="1">
              <from>
                <xdr:col>0</xdr:col>
                <xdr:colOff>201930</xdr:colOff>
                <xdr:row>54</xdr:row>
                <xdr:rowOff>30480</xdr:rowOff>
              </from>
              <to>
                <xdr:col>0</xdr:col>
                <xdr:colOff>384810</xdr:colOff>
                <xdr:row>54</xdr:row>
                <xdr:rowOff>220980</xdr:rowOff>
              </to>
            </anchor>
          </controlPr>
        </control>
      </mc:Choice>
      <mc:Fallback>
        <control shapeId="8200" r:id="rId8" name="chkAutoEmail_ro"/>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1940_1_PlantOp">
    <pageSetUpPr autoPageBreaks="0"/>
  </sheetPr>
  <dimension ref="A1:AW56"/>
  <sheetViews>
    <sheetView showGridLines="0" topLeftCell="A4" zoomScale="120" zoomScaleNormal="120" workbookViewId="0">
      <pane xSplit="1" topLeftCell="B1" activePane="topRight" state="frozenSplit"/>
      <selection pane="topRight" activeCell="V32" sqref="V32"/>
    </sheetView>
  </sheetViews>
  <sheetFormatPr defaultColWidth="8.83203125" defaultRowHeight="10.199999999999999" x14ac:dyDescent="0.35"/>
  <cols>
    <col min="1" max="1" width="3.27734375" style="208" customWidth="1"/>
    <col min="2" max="5" width="8.27734375" style="208" bestFit="1" customWidth="1"/>
    <col min="6" max="12" width="6.1640625" style="208" customWidth="1"/>
    <col min="13" max="13" width="0.83203125" style="208" hidden="1" customWidth="1"/>
    <col min="14" max="14" width="5.27734375" style="208" hidden="1" customWidth="1"/>
    <col min="15" max="15" width="7.44140625" style="208" bestFit="1" customWidth="1"/>
    <col min="16" max="17" width="6.5546875" style="208" bestFit="1" customWidth="1"/>
    <col min="18" max="18" width="6.1640625" style="208" customWidth="1"/>
    <col min="19" max="20" width="6.5546875" style="208" bestFit="1" customWidth="1"/>
    <col min="21" max="21" width="6.1640625" style="208" customWidth="1"/>
    <col min="22" max="22" width="6.5546875" style="208" bestFit="1" customWidth="1"/>
    <col min="23" max="23" width="7.44140625" style="208" bestFit="1" customWidth="1"/>
    <col min="24" max="25" width="6.1640625" style="208" customWidth="1"/>
    <col min="26" max="26" width="6.5546875" style="208" bestFit="1" customWidth="1"/>
    <col min="27" max="28" width="6.1640625" style="208" customWidth="1"/>
    <col min="29" max="29" width="0.83203125" style="208" hidden="1" customWidth="1"/>
    <col min="30" max="30" width="6.27734375" style="208" hidden="1" customWidth="1"/>
    <col min="31" max="31" width="6.5546875" style="208" bestFit="1" customWidth="1"/>
    <col min="32" max="44" width="6.1640625" style="208" customWidth="1"/>
    <col min="45" max="45" width="0.83203125" style="208" customWidth="1"/>
    <col min="46" max="49" width="8.83203125" style="208" hidden="1" customWidth="1"/>
    <col min="50" max="16384" width="8.83203125" style="208"/>
  </cols>
  <sheetData>
    <row r="1" spans="1:49" s="205" customFormat="1" ht="14.5" customHeight="1" x14ac:dyDescent="0.4">
      <c r="A1" s="199"/>
      <c r="B1" s="199" t="s">
        <v>28</v>
      </c>
      <c r="C1" s="199"/>
      <c r="D1" s="199"/>
      <c r="E1" s="200">
        <f>IF(LEN(FormMasterDate)=0,"",FormMasterDate)</f>
        <v>43525</v>
      </c>
      <c r="F1" s="201"/>
      <c r="G1" s="202"/>
      <c r="H1" s="203" t="s">
        <v>29</v>
      </c>
      <c r="I1" s="203"/>
      <c r="J1" s="203"/>
      <c r="K1" s="203"/>
      <c r="L1" s="203"/>
      <c r="M1" s="203"/>
      <c r="N1" s="203"/>
      <c r="O1" s="203"/>
      <c r="P1" s="203"/>
      <c r="Q1" s="203"/>
      <c r="R1" s="203"/>
      <c r="S1" s="203"/>
      <c r="T1" s="203"/>
      <c r="U1" s="203"/>
      <c r="V1" s="203"/>
      <c r="W1" s="203"/>
      <c r="X1" s="203"/>
      <c r="Y1" s="203"/>
      <c r="Z1" s="203"/>
      <c r="AA1" s="203"/>
      <c r="AB1" s="203"/>
      <c r="AC1" s="203"/>
      <c r="AD1" s="203"/>
      <c r="AE1" s="203"/>
      <c r="AF1" s="203"/>
      <c r="AG1" s="203"/>
      <c r="AH1" s="204"/>
      <c r="AI1" s="204"/>
      <c r="AJ1" s="203"/>
      <c r="AK1" s="203"/>
      <c r="AL1" s="203"/>
      <c r="AM1" s="203"/>
      <c r="AN1" s="203"/>
      <c r="AO1" s="203"/>
      <c r="AP1" s="203"/>
      <c r="AQ1" s="203"/>
      <c r="AR1" s="203"/>
      <c r="AS1" s="204"/>
    </row>
    <row r="2" spans="1:49" ht="3" customHeight="1" x14ac:dyDescent="0.35">
      <c r="A2" s="197"/>
      <c r="B2" s="197"/>
      <c r="C2" s="197"/>
      <c r="D2" s="197"/>
      <c r="E2" s="206"/>
      <c r="F2" s="206"/>
      <c r="G2" s="206"/>
      <c r="H2" s="197"/>
      <c r="I2" s="197"/>
      <c r="J2" s="207"/>
      <c r="K2" s="206"/>
      <c r="L2" s="197"/>
      <c r="M2" s="197"/>
      <c r="N2" s="197"/>
      <c r="O2" s="197"/>
      <c r="P2" s="197"/>
      <c r="Q2" s="197"/>
      <c r="R2" s="197"/>
      <c r="S2" s="197"/>
      <c r="T2" s="197"/>
      <c r="U2" s="197"/>
      <c r="V2" s="197"/>
      <c r="W2" s="197"/>
      <c r="X2" s="197"/>
      <c r="Y2" s="197"/>
      <c r="Z2" s="197"/>
      <c r="AA2" s="197"/>
      <c r="AB2" s="197"/>
      <c r="AC2" s="197"/>
      <c r="AD2" s="197"/>
      <c r="AE2" s="197"/>
      <c r="AF2" s="197"/>
      <c r="AG2" s="197"/>
      <c r="AH2" s="197"/>
      <c r="AI2" s="197"/>
      <c r="AJ2" s="197"/>
      <c r="AK2" s="197"/>
      <c r="AL2" s="197"/>
      <c r="AM2" s="197"/>
      <c r="AN2" s="197"/>
      <c r="AO2" s="197"/>
      <c r="AP2" s="197"/>
      <c r="AQ2" s="197"/>
      <c r="AR2" s="197"/>
      <c r="AS2" s="197"/>
    </row>
    <row r="3" spans="1:49" ht="10.15" customHeight="1" x14ac:dyDescent="0.4">
      <c r="A3" s="209"/>
      <c r="B3" s="209" t="s">
        <v>30</v>
      </c>
      <c r="C3" s="209"/>
      <c r="D3" s="197"/>
      <c r="E3" s="210" t="str">
        <f>IF(LEN(FormPWSIDNum)=0,"",FormPWSIDNum)</f>
        <v>NC0392020</v>
      </c>
      <c r="F3" s="211"/>
      <c r="G3" s="212"/>
      <c r="H3" s="197"/>
      <c r="I3" s="197"/>
      <c r="J3" s="207"/>
      <c r="K3" s="206"/>
      <c r="L3" s="197"/>
      <c r="M3" s="197"/>
      <c r="N3" s="197"/>
      <c r="O3" s="197"/>
      <c r="P3" s="197"/>
      <c r="Q3" s="213" t="s">
        <v>31</v>
      </c>
      <c r="R3" s="213"/>
      <c r="S3" s="213"/>
      <c r="T3" s="197"/>
      <c r="U3" s="197"/>
      <c r="V3" s="197"/>
      <c r="W3" s="197"/>
      <c r="X3" s="197"/>
      <c r="Y3" s="197"/>
      <c r="Z3" s="197"/>
      <c r="AA3" s="197"/>
      <c r="AB3" s="197"/>
      <c r="AC3" s="197"/>
      <c r="AD3" s="197"/>
      <c r="AE3" s="214" t="str">
        <f>IF(LEN(FormFacilityID)=0,"",FormFacilityID)</f>
        <v>P01</v>
      </c>
      <c r="AF3" s="215"/>
      <c r="AG3" s="216"/>
      <c r="AH3" s="217"/>
      <c r="AI3" s="218"/>
      <c r="AJ3" s="197"/>
      <c r="AK3" s="197"/>
      <c r="AL3" s="197"/>
      <c r="AM3" s="197"/>
      <c r="AN3" s="197"/>
      <c r="AO3" s="197"/>
      <c r="AP3" s="197"/>
      <c r="AQ3" s="197"/>
      <c r="AR3" s="197"/>
      <c r="AS3" s="219"/>
    </row>
    <row r="4" spans="1:49" ht="3" customHeight="1" x14ac:dyDescent="0.4">
      <c r="A4"/>
      <c r="B4"/>
      <c r="C4"/>
      <c r="D4"/>
      <c r="E4" s="194"/>
      <c r="F4" s="194"/>
      <c r="G4" s="194"/>
      <c r="H4" s="197"/>
      <c r="I4" s="197"/>
      <c r="J4" s="220"/>
      <c r="K4" s="206"/>
      <c r="L4" s="197"/>
      <c r="M4" s="197"/>
      <c r="N4" s="197"/>
      <c r="O4" s="197"/>
      <c r="P4" s="197"/>
      <c r="Q4" s="192"/>
      <c r="R4" s="197"/>
      <c r="S4" s="197"/>
      <c r="T4" s="197"/>
      <c r="U4" s="197"/>
      <c r="V4" s="197"/>
      <c r="W4" s="197"/>
      <c r="X4" s="197"/>
      <c r="Y4" s="197"/>
      <c r="Z4" s="197"/>
      <c r="AA4" s="197"/>
      <c r="AB4" s="197"/>
      <c r="AC4" s="197"/>
      <c r="AD4" s="197"/>
      <c r="AE4" s="197"/>
      <c r="AF4" s="221"/>
      <c r="AG4" s="221"/>
      <c r="AH4" s="222"/>
      <c r="AI4" s="222"/>
      <c r="AJ4" s="197"/>
      <c r="AK4" s="197"/>
      <c r="AL4" s="197"/>
      <c r="AM4" s="197"/>
      <c r="AN4" s="197"/>
      <c r="AO4" s="197"/>
      <c r="AP4" s="197"/>
      <c r="AQ4" s="197"/>
      <c r="AR4" s="197"/>
      <c r="AS4" s="223"/>
    </row>
    <row r="5" spans="1:49" ht="10.15" customHeight="1" x14ac:dyDescent="0.4">
      <c r="A5" s="209"/>
      <c r="B5" s="209" t="s">
        <v>32</v>
      </c>
      <c r="C5" s="209"/>
      <c r="D5" s="209"/>
      <c r="E5" s="210" t="str">
        <f>IF(LEN(FormWaterSysName)=0,"",FormWaterSysName)</f>
        <v>Cary, Town of</v>
      </c>
      <c r="F5" s="211"/>
      <c r="G5" s="212"/>
      <c r="H5" s="197"/>
      <c r="I5" s="197"/>
      <c r="J5" s="220"/>
      <c r="K5" s="206"/>
      <c r="L5" s="197"/>
      <c r="M5" s="197"/>
      <c r="N5" s="197"/>
      <c r="O5" s="197"/>
      <c r="P5" s="197"/>
      <c r="Q5" s="213" t="s">
        <v>33</v>
      </c>
      <c r="R5" s="213"/>
      <c r="S5" s="213"/>
      <c r="T5" s="197"/>
      <c r="U5" s="197"/>
      <c r="V5" s="197"/>
      <c r="W5" s="197"/>
      <c r="X5" s="197"/>
      <c r="Y5" s="197"/>
      <c r="Z5" s="197"/>
      <c r="AA5" s="197"/>
      <c r="AB5" s="197"/>
      <c r="AC5" s="197"/>
      <c r="AD5" s="197"/>
      <c r="AE5" s="214" t="str">
        <f>IF(LEN(FormFacilityName)=0,"",FormFacilityName)</f>
        <v>Cary Apex WTP</v>
      </c>
      <c r="AF5" s="224"/>
      <c r="AG5" s="221"/>
      <c r="AH5" s="224"/>
      <c r="AI5" s="225"/>
      <c r="AJ5" s="197"/>
      <c r="AK5" s="197"/>
      <c r="AL5" s="197"/>
      <c r="AM5" s="197"/>
      <c r="AN5" s="197"/>
      <c r="AO5" s="197"/>
      <c r="AP5" s="197"/>
      <c r="AQ5" s="197"/>
      <c r="AR5" s="197"/>
      <c r="AS5" s="219"/>
    </row>
    <row r="6" spans="1:49" ht="6" customHeight="1" thickBot="1" x14ac:dyDescent="0.4">
      <c r="A6" s="226"/>
      <c r="B6" s="226"/>
      <c r="C6" s="226"/>
      <c r="D6" s="226"/>
      <c r="E6" s="226"/>
      <c r="F6" s="226"/>
      <c r="G6" s="226"/>
      <c r="H6" s="226"/>
      <c r="I6" s="226"/>
      <c r="J6" s="226"/>
      <c r="K6" s="226"/>
      <c r="L6" s="226"/>
      <c r="M6" s="226"/>
      <c r="N6" s="226"/>
      <c r="O6" s="226"/>
      <c r="P6" s="226"/>
      <c r="Q6" s="226"/>
      <c r="R6" s="226"/>
      <c r="S6" s="226"/>
      <c r="T6" s="226"/>
      <c r="U6" s="226"/>
      <c r="V6" s="226"/>
      <c r="W6" s="226"/>
      <c r="X6" s="226"/>
      <c r="Y6" s="226"/>
      <c r="Z6" s="226"/>
      <c r="AA6" s="226"/>
      <c r="AB6" s="226"/>
      <c r="AC6" s="226"/>
      <c r="AD6" s="226"/>
      <c r="AE6" s="226"/>
      <c r="AF6" s="226"/>
      <c r="AG6" s="226"/>
      <c r="AH6" s="226"/>
      <c r="AI6" s="226"/>
      <c r="AJ6" s="226"/>
      <c r="AK6" s="226"/>
      <c r="AL6" s="226"/>
      <c r="AM6" s="226"/>
      <c r="AN6" s="226"/>
      <c r="AO6" s="226"/>
      <c r="AP6" s="226"/>
      <c r="AQ6" s="226"/>
      <c r="AR6" s="226"/>
      <c r="AS6" s="197"/>
    </row>
    <row r="7" spans="1:49" ht="12" customHeight="1" thickBot="1" x14ac:dyDescent="0.4">
      <c r="A7" s="227"/>
      <c r="B7" s="228"/>
      <c r="C7" s="228"/>
      <c r="D7" s="229"/>
      <c r="E7" s="228"/>
      <c r="F7" s="230" t="s">
        <v>34</v>
      </c>
      <c r="G7" s="231" t="s">
        <v>35</v>
      </c>
      <c r="H7" s="232"/>
      <c r="I7" s="232"/>
      <c r="J7" s="232"/>
      <c r="K7" s="232"/>
      <c r="L7" s="233"/>
      <c r="M7" s="234"/>
      <c r="N7" s="235"/>
      <c r="O7" s="231" t="s">
        <v>36</v>
      </c>
      <c r="P7" s="232"/>
      <c r="Q7" s="232"/>
      <c r="R7" s="232"/>
      <c r="S7" s="734"/>
      <c r="T7" s="751"/>
      <c r="U7" s="751"/>
      <c r="V7" s="751"/>
      <c r="W7" s="751"/>
      <c r="X7" s="751"/>
      <c r="Y7" s="751"/>
      <c r="Z7" s="751"/>
      <c r="AA7" s="751"/>
      <c r="AB7" s="235"/>
      <c r="AC7" s="236"/>
      <c r="AD7" s="237"/>
      <c r="AE7" s="231" t="s">
        <v>37</v>
      </c>
      <c r="AF7" s="232"/>
      <c r="AG7" s="232"/>
      <c r="AH7" s="232"/>
      <c r="AI7" s="232"/>
      <c r="AJ7" s="751"/>
      <c r="AK7" s="751"/>
      <c r="AL7" s="751"/>
      <c r="AM7" s="751"/>
      <c r="AN7" s="751"/>
      <c r="AO7" s="751"/>
      <c r="AP7" s="751"/>
      <c r="AQ7" s="751"/>
      <c r="AR7" s="746"/>
      <c r="AS7" s="238"/>
    </row>
    <row r="8" spans="1:49" s="247" customFormat="1" ht="63" customHeight="1" x14ac:dyDescent="0.4">
      <c r="A8" s="239" t="s">
        <v>38</v>
      </c>
      <c r="B8" s="240" t="s">
        <v>39</v>
      </c>
      <c r="C8" s="240" t="s">
        <v>40</v>
      </c>
      <c r="D8" s="241" t="s">
        <v>41</v>
      </c>
      <c r="E8" s="240" t="s">
        <v>42</v>
      </c>
      <c r="F8" s="242" t="s">
        <v>43</v>
      </c>
      <c r="G8" s="240" t="s">
        <v>44</v>
      </c>
      <c r="H8" s="241" t="s">
        <v>45</v>
      </c>
      <c r="I8" s="241" t="s">
        <v>46</v>
      </c>
      <c r="J8" s="241" t="s">
        <v>47</v>
      </c>
      <c r="K8" s="241" t="s">
        <v>48</v>
      </c>
      <c r="L8" s="243" t="s">
        <v>49</v>
      </c>
      <c r="M8" s="244"/>
      <c r="N8" s="4"/>
      <c r="O8" s="239" t="str">
        <f t="shared" ref="O8:AA9" si="0">IF(LEN(AE8)=0,"",AE8)</f>
        <v>Coagulant</v>
      </c>
      <c r="P8" s="241" t="str">
        <f t="shared" si="0"/>
        <v>Pre Alkali</v>
      </c>
      <c r="Q8" s="241" t="str">
        <f t="shared" si="0"/>
        <v>Post Alkali</v>
      </c>
      <c r="R8" s="241" t="str">
        <f t="shared" si="0"/>
        <v>Pre Disinfectant</v>
      </c>
      <c r="S8" s="724" t="str">
        <f t="shared" si="0"/>
        <v>Post Disinfectant</v>
      </c>
      <c r="T8" s="724" t="str">
        <f t="shared" si="0"/>
        <v>Fluoride</v>
      </c>
      <c r="U8" s="724" t="str">
        <f t="shared" si="0"/>
        <v>Ammonia</v>
      </c>
      <c r="V8" s="724" t="str">
        <f t="shared" si="0"/>
        <v>Corrosion Inhibitor</v>
      </c>
      <c r="W8" s="724" t="str">
        <f t="shared" si="0"/>
        <v>Pre Treatment</v>
      </c>
      <c r="X8" s="724" t="str">
        <f t="shared" si="0"/>
        <v>Pre Treatment</v>
      </c>
      <c r="Y8" s="724" t="str">
        <f t="shared" si="0"/>
        <v>Pre Treatment</v>
      </c>
      <c r="Z8" s="724" t="str">
        <f t="shared" si="0"/>
        <v>Oxidant</v>
      </c>
      <c r="AA8" s="724" t="str">
        <f t="shared" si="0"/>
        <v>Oxidant</v>
      </c>
      <c r="AB8" s="7"/>
      <c r="AC8" s="245"/>
      <c r="AD8" s="7"/>
      <c r="AE8" s="708" t="s">
        <v>325</v>
      </c>
      <c r="AF8" s="6" t="s">
        <v>422</v>
      </c>
      <c r="AG8" s="6" t="s">
        <v>415</v>
      </c>
      <c r="AH8" s="6" t="s">
        <v>423</v>
      </c>
      <c r="AI8" s="7" t="s">
        <v>420</v>
      </c>
      <c r="AJ8" s="735" t="s">
        <v>333</v>
      </c>
      <c r="AK8" s="735" t="s">
        <v>352</v>
      </c>
      <c r="AL8" s="735" t="s">
        <v>329</v>
      </c>
      <c r="AM8" s="735" t="s">
        <v>332</v>
      </c>
      <c r="AN8" s="735" t="s">
        <v>332</v>
      </c>
      <c r="AO8" s="735" t="s">
        <v>332</v>
      </c>
      <c r="AP8" s="735" t="s">
        <v>331</v>
      </c>
      <c r="AQ8" s="735" t="s">
        <v>331</v>
      </c>
      <c r="AR8" s="735" t="str">
        <f>IF(LEN(AB8)=0,"",AB8)</f>
        <v/>
      </c>
      <c r="AS8" s="1091"/>
      <c r="AT8" s="246"/>
      <c r="AU8" s="246"/>
    </row>
    <row r="9" spans="1:49" s="247" customFormat="1" ht="54.7" customHeight="1" x14ac:dyDescent="0.4">
      <c r="A9" s="248"/>
      <c r="B9" s="249"/>
      <c r="C9" s="249"/>
      <c r="D9" s="249"/>
      <c r="E9" s="249"/>
      <c r="F9" s="250"/>
      <c r="G9" s="251"/>
      <c r="H9" s="252"/>
      <c r="I9" s="252"/>
      <c r="J9" s="252"/>
      <c r="K9" s="252"/>
      <c r="L9" s="253"/>
      <c r="M9" s="244"/>
      <c r="N9" s="254"/>
      <c r="O9" s="239" t="str">
        <f t="shared" si="0"/>
        <v>Aluminum Sulfate</v>
      </c>
      <c r="P9" s="241" t="str">
        <f t="shared" si="0"/>
        <v>Sodium Hydroxide</v>
      </c>
      <c r="Q9" s="241" t="str">
        <f t="shared" si="0"/>
        <v>Sodium Hydroxide</v>
      </c>
      <c r="R9" s="241" t="str">
        <f t="shared" si="0"/>
        <v>Sodium Hypochlorite</v>
      </c>
      <c r="S9" s="724" t="str">
        <f t="shared" si="0"/>
        <v>Sodium Hypochlorite</v>
      </c>
      <c r="T9" s="724" t="str">
        <f t="shared" si="0"/>
        <v>HFS</v>
      </c>
      <c r="U9" s="724" t="str">
        <f t="shared" si="0"/>
        <v>Anhydrous</v>
      </c>
      <c r="V9" s="724" t="str">
        <f t="shared" si="0"/>
        <v>Ortho Phosphate</v>
      </c>
      <c r="W9" s="724" t="str">
        <f t="shared" si="0"/>
        <v>Powdered Activated Carbon (PAC)</v>
      </c>
      <c r="X9" s="724" t="str">
        <f t="shared" si="0"/>
        <v>Polymer</v>
      </c>
      <c r="Y9" s="724" t="str">
        <f t="shared" si="0"/>
        <v>Polymer</v>
      </c>
      <c r="Z9" s="724" t="str">
        <f t="shared" si="0"/>
        <v>Ozone</v>
      </c>
      <c r="AA9" s="724" t="str">
        <f t="shared" si="0"/>
        <v>Ozone</v>
      </c>
      <c r="AB9" s="255"/>
      <c r="AC9" s="245"/>
      <c r="AD9" s="255"/>
      <c r="AE9" s="5" t="s">
        <v>374</v>
      </c>
      <c r="AF9" s="6" t="s">
        <v>407</v>
      </c>
      <c r="AG9" s="6" t="s">
        <v>407</v>
      </c>
      <c r="AH9" s="6" t="s">
        <v>408</v>
      </c>
      <c r="AI9" s="7" t="s">
        <v>408</v>
      </c>
      <c r="AJ9" s="735" t="s">
        <v>360</v>
      </c>
      <c r="AK9" s="735" t="s">
        <v>356</v>
      </c>
      <c r="AL9" s="735" t="s">
        <v>378</v>
      </c>
      <c r="AM9" s="735" t="s">
        <v>414</v>
      </c>
      <c r="AN9" s="735" t="s">
        <v>400</v>
      </c>
      <c r="AO9" s="735" t="s">
        <v>400</v>
      </c>
      <c r="AP9" s="735" t="s">
        <v>395</v>
      </c>
      <c r="AQ9" s="735" t="s">
        <v>395</v>
      </c>
      <c r="AR9" s="736" t="str">
        <f>IF(LEN(AB9)=0,"",AB9)</f>
        <v/>
      </c>
      <c r="AS9" s="1091"/>
      <c r="AT9" s="246"/>
      <c r="AU9" s="246"/>
    </row>
    <row r="10" spans="1:49" s="266" customFormat="1" ht="10.5" x14ac:dyDescent="0.4">
      <c r="A10" s="256"/>
      <c r="B10" s="223"/>
      <c r="C10" s="223"/>
      <c r="D10" s="223"/>
      <c r="E10" s="223"/>
      <c r="F10" s="223"/>
      <c r="G10" s="257"/>
      <c r="H10" s="223"/>
      <c r="I10" s="223"/>
      <c r="J10" s="223"/>
      <c r="K10" s="223"/>
      <c r="L10" s="258"/>
      <c r="M10" s="223"/>
      <c r="N10" s="259"/>
      <c r="O10" s="260" t="s">
        <v>50</v>
      </c>
      <c r="P10" s="261"/>
      <c r="Q10" s="261"/>
      <c r="R10" s="261"/>
      <c r="S10" s="725"/>
      <c r="T10" s="749"/>
      <c r="U10" s="749"/>
      <c r="V10" s="749"/>
      <c r="W10" s="749"/>
      <c r="X10" s="749"/>
      <c r="Y10" s="749"/>
      <c r="Z10" s="749"/>
      <c r="AA10" s="749"/>
      <c r="AB10" s="264"/>
      <c r="AC10" s="263"/>
      <c r="AD10" s="264"/>
      <c r="AE10" s="260" t="s">
        <v>51</v>
      </c>
      <c r="AF10" s="261"/>
      <c r="AG10" s="261"/>
      <c r="AH10" s="261"/>
      <c r="AI10" s="261"/>
      <c r="AJ10" s="737"/>
      <c r="AK10" s="737"/>
      <c r="AL10" s="737"/>
      <c r="AM10" s="737"/>
      <c r="AN10" s="737"/>
      <c r="AO10" s="737"/>
      <c r="AP10" s="737"/>
      <c r="AQ10" s="737"/>
      <c r="AR10" s="737"/>
      <c r="AS10" s="238"/>
      <c r="AT10" s="265"/>
      <c r="AU10" s="265"/>
    </row>
    <row r="11" spans="1:49" s="266" customFormat="1" ht="9.6999999999999993" customHeight="1" x14ac:dyDescent="0.4">
      <c r="A11" s="256"/>
      <c r="B11" s="223"/>
      <c r="C11" s="223"/>
      <c r="D11" s="223"/>
      <c r="E11" s="223"/>
      <c r="F11" s="223"/>
      <c r="G11" s="257"/>
      <c r="H11" s="347"/>
      <c r="I11" s="223"/>
      <c r="J11" s="223"/>
      <c r="K11" s="223"/>
      <c r="L11" s="258"/>
      <c r="M11" s="223"/>
      <c r="N11" s="267"/>
      <c r="O11" s="268" t="str">
        <f t="shared" ref="O11:AA11" si="1">IF(LEN(AE11)=0,"",AE11)</f>
        <v>Treated</v>
      </c>
      <c r="P11" s="269" t="str">
        <f t="shared" si="1"/>
        <v>Treated</v>
      </c>
      <c r="Q11" s="269" t="str">
        <f t="shared" si="1"/>
        <v>Filtered</v>
      </c>
      <c r="R11" s="269" t="str">
        <f t="shared" si="1"/>
        <v>Treated</v>
      </c>
      <c r="S11" s="726" t="str">
        <f t="shared" si="1"/>
        <v>Filtered</v>
      </c>
      <c r="T11" s="726" t="str">
        <f t="shared" si="1"/>
        <v/>
      </c>
      <c r="U11" s="726" t="str">
        <f t="shared" si="1"/>
        <v>Finished</v>
      </c>
      <c r="V11" s="726" t="str">
        <f t="shared" si="1"/>
        <v>Filtered</v>
      </c>
      <c r="W11" s="726" t="str">
        <f t="shared" si="1"/>
        <v>Treated</v>
      </c>
      <c r="X11" s="726" t="str">
        <f t="shared" si="1"/>
        <v>Treated</v>
      </c>
      <c r="Y11" s="726" t="str">
        <f t="shared" si="1"/>
        <v>Treated</v>
      </c>
      <c r="Z11" s="726" t="str">
        <f t="shared" si="1"/>
        <v>Treated</v>
      </c>
      <c r="AA11" s="726" t="str">
        <f t="shared" si="1"/>
        <v>Treated</v>
      </c>
      <c r="AB11" s="271"/>
      <c r="AC11" s="270"/>
      <c r="AD11" s="271"/>
      <c r="AE11" s="1089" t="s">
        <v>391</v>
      </c>
      <c r="AF11" s="718" t="s">
        <v>391</v>
      </c>
      <c r="AG11" s="718" t="s">
        <v>405</v>
      </c>
      <c r="AH11" s="718" t="s">
        <v>391</v>
      </c>
      <c r="AI11" s="719" t="s">
        <v>405</v>
      </c>
      <c r="AJ11" s="747"/>
      <c r="AK11" s="747" t="s">
        <v>411</v>
      </c>
      <c r="AL11" s="747" t="s">
        <v>405</v>
      </c>
      <c r="AM11" s="747" t="s">
        <v>391</v>
      </c>
      <c r="AN11" s="747" t="s">
        <v>391</v>
      </c>
      <c r="AO11" s="747" t="s">
        <v>391</v>
      </c>
      <c r="AP11" s="747" t="s">
        <v>391</v>
      </c>
      <c r="AQ11" s="747" t="s">
        <v>391</v>
      </c>
      <c r="AR11" s="738" t="str">
        <f>IF(LEN(AB11)=0,"",AB11)</f>
        <v/>
      </c>
      <c r="AS11" s="257"/>
      <c r="AT11" s="265"/>
      <c r="AU11" s="265"/>
    </row>
    <row r="12" spans="1:49" s="266" customFormat="1" ht="10.5" x14ac:dyDescent="0.4">
      <c r="A12" s="256"/>
      <c r="B12" s="223"/>
      <c r="C12" s="223"/>
      <c r="D12" s="223"/>
      <c r="E12" s="223"/>
      <c r="F12" s="223"/>
      <c r="G12" s="257"/>
      <c r="H12" s="223"/>
      <c r="I12" s="223"/>
      <c r="J12" s="223"/>
      <c r="K12" s="223"/>
      <c r="L12" s="258"/>
      <c r="M12" s="223"/>
      <c r="N12" s="259"/>
      <c r="O12" s="260" t="s">
        <v>52</v>
      </c>
      <c r="P12" s="261"/>
      <c r="Q12" s="261"/>
      <c r="R12" s="261"/>
      <c r="S12" s="725"/>
      <c r="T12" s="749"/>
      <c r="U12" s="749"/>
      <c r="V12" s="749"/>
      <c r="W12" s="749"/>
      <c r="X12" s="749"/>
      <c r="Y12" s="749"/>
      <c r="Z12" s="749"/>
      <c r="AA12" s="749"/>
      <c r="AB12" s="264"/>
      <c r="AC12" s="263"/>
      <c r="AD12" s="264"/>
      <c r="AE12" s="260" t="s">
        <v>52</v>
      </c>
      <c r="AF12" s="261"/>
      <c r="AG12" s="261"/>
      <c r="AH12" s="261"/>
      <c r="AI12" s="261"/>
      <c r="AJ12" s="737"/>
      <c r="AK12" s="737"/>
      <c r="AL12" s="737"/>
      <c r="AM12" s="737"/>
      <c r="AN12" s="737"/>
      <c r="AO12" s="737"/>
      <c r="AP12" s="737"/>
      <c r="AQ12" s="737"/>
      <c r="AR12" s="737"/>
      <c r="AS12" s="238"/>
      <c r="AT12" s="265"/>
      <c r="AU12" s="265"/>
    </row>
    <row r="13" spans="1:49" s="266" customFormat="1" ht="9.6999999999999993" customHeight="1" x14ac:dyDescent="0.35">
      <c r="A13" s="272"/>
      <c r="B13" s="264"/>
      <c r="C13" s="264"/>
      <c r="D13" s="264"/>
      <c r="E13" s="264"/>
      <c r="F13" s="264"/>
      <c r="G13" s="164"/>
      <c r="H13" s="264"/>
      <c r="I13" s="264"/>
      <c r="J13" s="264"/>
      <c r="K13" s="264"/>
      <c r="L13" s="273"/>
      <c r="M13" s="223"/>
      <c r="N13" s="274"/>
      <c r="O13" s="275">
        <v>1</v>
      </c>
      <c r="P13" s="276">
        <v>1</v>
      </c>
      <c r="Q13" s="276">
        <v>1</v>
      </c>
      <c r="R13" s="276">
        <v>1</v>
      </c>
      <c r="S13" s="727">
        <v>1</v>
      </c>
      <c r="T13" s="727">
        <v>1</v>
      </c>
      <c r="U13" s="727">
        <v>1</v>
      </c>
      <c r="V13" s="727">
        <v>1</v>
      </c>
      <c r="W13" s="727">
        <v>1</v>
      </c>
      <c r="X13" s="727">
        <v>1</v>
      </c>
      <c r="Y13" s="727">
        <v>1</v>
      </c>
      <c r="Z13" s="727">
        <v>1</v>
      </c>
      <c r="AA13" s="727">
        <v>1</v>
      </c>
      <c r="AB13" s="277"/>
      <c r="AC13" s="270"/>
      <c r="AD13" s="277"/>
      <c r="AE13" s="713">
        <v>1</v>
      </c>
      <c r="AF13" s="716">
        <v>1</v>
      </c>
      <c r="AG13" s="716">
        <v>1</v>
      </c>
      <c r="AH13" s="716">
        <v>1</v>
      </c>
      <c r="AI13" s="720">
        <v>1</v>
      </c>
      <c r="AJ13" s="748">
        <v>1</v>
      </c>
      <c r="AK13" s="748">
        <v>1</v>
      </c>
      <c r="AL13" s="748">
        <v>1</v>
      </c>
      <c r="AM13" s="748">
        <v>1</v>
      </c>
      <c r="AN13" s="748">
        <v>1</v>
      </c>
      <c r="AO13" s="748">
        <v>1</v>
      </c>
      <c r="AP13" s="748">
        <v>1</v>
      </c>
      <c r="AQ13" s="748">
        <v>1</v>
      </c>
      <c r="AR13" s="739" t="str">
        <f>IF(LEN(AB13)=0,"",AB13)</f>
        <v/>
      </c>
      <c r="AS13" s="257"/>
      <c r="AT13" s="265"/>
      <c r="AU13" s="265"/>
    </row>
    <row r="14" spans="1:49" s="286" customFormat="1" ht="10.15" customHeight="1" x14ac:dyDescent="0.4">
      <c r="A14" s="278"/>
      <c r="B14" s="279"/>
      <c r="C14" s="279"/>
      <c r="D14" s="279"/>
      <c r="E14" s="279"/>
      <c r="F14" s="280"/>
      <c r="G14" s="278"/>
      <c r="H14" s="1102"/>
      <c r="I14" s="279"/>
      <c r="J14" s="279"/>
      <c r="K14" s="279"/>
      <c r="L14" s="281"/>
      <c r="M14" s="282"/>
      <c r="N14" s="283"/>
      <c r="O14" s="278" t="s">
        <v>722</v>
      </c>
      <c r="P14" s="279" t="s">
        <v>722</v>
      </c>
      <c r="Q14" s="279" t="s">
        <v>722</v>
      </c>
      <c r="R14" s="279" t="s">
        <v>722</v>
      </c>
      <c r="S14" s="728" t="s">
        <v>722</v>
      </c>
      <c r="T14" s="728" t="s">
        <v>721</v>
      </c>
      <c r="U14" s="728" t="s">
        <v>722</v>
      </c>
      <c r="V14" s="728" t="s">
        <v>722</v>
      </c>
      <c r="W14" s="728" t="s">
        <v>722</v>
      </c>
      <c r="X14" s="728" t="s">
        <v>722</v>
      </c>
      <c r="Y14" s="728" t="s">
        <v>722</v>
      </c>
      <c r="Z14" s="728" t="s">
        <v>722</v>
      </c>
      <c r="AA14" s="728" t="s">
        <v>722</v>
      </c>
      <c r="AB14" s="280"/>
      <c r="AC14" s="284"/>
      <c r="AD14" s="280"/>
      <c r="AE14" s="278" t="s">
        <v>721</v>
      </c>
      <c r="AF14" s="279" t="s">
        <v>721</v>
      </c>
      <c r="AG14" s="279" t="s">
        <v>721</v>
      </c>
      <c r="AH14" s="279" t="s">
        <v>721</v>
      </c>
      <c r="AI14" s="280" t="s">
        <v>721</v>
      </c>
      <c r="AJ14" s="740" t="s">
        <v>721</v>
      </c>
      <c r="AK14" s="740" t="s">
        <v>721</v>
      </c>
      <c r="AL14" s="740" t="s">
        <v>721</v>
      </c>
      <c r="AM14" s="740" t="s">
        <v>721</v>
      </c>
      <c r="AN14" s="740" t="s">
        <v>721</v>
      </c>
      <c r="AO14" s="740" t="s">
        <v>721</v>
      </c>
      <c r="AP14" s="740" t="s">
        <v>721</v>
      </c>
      <c r="AQ14" s="740" t="s">
        <v>721</v>
      </c>
      <c r="AR14" s="740"/>
      <c r="AS14" s="285"/>
    </row>
    <row r="15" spans="1:49" s="247" customFormat="1" ht="9.6999999999999993" hidden="1" customHeight="1" x14ac:dyDescent="0.35">
      <c r="A15" s="165"/>
      <c r="B15" s="287" t="s">
        <v>53</v>
      </c>
      <c r="C15" s="287" t="s">
        <v>53</v>
      </c>
      <c r="D15" s="287" t="s">
        <v>53</v>
      </c>
      <c r="E15" s="287" t="s">
        <v>53</v>
      </c>
      <c r="F15" s="288" t="s">
        <v>54</v>
      </c>
      <c r="G15" s="289" t="s">
        <v>54</v>
      </c>
      <c r="H15" s="287" t="s">
        <v>54</v>
      </c>
      <c r="I15" s="287" t="s">
        <v>55</v>
      </c>
      <c r="J15" s="287" t="s">
        <v>56</v>
      </c>
      <c r="K15" s="287" t="s">
        <v>56</v>
      </c>
      <c r="L15" s="290" t="s">
        <v>57</v>
      </c>
      <c r="M15" s="291"/>
      <c r="N15" s="292" t="s">
        <v>58</v>
      </c>
      <c r="O15" s="289" t="s">
        <v>58</v>
      </c>
      <c r="P15" s="287" t="s">
        <v>58</v>
      </c>
      <c r="Q15" s="287" t="s">
        <v>58</v>
      </c>
      <c r="R15" s="287" t="s">
        <v>58</v>
      </c>
      <c r="S15" s="729" t="s">
        <v>58</v>
      </c>
      <c r="T15" s="729" t="s">
        <v>58</v>
      </c>
      <c r="U15" s="729" t="s">
        <v>58</v>
      </c>
      <c r="V15" s="729" t="s">
        <v>58</v>
      </c>
      <c r="W15" s="729" t="s">
        <v>58</v>
      </c>
      <c r="X15" s="729" t="s">
        <v>58</v>
      </c>
      <c r="Y15" s="729" t="s">
        <v>58</v>
      </c>
      <c r="Z15" s="729" t="s">
        <v>58</v>
      </c>
      <c r="AA15" s="729" t="s">
        <v>58</v>
      </c>
      <c r="AB15" s="288" t="s">
        <v>58</v>
      </c>
      <c r="AC15" s="293"/>
      <c r="AD15" s="288" t="s">
        <v>59</v>
      </c>
      <c r="AE15" s="289" t="s">
        <v>59</v>
      </c>
      <c r="AF15" s="287" t="s">
        <v>59</v>
      </c>
      <c r="AG15" s="287" t="s">
        <v>59</v>
      </c>
      <c r="AH15" s="287" t="s">
        <v>59</v>
      </c>
      <c r="AI15" s="288" t="s">
        <v>59</v>
      </c>
      <c r="AJ15" s="741" t="s">
        <v>59</v>
      </c>
      <c r="AK15" s="741" t="s">
        <v>59</v>
      </c>
      <c r="AL15" s="741" t="s">
        <v>59</v>
      </c>
      <c r="AM15" s="741" t="s">
        <v>59</v>
      </c>
      <c r="AN15" s="741" t="s">
        <v>59</v>
      </c>
      <c r="AO15" s="741" t="s">
        <v>59</v>
      </c>
      <c r="AP15" s="741" t="s">
        <v>59</v>
      </c>
      <c r="AQ15" s="741" t="s">
        <v>59</v>
      </c>
      <c r="AR15" s="741" t="s">
        <v>59</v>
      </c>
      <c r="AS15" s="294"/>
      <c r="AT15" s="246"/>
      <c r="AU15" s="246"/>
    </row>
    <row r="16" spans="1:49" ht="9.6999999999999993" customHeight="1" x14ac:dyDescent="0.35">
      <c r="A16" s="1100">
        <v>1</v>
      </c>
      <c r="B16" s="8">
        <f>'User Data'!DU11</f>
        <v>25.64</v>
      </c>
      <c r="C16" s="8">
        <f>'User Data'!DV11</f>
        <v>23.22</v>
      </c>
      <c r="D16" s="8">
        <f>'User Data'!DW11</f>
        <v>22.94</v>
      </c>
      <c r="E16" s="8">
        <f>'User Data'!DX11</f>
        <v>20.23</v>
      </c>
      <c r="F16" s="9">
        <f>'User Data'!DY11</f>
        <v>24</v>
      </c>
      <c r="G16" s="10">
        <f>'User Data'!DY11</f>
        <v>24</v>
      </c>
      <c r="H16" s="11">
        <f>'User Data'!AV7</f>
        <v>2.760022095959596</v>
      </c>
      <c r="I16" s="12">
        <f>MAX('User Data'!AX7:BM7)</f>
        <v>98.5</v>
      </c>
      <c r="J16" s="13">
        <f>'User Data'!ED11</f>
        <v>10</v>
      </c>
      <c r="K16" s="13">
        <f>'User Data'!EE11</f>
        <v>2</v>
      </c>
      <c r="L16" s="14">
        <f>'User Data'!EG11</f>
        <v>490</v>
      </c>
      <c r="M16" s="689"/>
      <c r="N16" s="15"/>
      <c r="O16" s="299">
        <f t="shared" ref="O16:O46" si="2">IF(OR(LEN($C16)=0,LEN(AE16)=0),"",AE16*$C16*FACTOR_lb_mgl/O$13)</f>
        <v>11340.425088</v>
      </c>
      <c r="P16" s="295">
        <f t="shared" ref="P16:P46" si="3">IF(OR(LEN($C16)=0,LEN(AF16)=0),"",AF16*$C16*FACTOR_lb_mgl/P$13)</f>
        <v>1768.0683240000001</v>
      </c>
      <c r="Q16" s="295">
        <f t="shared" ref="Q16:Q46" si="4">IF(OR(LEN($D16)=0,LEN(AG16)=0),"",AG16*$D16*FACTOR_lb_mgl/Q$13)</f>
        <v>2282.4428279999997</v>
      </c>
      <c r="R16" s="295">
        <f t="shared" ref="R16:R46" si="5">IF(OR(LEN($C16)=0,LEN(AH16)=0),"",AH16*$C16*FACTOR_lb_mgl/R$13)</f>
        <v>162.67003199999999</v>
      </c>
      <c r="S16" s="730">
        <f t="shared" ref="S16:S46" si="6">IF(OR(LEN($D16)=0,LEN(AI16)=0),"",AI16*$D16*FACTOR_lb_mgl/S$13)</f>
        <v>482.12539200000003</v>
      </c>
      <c r="T16" s="750">
        <f>'User Data'!EM11</f>
        <v>773</v>
      </c>
      <c r="U16" s="730">
        <f t="shared" ref="U16:U46" si="7">IF(OR(LEN($E16)=0,LEN(AK16)=0),"",AK16*$E16*FACTOR_lb_mgl/U$13)</f>
        <v>0</v>
      </c>
      <c r="V16" s="730">
        <f t="shared" ref="V16:V46" si="8">IF(OR(LEN($D16)=0,LEN(AL16)=0),"",AL16*$D16*FACTOR_lb_mgl/V$13)</f>
        <v>528.04209600000002</v>
      </c>
      <c r="W16" s="730">
        <f t="shared" ref="W16:W46" si="9">IF(OR(LEN($C16)=0,LEN(AM16)=0),"",AM16*$C16*FACTOR_lb_mgl/W$13)</f>
        <v>5842.5653160000002</v>
      </c>
      <c r="X16" s="730">
        <f t="shared" ref="X16:X46" si="10">IF(OR(LEN($C16)=0,LEN(AN16)=0),"",AN16*$C16*FACTOR_lb_mgl/X$13)</f>
        <v>21.302027999999996</v>
      </c>
      <c r="Y16" s="730">
        <f t="shared" ref="Y16:Y46" si="11">IF(OR(LEN($C16)=0,LEN(AO16)=0),"",AO16*$C16*FACTOR_lb_mgl/Y$13)</f>
        <v>25.175124</v>
      </c>
      <c r="Z16" s="730">
        <f t="shared" ref="Z16:Z46" si="12">IF(OR(LEN($C16)=0,LEN(AP16)=0),"",AP16*$C16*FACTOR_lb_mgl/Z$13)</f>
        <v>966.33745199999998</v>
      </c>
      <c r="AA16" s="730">
        <f t="shared" ref="AA16:AA46" si="13">IF(OR(LEN($C16)=0,LEN(AQ16)=0),"",AQ16*$C16*FACTOR_lb_mgl/AA$13)</f>
        <v>0</v>
      </c>
      <c r="AB16" s="721"/>
      <c r="AC16" s="300"/>
      <c r="AD16" s="16"/>
      <c r="AE16" s="714">
        <f>'User Data'!EV11</f>
        <v>58.56</v>
      </c>
      <c r="AF16" s="17">
        <f>'User Data'!EW11</f>
        <v>9.1300000000000008</v>
      </c>
      <c r="AG16" s="17">
        <f>'User Data'!EX11</f>
        <v>11.93</v>
      </c>
      <c r="AH16" s="17">
        <f>'User Data'!EY11</f>
        <v>0.84</v>
      </c>
      <c r="AI16" s="16">
        <f>'User Data'!EZ11</f>
        <v>2.52</v>
      </c>
      <c r="AJ16" s="742">
        <f>'User Data'!FA11</f>
        <v>0.79</v>
      </c>
      <c r="AK16" s="742">
        <f>'User Data'!FB11</f>
        <v>0</v>
      </c>
      <c r="AL16" s="742">
        <f>'User Data'!FC11</f>
        <v>2.76</v>
      </c>
      <c r="AM16" s="742">
        <f>'User Data'!FD11</f>
        <v>30.17</v>
      </c>
      <c r="AN16" s="742">
        <f>'User Data'!FE11</f>
        <v>0.11</v>
      </c>
      <c r="AO16" s="742">
        <f>'User Data'!FF11</f>
        <v>0.13</v>
      </c>
      <c r="AP16" s="742">
        <f>'User Data'!FH11</f>
        <v>4.99</v>
      </c>
      <c r="AQ16" s="742">
        <f>'User Data'!FI11</f>
        <v>0</v>
      </c>
      <c r="AR16" s="742"/>
      <c r="AS16" s="18"/>
      <c r="AT16" s="19">
        <f>'1940-IV - EP DI'!P13</f>
        <v>6</v>
      </c>
      <c r="AU16" s="19">
        <f>'1940-III - CFE Turb.'!P11</f>
        <v>6</v>
      </c>
      <c r="AV16" s="19">
        <f t="shared" ref="AV16:AV46" si="14">IF(AND(AT16&gt;0,OR(LEN(F16)=0,F16=0)),1,0)</f>
        <v>0</v>
      </c>
      <c r="AW16" s="19">
        <f t="shared" ref="AW16:AW46" si="15">IF(AND(AU16&gt;0,OR(LEN(G16)=0,G16=0)),1,0)</f>
        <v>0</v>
      </c>
    </row>
    <row r="17" spans="1:49" ht="9.6999999999999993" customHeight="1" x14ac:dyDescent="0.35">
      <c r="A17" s="1100">
        <v>2</v>
      </c>
      <c r="B17" s="8">
        <f>'User Data'!DU12</f>
        <v>23.9</v>
      </c>
      <c r="C17" s="8">
        <f>'User Data'!DV12</f>
        <v>21.15</v>
      </c>
      <c r="D17" s="8">
        <f>'User Data'!DW12</f>
        <v>20.9</v>
      </c>
      <c r="E17" s="8">
        <f>'User Data'!DX12</f>
        <v>18.63</v>
      </c>
      <c r="F17" s="9">
        <f>'User Data'!DY12</f>
        <v>24</v>
      </c>
      <c r="G17" s="10">
        <f>'User Data'!DY12</f>
        <v>24</v>
      </c>
      <c r="H17" s="11">
        <f>'User Data'!AV8</f>
        <v>2.5114425505050506</v>
      </c>
      <c r="I17" s="12">
        <f>MAX('User Data'!AX8:BM8)</f>
        <v>101.5</v>
      </c>
      <c r="J17" s="13">
        <f>'User Data'!ED12</f>
        <v>10</v>
      </c>
      <c r="K17" s="13">
        <f>'User Data'!EE12</f>
        <v>2</v>
      </c>
      <c r="L17" s="14">
        <f>'User Data'!EG12</f>
        <v>480</v>
      </c>
      <c r="M17" s="689"/>
      <c r="N17" s="15"/>
      <c r="O17" s="299">
        <f t="shared" si="2"/>
        <v>10093.09302</v>
      </c>
      <c r="P17" s="295">
        <f t="shared" si="3"/>
        <v>1675.7144999999998</v>
      </c>
      <c r="Q17" s="295">
        <f t="shared" si="4"/>
        <v>2178.8249999999998</v>
      </c>
      <c r="R17" s="295">
        <f t="shared" si="5"/>
        <v>149.93234999999999</v>
      </c>
      <c r="S17" s="730">
        <f t="shared" si="6"/>
        <v>477.59843999999998</v>
      </c>
      <c r="T17" s="750">
        <f>'User Data'!EM12</f>
        <v>673</v>
      </c>
      <c r="U17" s="730">
        <f t="shared" si="7"/>
        <v>0</v>
      </c>
      <c r="V17" s="730">
        <f t="shared" si="8"/>
        <v>493.28598</v>
      </c>
      <c r="W17" s="730">
        <f t="shared" si="9"/>
        <v>5277.6187199999995</v>
      </c>
      <c r="X17" s="730">
        <f t="shared" si="10"/>
        <v>19.403009999999998</v>
      </c>
      <c r="Y17" s="730">
        <f t="shared" si="11"/>
        <v>21.166919999999998</v>
      </c>
      <c r="Z17" s="730">
        <f t="shared" si="12"/>
        <v>881.95500000000004</v>
      </c>
      <c r="AA17" s="730">
        <f t="shared" si="13"/>
        <v>0</v>
      </c>
      <c r="AB17" s="721"/>
      <c r="AC17" s="300"/>
      <c r="AD17" s="16"/>
      <c r="AE17" s="714">
        <f>'User Data'!EV12</f>
        <v>57.22</v>
      </c>
      <c r="AF17" s="17">
        <f>'User Data'!EW12</f>
        <v>9.5</v>
      </c>
      <c r="AG17" s="17">
        <f>'User Data'!EX12</f>
        <v>12.5</v>
      </c>
      <c r="AH17" s="17">
        <f>'User Data'!EY12</f>
        <v>0.85</v>
      </c>
      <c r="AI17" s="16">
        <f>'User Data'!EZ12</f>
        <v>2.74</v>
      </c>
      <c r="AJ17" s="742">
        <f>'User Data'!FA12</f>
        <v>0.8</v>
      </c>
      <c r="AK17" s="742">
        <f>'User Data'!FB12</f>
        <v>0</v>
      </c>
      <c r="AL17" s="742">
        <f>'User Data'!FC12</f>
        <v>2.83</v>
      </c>
      <c r="AM17" s="742">
        <f>'User Data'!FD12</f>
        <v>29.92</v>
      </c>
      <c r="AN17" s="742">
        <f>'User Data'!FE12</f>
        <v>0.11</v>
      </c>
      <c r="AO17" s="742">
        <f>'User Data'!FF12</f>
        <v>0.12</v>
      </c>
      <c r="AP17" s="742">
        <f>'User Data'!FH12</f>
        <v>5</v>
      </c>
      <c r="AQ17" s="742">
        <f>'User Data'!FI12</f>
        <v>0</v>
      </c>
      <c r="AR17" s="742"/>
      <c r="AS17" s="18"/>
      <c r="AT17" s="19">
        <f>'1940-IV - EP DI'!P14</f>
        <v>6</v>
      </c>
      <c r="AU17" s="19">
        <f>'1940-III - CFE Turb.'!P12</f>
        <v>6</v>
      </c>
      <c r="AV17" s="19">
        <f t="shared" si="14"/>
        <v>0</v>
      </c>
      <c r="AW17" s="19">
        <f t="shared" si="15"/>
        <v>0</v>
      </c>
    </row>
    <row r="18" spans="1:49" ht="9.6999999999999993" customHeight="1" x14ac:dyDescent="0.35">
      <c r="A18" s="1100">
        <v>3</v>
      </c>
      <c r="B18" s="8">
        <f>'User Data'!DU13</f>
        <v>22</v>
      </c>
      <c r="C18" s="8">
        <f>'User Data'!DV13</f>
        <v>18.5</v>
      </c>
      <c r="D18" s="8">
        <f>'User Data'!DW13</f>
        <v>17.97</v>
      </c>
      <c r="E18" s="8">
        <f>'User Data'!DX13</f>
        <v>17.55</v>
      </c>
      <c r="F18" s="9">
        <f>'User Data'!DY13</f>
        <v>24</v>
      </c>
      <c r="G18" s="10">
        <f>'User Data'!DY13</f>
        <v>24</v>
      </c>
      <c r="H18" s="11">
        <f>'User Data'!AV9</f>
        <v>2.1218039772727275</v>
      </c>
      <c r="I18" s="12">
        <f>MAX('User Data'!AX9:BM9)</f>
        <v>107</v>
      </c>
      <c r="J18" s="13">
        <f>'User Data'!ED13</f>
        <v>10</v>
      </c>
      <c r="K18" s="13">
        <f>'User Data'!EE13</f>
        <v>2</v>
      </c>
      <c r="L18" s="14">
        <f>'User Data'!EG13</f>
        <v>510</v>
      </c>
      <c r="M18" s="689"/>
      <c r="N18" s="15"/>
      <c r="O18" s="299">
        <f t="shared" si="2"/>
        <v>9161.7402000000002</v>
      </c>
      <c r="P18" s="295">
        <f t="shared" si="3"/>
        <v>1357.7520000000002</v>
      </c>
      <c r="Q18" s="295">
        <f t="shared" si="4"/>
        <v>1870.375104</v>
      </c>
      <c r="R18" s="295">
        <f t="shared" si="5"/>
        <v>141.9468</v>
      </c>
      <c r="S18" s="730">
        <f t="shared" si="6"/>
        <v>434.62241999999992</v>
      </c>
      <c r="T18" s="750">
        <f>'User Data'!EM13</f>
        <v>530</v>
      </c>
      <c r="U18" s="730">
        <f t="shared" si="7"/>
        <v>0</v>
      </c>
      <c r="V18" s="730">
        <f t="shared" si="8"/>
        <v>416.63804399999992</v>
      </c>
      <c r="W18" s="730">
        <f t="shared" si="9"/>
        <v>3770.8476000000005</v>
      </c>
      <c r="X18" s="730">
        <f t="shared" si="10"/>
        <v>16.971900000000002</v>
      </c>
      <c r="Y18" s="730">
        <f t="shared" si="11"/>
        <v>18.514799999999997</v>
      </c>
      <c r="Z18" s="730">
        <f t="shared" si="12"/>
        <v>610.98840000000007</v>
      </c>
      <c r="AA18" s="730">
        <f t="shared" si="13"/>
        <v>0</v>
      </c>
      <c r="AB18" s="721"/>
      <c r="AC18" s="300"/>
      <c r="AD18" s="16"/>
      <c r="AE18" s="714">
        <f>'User Data'!EV13</f>
        <v>59.38</v>
      </c>
      <c r="AF18" s="17">
        <f>'User Data'!EW13</f>
        <v>8.8000000000000007</v>
      </c>
      <c r="AG18" s="17">
        <f>'User Data'!EX13</f>
        <v>12.48</v>
      </c>
      <c r="AH18" s="17">
        <f>'User Data'!EY13</f>
        <v>0.92</v>
      </c>
      <c r="AI18" s="16">
        <f>'User Data'!EZ13</f>
        <v>2.9</v>
      </c>
      <c r="AJ18" s="742">
        <f>'User Data'!FA13</f>
        <v>0.86</v>
      </c>
      <c r="AK18" s="742">
        <f>'User Data'!FB13</f>
        <v>0</v>
      </c>
      <c r="AL18" s="742">
        <f>'User Data'!FC13</f>
        <v>2.78</v>
      </c>
      <c r="AM18" s="742">
        <f>'User Data'!FD13</f>
        <v>24.44</v>
      </c>
      <c r="AN18" s="742">
        <f>'User Data'!FE13</f>
        <v>0.11</v>
      </c>
      <c r="AO18" s="742">
        <f>'User Data'!FF13</f>
        <v>0.12</v>
      </c>
      <c r="AP18" s="742">
        <f>'User Data'!FH13</f>
        <v>3.96</v>
      </c>
      <c r="AQ18" s="742">
        <f>'User Data'!FI13</f>
        <v>0</v>
      </c>
      <c r="AR18" s="742"/>
      <c r="AS18" s="18"/>
      <c r="AT18" s="19">
        <f>'1940-IV - EP DI'!P15</f>
        <v>6</v>
      </c>
      <c r="AU18" s="19">
        <f>'1940-III - CFE Turb.'!P13</f>
        <v>6</v>
      </c>
      <c r="AV18" s="19">
        <f t="shared" si="14"/>
        <v>0</v>
      </c>
      <c r="AW18" s="19">
        <f t="shared" si="15"/>
        <v>0</v>
      </c>
    </row>
    <row r="19" spans="1:49" ht="9.6999999999999993" customHeight="1" x14ac:dyDescent="0.35">
      <c r="A19" s="1100">
        <v>4</v>
      </c>
      <c r="B19" s="8">
        <f>'User Data'!DU14</f>
        <v>25.17</v>
      </c>
      <c r="C19" s="8">
        <f>'User Data'!DV14</f>
        <v>23.05</v>
      </c>
      <c r="D19" s="8">
        <f>'User Data'!DW14</f>
        <v>22.8</v>
      </c>
      <c r="E19" s="8">
        <f>'User Data'!DX14</f>
        <v>19.79</v>
      </c>
      <c r="F19" s="9">
        <f>'User Data'!DY14</f>
        <v>24</v>
      </c>
      <c r="G19" s="10">
        <f>'User Data'!DY14</f>
        <v>24</v>
      </c>
      <c r="H19" s="11">
        <f>'User Data'!AV10</f>
        <v>2.5183475378787881</v>
      </c>
      <c r="I19" s="12">
        <f>MAX('User Data'!AX10:BM10)</f>
        <v>106.5</v>
      </c>
      <c r="J19" s="13">
        <f>'User Data'!ED14</f>
        <v>10</v>
      </c>
      <c r="K19" s="13">
        <f>'User Data'!EE14</f>
        <v>4</v>
      </c>
      <c r="L19" s="14">
        <f>'User Data'!EG14</f>
        <v>970</v>
      </c>
      <c r="M19" s="689"/>
      <c r="N19" s="15"/>
      <c r="O19" s="299">
        <f t="shared" si="2"/>
        <v>11038.248540000001</v>
      </c>
      <c r="P19" s="295">
        <f t="shared" si="3"/>
        <v>1674.3842700000002</v>
      </c>
      <c r="Q19" s="295">
        <f t="shared" si="4"/>
        <v>2354.08176</v>
      </c>
      <c r="R19" s="295">
        <f t="shared" si="5"/>
        <v>211.46070000000003</v>
      </c>
      <c r="S19" s="730">
        <f t="shared" si="6"/>
        <v>589.47120000000007</v>
      </c>
      <c r="T19" s="750">
        <f>'User Data'!EM14</f>
        <v>751</v>
      </c>
      <c r="U19" s="730">
        <f t="shared" si="7"/>
        <v>0</v>
      </c>
      <c r="V19" s="730">
        <f t="shared" si="8"/>
        <v>541.93320000000006</v>
      </c>
      <c r="W19" s="730">
        <f t="shared" si="9"/>
        <v>5828.6258399999997</v>
      </c>
      <c r="X19" s="730">
        <f t="shared" si="10"/>
        <v>21.146070000000002</v>
      </c>
      <c r="Y19" s="730">
        <f t="shared" si="11"/>
        <v>23.068439999999999</v>
      </c>
      <c r="Z19" s="730">
        <f t="shared" si="12"/>
        <v>963.10736999999995</v>
      </c>
      <c r="AA19" s="730">
        <f t="shared" si="13"/>
        <v>0</v>
      </c>
      <c r="AB19" s="721"/>
      <c r="AC19" s="300"/>
      <c r="AD19" s="16"/>
      <c r="AE19" s="714">
        <f>'User Data'!EV14</f>
        <v>57.42</v>
      </c>
      <c r="AF19" s="17">
        <f>'User Data'!EW14</f>
        <v>8.7100000000000009</v>
      </c>
      <c r="AG19" s="17">
        <f>'User Data'!EX14</f>
        <v>12.38</v>
      </c>
      <c r="AH19" s="17">
        <f>'User Data'!EY14</f>
        <v>1.1000000000000001</v>
      </c>
      <c r="AI19" s="16">
        <f>'User Data'!EZ14</f>
        <v>3.1</v>
      </c>
      <c r="AJ19" s="742">
        <f>'User Data'!FA14</f>
        <v>0.82</v>
      </c>
      <c r="AK19" s="742">
        <f>'User Data'!FB14</f>
        <v>0</v>
      </c>
      <c r="AL19" s="742">
        <f>'User Data'!FC14</f>
        <v>2.85</v>
      </c>
      <c r="AM19" s="742">
        <f>'User Data'!FD14</f>
        <v>30.32</v>
      </c>
      <c r="AN19" s="742">
        <f>'User Data'!FE14</f>
        <v>0.11</v>
      </c>
      <c r="AO19" s="742">
        <f>'User Data'!FF14</f>
        <v>0.12</v>
      </c>
      <c r="AP19" s="742">
        <f>'User Data'!FH14</f>
        <v>5.01</v>
      </c>
      <c r="AQ19" s="742">
        <f>'User Data'!FI14</f>
        <v>0</v>
      </c>
      <c r="AR19" s="742"/>
      <c r="AS19" s="18"/>
      <c r="AT19" s="19">
        <f>'1940-IV - EP DI'!P16</f>
        <v>6</v>
      </c>
      <c r="AU19" s="19">
        <f>'1940-III - CFE Turb.'!P14</f>
        <v>6</v>
      </c>
      <c r="AV19" s="19">
        <f t="shared" si="14"/>
        <v>0</v>
      </c>
      <c r="AW19" s="19">
        <f t="shared" si="15"/>
        <v>0</v>
      </c>
    </row>
    <row r="20" spans="1:49" ht="9.6999999999999993" customHeight="1" x14ac:dyDescent="0.35">
      <c r="A20" s="1100">
        <v>5</v>
      </c>
      <c r="B20" s="8">
        <f>'User Data'!DU15</f>
        <v>24.63</v>
      </c>
      <c r="C20" s="8">
        <f>'User Data'!DV15</f>
        <v>22.89</v>
      </c>
      <c r="D20" s="8">
        <f>'User Data'!DW15</f>
        <v>21.66</v>
      </c>
      <c r="E20" s="8">
        <f>'User Data'!DX15</f>
        <v>19.91</v>
      </c>
      <c r="F20" s="9">
        <f>'User Data'!DY15</f>
        <v>24</v>
      </c>
      <c r="G20" s="10">
        <f>'User Data'!DY15</f>
        <v>24</v>
      </c>
      <c r="H20" s="11">
        <f>'User Data'!AV11</f>
        <v>2.5084832702020203</v>
      </c>
      <c r="I20" s="12">
        <f>MAX('User Data'!AX11:BM11)</f>
        <v>97.5</v>
      </c>
      <c r="J20" s="13">
        <f>'User Data'!ED15</f>
        <v>10</v>
      </c>
      <c r="K20" s="13">
        <f>'User Data'!EE15</f>
        <v>2</v>
      </c>
      <c r="L20" s="14">
        <f>'User Data'!EG15</f>
        <v>490</v>
      </c>
      <c r="M20" s="689"/>
      <c r="N20" s="15"/>
      <c r="O20" s="299">
        <f t="shared" si="2"/>
        <v>11049.442488000001</v>
      </c>
      <c r="P20" s="295">
        <f t="shared" si="3"/>
        <v>1746.7587899999999</v>
      </c>
      <c r="Q20" s="295">
        <f t="shared" si="4"/>
        <v>2053.9268279999997</v>
      </c>
      <c r="R20" s="295">
        <f t="shared" si="5"/>
        <v>198.53870400000002</v>
      </c>
      <c r="S20" s="730">
        <f t="shared" si="6"/>
        <v>547.352532</v>
      </c>
      <c r="T20" s="750">
        <f>'User Data'!EM15</f>
        <v>731</v>
      </c>
      <c r="U20" s="730">
        <f t="shared" si="7"/>
        <v>0</v>
      </c>
      <c r="V20" s="730">
        <f t="shared" si="8"/>
        <v>516.64298399999996</v>
      </c>
      <c r="W20" s="730">
        <f t="shared" si="9"/>
        <v>5767.1675460000006</v>
      </c>
      <c r="X20" s="730">
        <f t="shared" si="10"/>
        <v>22.908311999999999</v>
      </c>
      <c r="Y20" s="730">
        <f t="shared" si="11"/>
        <v>20.999286000000001</v>
      </c>
      <c r="Z20" s="730">
        <f t="shared" si="12"/>
        <v>880.06098600000007</v>
      </c>
      <c r="AA20" s="730">
        <f t="shared" si="13"/>
        <v>0</v>
      </c>
      <c r="AB20" s="721"/>
      <c r="AC20" s="300"/>
      <c r="AD20" s="16"/>
      <c r="AE20" s="714">
        <f>'User Data'!EV15</f>
        <v>57.88</v>
      </c>
      <c r="AF20" s="17">
        <f>'User Data'!EW15</f>
        <v>9.15</v>
      </c>
      <c r="AG20" s="17">
        <f>'User Data'!EX15</f>
        <v>11.37</v>
      </c>
      <c r="AH20" s="17">
        <f>'User Data'!EY15</f>
        <v>1.04</v>
      </c>
      <c r="AI20" s="16">
        <f>'User Data'!EZ15</f>
        <v>3.03</v>
      </c>
      <c r="AJ20" s="742">
        <f>'User Data'!FA15</f>
        <v>0.8</v>
      </c>
      <c r="AK20" s="742">
        <f>'User Data'!FB15</f>
        <v>0</v>
      </c>
      <c r="AL20" s="742">
        <f>'User Data'!FC15</f>
        <v>2.86</v>
      </c>
      <c r="AM20" s="742">
        <f>'User Data'!FD15</f>
        <v>30.21</v>
      </c>
      <c r="AN20" s="742">
        <f>'User Data'!FE15</f>
        <v>0.12</v>
      </c>
      <c r="AO20" s="742">
        <f>'User Data'!FF15</f>
        <v>0.11</v>
      </c>
      <c r="AP20" s="742">
        <f>'User Data'!FH15</f>
        <v>4.6100000000000003</v>
      </c>
      <c r="AQ20" s="742">
        <f>'User Data'!FI15</f>
        <v>0</v>
      </c>
      <c r="AR20" s="742"/>
      <c r="AS20" s="18"/>
      <c r="AT20" s="19">
        <f>'1940-IV - EP DI'!P17</f>
        <v>6</v>
      </c>
      <c r="AU20" s="19">
        <f>'1940-III - CFE Turb.'!P15</f>
        <v>6</v>
      </c>
      <c r="AV20" s="19">
        <f t="shared" si="14"/>
        <v>0</v>
      </c>
      <c r="AW20" s="19">
        <f t="shared" si="15"/>
        <v>0</v>
      </c>
    </row>
    <row r="21" spans="1:49" ht="9.6999999999999993" customHeight="1" x14ac:dyDescent="0.35">
      <c r="A21" s="1100">
        <v>6</v>
      </c>
      <c r="B21" s="8">
        <f>'User Data'!DU16</f>
        <v>24.06</v>
      </c>
      <c r="C21" s="8">
        <f>'User Data'!DV16</f>
        <v>20.61</v>
      </c>
      <c r="D21" s="8">
        <f>'User Data'!DW16</f>
        <v>20.65</v>
      </c>
      <c r="E21" s="8">
        <f>'User Data'!DX16</f>
        <v>18.510000000000002</v>
      </c>
      <c r="F21" s="9">
        <f>'User Data'!DY16</f>
        <v>24</v>
      </c>
      <c r="G21" s="10">
        <f>'User Data'!DY16</f>
        <v>24</v>
      </c>
      <c r="H21" s="11">
        <f>'User Data'!AV12</f>
        <v>2.1060211489898992</v>
      </c>
      <c r="I21" s="12">
        <f>MAX('User Data'!AX12:BM12)</f>
        <v>96</v>
      </c>
      <c r="J21" s="13">
        <f>'User Data'!ED16</f>
        <v>10</v>
      </c>
      <c r="K21" s="13">
        <f>'User Data'!EE16</f>
        <v>2</v>
      </c>
      <c r="L21" s="14">
        <f>'User Data'!EG16</f>
        <v>480</v>
      </c>
      <c r="M21" s="689"/>
      <c r="N21" s="15"/>
      <c r="O21" s="299">
        <f t="shared" si="2"/>
        <v>9943.6860899999992</v>
      </c>
      <c r="P21" s="295">
        <f t="shared" si="3"/>
        <v>1443.8541599999999</v>
      </c>
      <c r="Q21" s="295">
        <f t="shared" si="4"/>
        <v>1908.20868</v>
      </c>
      <c r="R21" s="295">
        <f t="shared" si="5"/>
        <v>183.91951800000001</v>
      </c>
      <c r="S21" s="730">
        <f t="shared" si="6"/>
        <v>449.49680999999998</v>
      </c>
      <c r="T21" s="750">
        <f>'User Data'!EM16</f>
        <v>686</v>
      </c>
      <c r="U21" s="730">
        <f t="shared" si="7"/>
        <v>0</v>
      </c>
      <c r="V21" s="730">
        <f t="shared" si="8"/>
        <v>502.88531999999992</v>
      </c>
      <c r="W21" s="730">
        <f t="shared" si="9"/>
        <v>5151.4653779999999</v>
      </c>
      <c r="X21" s="730">
        <f t="shared" si="10"/>
        <v>22.345362000000002</v>
      </c>
      <c r="Y21" s="730">
        <f t="shared" si="11"/>
        <v>20.626487999999998</v>
      </c>
      <c r="Z21" s="730">
        <f t="shared" si="12"/>
        <v>859.43700000000001</v>
      </c>
      <c r="AA21" s="730">
        <f t="shared" si="13"/>
        <v>0</v>
      </c>
      <c r="AB21" s="721"/>
      <c r="AC21" s="300"/>
      <c r="AD21" s="16"/>
      <c r="AE21" s="714">
        <f>'User Data'!EV16</f>
        <v>57.85</v>
      </c>
      <c r="AF21" s="17">
        <f>'User Data'!EW16</f>
        <v>8.4</v>
      </c>
      <c r="AG21" s="17">
        <f>'User Data'!EX16</f>
        <v>11.08</v>
      </c>
      <c r="AH21" s="17">
        <f>'User Data'!EY16</f>
        <v>1.07</v>
      </c>
      <c r="AI21" s="16">
        <f>'User Data'!EZ16</f>
        <v>2.61</v>
      </c>
      <c r="AJ21" s="742">
        <f>'User Data'!FA16</f>
        <v>0.84</v>
      </c>
      <c r="AK21" s="742">
        <f>'User Data'!FB16</f>
        <v>0</v>
      </c>
      <c r="AL21" s="742">
        <f>'User Data'!FC16</f>
        <v>2.92</v>
      </c>
      <c r="AM21" s="742">
        <f>'User Data'!FD16</f>
        <v>29.97</v>
      </c>
      <c r="AN21" s="742">
        <f>'User Data'!FE16</f>
        <v>0.13</v>
      </c>
      <c r="AO21" s="742">
        <f>'User Data'!FF16</f>
        <v>0.12</v>
      </c>
      <c r="AP21" s="742">
        <f>'User Data'!FH16</f>
        <v>5</v>
      </c>
      <c r="AQ21" s="742">
        <f>'User Data'!FI16</f>
        <v>0</v>
      </c>
      <c r="AR21" s="742"/>
      <c r="AS21" s="18"/>
      <c r="AT21" s="19">
        <f>'1940-IV - EP DI'!P18</f>
        <v>6</v>
      </c>
      <c r="AU21" s="19">
        <f>'1940-III - CFE Turb.'!P16</f>
        <v>6</v>
      </c>
      <c r="AV21" s="19">
        <f t="shared" si="14"/>
        <v>0</v>
      </c>
      <c r="AW21" s="19">
        <f t="shared" si="15"/>
        <v>0</v>
      </c>
    </row>
    <row r="22" spans="1:49" ht="9.6999999999999993" customHeight="1" x14ac:dyDescent="0.35">
      <c r="A22" s="1100">
        <v>7</v>
      </c>
      <c r="B22" s="8">
        <f>'User Data'!DU17</f>
        <v>23.97</v>
      </c>
      <c r="C22" s="8">
        <f>'User Data'!DV17</f>
        <v>21.59</v>
      </c>
      <c r="D22" s="8">
        <f>'User Data'!DW17</f>
        <v>21.38</v>
      </c>
      <c r="E22" s="8">
        <f>'User Data'!DX17</f>
        <v>19.010000000000002</v>
      </c>
      <c r="F22" s="9">
        <f>'User Data'!DY17</f>
        <v>24</v>
      </c>
      <c r="G22" s="10">
        <f>'User Data'!DY17</f>
        <v>24</v>
      </c>
      <c r="H22" s="11">
        <f>'User Data'!AV13</f>
        <v>2.330926452020202</v>
      </c>
      <c r="I22" s="12">
        <f>MAX('User Data'!AX13:BM13)</f>
        <v>96.5</v>
      </c>
      <c r="J22" s="13">
        <f>'User Data'!ED17</f>
        <v>10</v>
      </c>
      <c r="K22" s="13">
        <f>'User Data'!EE17</f>
        <v>3</v>
      </c>
      <c r="L22" s="14">
        <f>'User Data'!EG17</f>
        <v>750</v>
      </c>
      <c r="M22" s="689"/>
      <c r="N22" s="15"/>
      <c r="O22" s="299">
        <f t="shared" si="2"/>
        <v>10654.185701999999</v>
      </c>
      <c r="P22" s="295">
        <f t="shared" si="3"/>
        <v>1775.397516</v>
      </c>
      <c r="Q22" s="295">
        <f t="shared" si="4"/>
        <v>2157.5413199999998</v>
      </c>
      <c r="R22" s="295">
        <f t="shared" si="5"/>
        <v>187.263024</v>
      </c>
      <c r="S22" s="730">
        <f t="shared" si="6"/>
        <v>545.62615199999993</v>
      </c>
      <c r="T22" s="750">
        <f>'User Data'!EM17</f>
        <v>710</v>
      </c>
      <c r="U22" s="730">
        <f t="shared" si="7"/>
        <v>0</v>
      </c>
      <c r="V22" s="730">
        <f t="shared" si="8"/>
        <v>517.09667999999999</v>
      </c>
      <c r="W22" s="730">
        <f t="shared" si="9"/>
        <v>5084.9113440000001</v>
      </c>
      <c r="X22" s="730">
        <f t="shared" si="10"/>
        <v>25.208484000000002</v>
      </c>
      <c r="Y22" s="730">
        <f t="shared" si="11"/>
        <v>19.806665999999996</v>
      </c>
      <c r="Z22" s="730">
        <f t="shared" si="12"/>
        <v>831.87997199999995</v>
      </c>
      <c r="AA22" s="730">
        <f t="shared" si="13"/>
        <v>0</v>
      </c>
      <c r="AB22" s="721"/>
      <c r="AC22" s="300"/>
      <c r="AD22" s="16"/>
      <c r="AE22" s="714">
        <f>'User Data'!EV17</f>
        <v>59.17</v>
      </c>
      <c r="AF22" s="17">
        <f>'User Data'!EW17</f>
        <v>9.86</v>
      </c>
      <c r="AG22" s="17">
        <f>'User Data'!EX17</f>
        <v>12.1</v>
      </c>
      <c r="AH22" s="17">
        <f>'User Data'!EY17</f>
        <v>1.04</v>
      </c>
      <c r="AI22" s="16">
        <f>'User Data'!EZ17</f>
        <v>3.06</v>
      </c>
      <c r="AJ22" s="742">
        <f>'User Data'!FA17</f>
        <v>0.82</v>
      </c>
      <c r="AK22" s="742">
        <f>'User Data'!FB17</f>
        <v>0</v>
      </c>
      <c r="AL22" s="742">
        <f>'User Data'!FC17</f>
        <v>2.9</v>
      </c>
      <c r="AM22" s="742">
        <f>'User Data'!FD17</f>
        <v>28.24</v>
      </c>
      <c r="AN22" s="742">
        <f>'User Data'!FE17</f>
        <v>0.14000000000000001</v>
      </c>
      <c r="AO22" s="742">
        <f>'User Data'!FF17</f>
        <v>0.11</v>
      </c>
      <c r="AP22" s="742">
        <f>'User Data'!FH17</f>
        <v>4.62</v>
      </c>
      <c r="AQ22" s="742">
        <f>'User Data'!FI17</f>
        <v>0</v>
      </c>
      <c r="AR22" s="742"/>
      <c r="AS22" s="18"/>
      <c r="AT22" s="19">
        <f>'1940-IV - EP DI'!P19</f>
        <v>6</v>
      </c>
      <c r="AU22" s="19">
        <f>'1940-III - CFE Turb.'!P17</f>
        <v>6</v>
      </c>
      <c r="AV22" s="19">
        <f t="shared" si="14"/>
        <v>0</v>
      </c>
      <c r="AW22" s="19">
        <f t="shared" si="15"/>
        <v>0</v>
      </c>
    </row>
    <row r="23" spans="1:49" ht="9.6999999999999993" customHeight="1" x14ac:dyDescent="0.35">
      <c r="A23" s="1100">
        <v>8</v>
      </c>
      <c r="B23" s="8">
        <f>'User Data'!DU18</f>
        <v>24.62</v>
      </c>
      <c r="C23" s="8">
        <f>'User Data'!DV18</f>
        <v>22.07</v>
      </c>
      <c r="D23" s="8">
        <f>'User Data'!DW18</f>
        <v>21.84</v>
      </c>
      <c r="E23" s="8">
        <f>'User Data'!DX18</f>
        <v>20.32</v>
      </c>
      <c r="F23" s="9">
        <f>'User Data'!DY18</f>
        <v>24</v>
      </c>
      <c r="G23" s="10">
        <f>'User Data'!DY18</f>
        <v>24</v>
      </c>
      <c r="H23" s="11">
        <f>'User Data'!AV14</f>
        <v>2.3368450126262625</v>
      </c>
      <c r="I23" s="12">
        <f>MAX('User Data'!AX14:BM14)</f>
        <v>101.5</v>
      </c>
      <c r="J23" s="13">
        <f>'User Data'!ED18</f>
        <v>10</v>
      </c>
      <c r="K23" s="13">
        <f>'User Data'!EE18</f>
        <v>2</v>
      </c>
      <c r="L23" s="14">
        <f>'User Data'!EG18</f>
        <v>490</v>
      </c>
      <c r="M23" s="689"/>
      <c r="N23" s="15"/>
      <c r="O23" s="299">
        <f t="shared" si="2"/>
        <v>10841.357819999999</v>
      </c>
      <c r="P23" s="295">
        <f t="shared" si="3"/>
        <v>1833.2754480000001</v>
      </c>
      <c r="Q23" s="295">
        <f t="shared" si="4"/>
        <v>2198.4973920000002</v>
      </c>
      <c r="R23" s="295">
        <f t="shared" si="5"/>
        <v>220.87655999999998</v>
      </c>
      <c r="S23" s="730">
        <f t="shared" si="6"/>
        <v>655.72415999999998</v>
      </c>
      <c r="T23" s="750">
        <f>'User Data'!EM18</f>
        <v>716</v>
      </c>
      <c r="U23" s="730">
        <f t="shared" si="7"/>
        <v>0</v>
      </c>
      <c r="V23" s="730">
        <f t="shared" si="8"/>
        <v>511.82913600000001</v>
      </c>
      <c r="W23" s="730">
        <f t="shared" si="9"/>
        <v>5536.6391039999999</v>
      </c>
      <c r="X23" s="730">
        <f t="shared" si="10"/>
        <v>25.768932000000003</v>
      </c>
      <c r="Y23" s="730">
        <f t="shared" si="11"/>
        <v>23.928294000000001</v>
      </c>
      <c r="Z23" s="730">
        <f t="shared" si="12"/>
        <v>890.86879199999998</v>
      </c>
      <c r="AA23" s="730">
        <f t="shared" si="13"/>
        <v>0</v>
      </c>
      <c r="AB23" s="721"/>
      <c r="AC23" s="300"/>
      <c r="AD23" s="16"/>
      <c r="AE23" s="714">
        <f>'User Data'!EV18</f>
        <v>58.9</v>
      </c>
      <c r="AF23" s="17">
        <f>'User Data'!EW18</f>
        <v>9.9600000000000009</v>
      </c>
      <c r="AG23" s="17">
        <f>'User Data'!EX18</f>
        <v>12.07</v>
      </c>
      <c r="AH23" s="17">
        <f>'User Data'!EY18</f>
        <v>1.2</v>
      </c>
      <c r="AI23" s="16">
        <f>'User Data'!EZ18</f>
        <v>3.6</v>
      </c>
      <c r="AJ23" s="742">
        <f>'User Data'!FA18</f>
        <v>0.81</v>
      </c>
      <c r="AK23" s="742">
        <f>'User Data'!FB18</f>
        <v>0</v>
      </c>
      <c r="AL23" s="742">
        <f>'User Data'!FC18</f>
        <v>2.81</v>
      </c>
      <c r="AM23" s="742">
        <f>'User Data'!FD18</f>
        <v>30.08</v>
      </c>
      <c r="AN23" s="742">
        <f>'User Data'!FE18</f>
        <v>0.14000000000000001</v>
      </c>
      <c r="AO23" s="742">
        <f>'User Data'!FF18</f>
        <v>0.13</v>
      </c>
      <c r="AP23" s="742">
        <f>'User Data'!FH18</f>
        <v>4.84</v>
      </c>
      <c r="AQ23" s="742">
        <f>'User Data'!FI18</f>
        <v>0</v>
      </c>
      <c r="AR23" s="742"/>
      <c r="AS23" s="18"/>
      <c r="AT23" s="19">
        <f>'1940-IV - EP DI'!P20</f>
        <v>6</v>
      </c>
      <c r="AU23" s="19">
        <f>'1940-III - CFE Turb.'!P18</f>
        <v>6</v>
      </c>
      <c r="AV23" s="19">
        <f t="shared" si="14"/>
        <v>0</v>
      </c>
      <c r="AW23" s="19">
        <f t="shared" si="15"/>
        <v>0</v>
      </c>
    </row>
    <row r="24" spans="1:49" ht="9.6999999999999993" customHeight="1" x14ac:dyDescent="0.35">
      <c r="A24" s="1100">
        <v>9</v>
      </c>
      <c r="B24" s="8">
        <f>'User Data'!DU19</f>
        <v>22.66</v>
      </c>
      <c r="C24" s="8">
        <f>'User Data'!DV19</f>
        <v>19.3</v>
      </c>
      <c r="D24" s="8">
        <f>'User Data'!DW19</f>
        <v>19.190000000000001</v>
      </c>
      <c r="E24" s="8">
        <f>'User Data'!DX19</f>
        <v>17.11</v>
      </c>
      <c r="F24" s="9">
        <f>'User Data'!DY19</f>
        <v>24</v>
      </c>
      <c r="G24" s="10">
        <f>'User Data'!DY19</f>
        <v>24</v>
      </c>
      <c r="H24" s="11">
        <f>'User Data'!AV15</f>
        <v>2.2668087121212124</v>
      </c>
      <c r="I24" s="12">
        <f>MAX('User Data'!AX15:BM15)</f>
        <v>103</v>
      </c>
      <c r="J24" s="13">
        <f>'User Data'!ED19</f>
        <v>10</v>
      </c>
      <c r="K24" s="13">
        <f>'User Data'!EE19</f>
        <v>3</v>
      </c>
      <c r="L24" s="14">
        <f>'User Data'!EG19</f>
        <v>720</v>
      </c>
      <c r="M24" s="689"/>
      <c r="N24" s="15"/>
      <c r="O24" s="299">
        <f t="shared" si="2"/>
        <v>9041.2355400000015</v>
      </c>
      <c r="P24" s="295">
        <f t="shared" si="3"/>
        <v>1472.8023000000003</v>
      </c>
      <c r="Q24" s="295">
        <f t="shared" si="4"/>
        <v>1766.892384</v>
      </c>
      <c r="R24" s="295">
        <f t="shared" si="5"/>
        <v>201.20249999999999</v>
      </c>
      <c r="S24" s="730">
        <f t="shared" si="6"/>
        <v>472.13157000000007</v>
      </c>
      <c r="T24" s="750">
        <f>'User Data'!EM19</f>
        <v>633</v>
      </c>
      <c r="U24" s="730">
        <f t="shared" si="7"/>
        <v>0</v>
      </c>
      <c r="V24" s="730">
        <f t="shared" si="8"/>
        <v>449.725326</v>
      </c>
      <c r="W24" s="730">
        <f t="shared" si="9"/>
        <v>4848.17544</v>
      </c>
      <c r="X24" s="730">
        <f t="shared" si="10"/>
        <v>20.925060000000002</v>
      </c>
      <c r="Y24" s="730">
        <f t="shared" si="11"/>
        <v>17.705820000000003</v>
      </c>
      <c r="Z24" s="730">
        <f t="shared" si="12"/>
        <v>811.24848000000009</v>
      </c>
      <c r="AA24" s="730">
        <f t="shared" si="13"/>
        <v>0</v>
      </c>
      <c r="AB24" s="721"/>
      <c r="AC24" s="300"/>
      <c r="AD24" s="16"/>
      <c r="AE24" s="714">
        <f>'User Data'!EV19</f>
        <v>56.17</v>
      </c>
      <c r="AF24" s="17">
        <f>'User Data'!EW19</f>
        <v>9.15</v>
      </c>
      <c r="AG24" s="17">
        <f>'User Data'!EX19</f>
        <v>11.04</v>
      </c>
      <c r="AH24" s="17">
        <f>'User Data'!EY19</f>
        <v>1.25</v>
      </c>
      <c r="AI24" s="16">
        <f>'User Data'!EZ19</f>
        <v>2.95</v>
      </c>
      <c r="AJ24" s="742">
        <f>'User Data'!FA19</f>
        <v>0.84</v>
      </c>
      <c r="AK24" s="742">
        <f>'User Data'!FB19</f>
        <v>0</v>
      </c>
      <c r="AL24" s="742">
        <f>'User Data'!FC19</f>
        <v>2.81</v>
      </c>
      <c r="AM24" s="742">
        <f>'User Data'!FD19</f>
        <v>30.12</v>
      </c>
      <c r="AN24" s="742">
        <f>'User Data'!FE19</f>
        <v>0.13</v>
      </c>
      <c r="AO24" s="742">
        <f>'User Data'!FF19</f>
        <v>0.11</v>
      </c>
      <c r="AP24" s="742">
        <f>'User Data'!FH19</f>
        <v>5.04</v>
      </c>
      <c r="AQ24" s="742">
        <f>'User Data'!FI19</f>
        <v>0</v>
      </c>
      <c r="AR24" s="742"/>
      <c r="AS24" s="18"/>
      <c r="AT24" s="19">
        <f>'1940-IV - EP DI'!P21</f>
        <v>6</v>
      </c>
      <c r="AU24" s="19">
        <f>'1940-III - CFE Turb.'!P19</f>
        <v>6</v>
      </c>
      <c r="AV24" s="19">
        <f t="shared" si="14"/>
        <v>0</v>
      </c>
      <c r="AW24" s="19">
        <f t="shared" si="15"/>
        <v>0</v>
      </c>
    </row>
    <row r="25" spans="1:49" ht="9.6999999999999993" customHeight="1" x14ac:dyDescent="0.35">
      <c r="A25" s="1100">
        <v>10</v>
      </c>
      <c r="B25" s="8">
        <f>'User Data'!DU20</f>
        <v>22.3</v>
      </c>
      <c r="C25" s="8">
        <f>'User Data'!DV20</f>
        <v>19.190000000000001</v>
      </c>
      <c r="D25" s="8">
        <f>'User Data'!DW20</f>
        <v>19.18</v>
      </c>
      <c r="E25" s="8">
        <f>'User Data'!DX20</f>
        <v>17.54</v>
      </c>
      <c r="F25" s="9">
        <f>'User Data'!DY20</f>
        <v>24</v>
      </c>
      <c r="G25" s="10">
        <f>'User Data'!DY20</f>
        <v>24</v>
      </c>
      <c r="H25" s="11">
        <f>'User Data'!AV16</f>
        <v>2.3328993055555554</v>
      </c>
      <c r="I25" s="12">
        <f>MAX('User Data'!AX16:BM16)</f>
        <v>100</v>
      </c>
      <c r="J25" s="13">
        <f>'User Data'!ED20</f>
        <v>10</v>
      </c>
      <c r="K25" s="13">
        <f>'User Data'!EE20</f>
        <v>2</v>
      </c>
      <c r="L25" s="14">
        <f>'User Data'!EG20</f>
        <v>480</v>
      </c>
      <c r="M25" s="689"/>
      <c r="N25" s="15"/>
      <c r="O25" s="299">
        <f t="shared" si="2"/>
        <v>9716.3076660000006</v>
      </c>
      <c r="P25" s="295">
        <f t="shared" si="3"/>
        <v>1446.8031839999999</v>
      </c>
      <c r="Q25" s="295">
        <f t="shared" si="4"/>
        <v>1965.9231479999999</v>
      </c>
      <c r="R25" s="295">
        <f t="shared" si="5"/>
        <v>179.24995200000001</v>
      </c>
      <c r="S25" s="730">
        <f t="shared" si="6"/>
        <v>556.66497599999991</v>
      </c>
      <c r="T25" s="750">
        <f>'User Data'!EM20</f>
        <v>628</v>
      </c>
      <c r="U25" s="730">
        <f t="shared" si="7"/>
        <v>0</v>
      </c>
      <c r="V25" s="730">
        <f t="shared" si="8"/>
        <v>446.29174799999998</v>
      </c>
      <c r="W25" s="730">
        <f t="shared" si="9"/>
        <v>4810.9406760000002</v>
      </c>
      <c r="X25" s="730">
        <f t="shared" si="10"/>
        <v>22.406244000000001</v>
      </c>
      <c r="Y25" s="730">
        <f t="shared" si="11"/>
        <v>19.205351999999998</v>
      </c>
      <c r="Z25" s="730">
        <f t="shared" si="12"/>
        <v>800.22299999999996</v>
      </c>
      <c r="AA25" s="730">
        <f t="shared" si="13"/>
        <v>0</v>
      </c>
      <c r="AB25" s="721"/>
      <c r="AC25" s="300"/>
      <c r="AD25" s="16"/>
      <c r="AE25" s="714">
        <f>'User Data'!EV20</f>
        <v>60.71</v>
      </c>
      <c r="AF25" s="17">
        <f>'User Data'!EW20</f>
        <v>9.0399999999999991</v>
      </c>
      <c r="AG25" s="17">
        <f>'User Data'!EX20</f>
        <v>12.29</v>
      </c>
      <c r="AH25" s="17">
        <f>'User Data'!EY20</f>
        <v>1.1200000000000001</v>
      </c>
      <c r="AI25" s="16">
        <f>'User Data'!EZ20</f>
        <v>3.48</v>
      </c>
      <c r="AJ25" s="742">
        <f>'User Data'!FA20</f>
        <v>0.81</v>
      </c>
      <c r="AK25" s="742">
        <f>'User Data'!FB20</f>
        <v>0</v>
      </c>
      <c r="AL25" s="742">
        <f>'User Data'!FC20</f>
        <v>2.79</v>
      </c>
      <c r="AM25" s="742">
        <f>'User Data'!FD20</f>
        <v>30.06</v>
      </c>
      <c r="AN25" s="742">
        <f>'User Data'!FE20</f>
        <v>0.14000000000000001</v>
      </c>
      <c r="AO25" s="742">
        <f>'User Data'!FF20</f>
        <v>0.12</v>
      </c>
      <c r="AP25" s="742">
        <f>'User Data'!FH20</f>
        <v>5</v>
      </c>
      <c r="AQ25" s="742">
        <f>'User Data'!FI20</f>
        <v>0</v>
      </c>
      <c r="AR25" s="742"/>
      <c r="AS25" s="18"/>
      <c r="AT25" s="19">
        <f>'1940-IV - EP DI'!P22</f>
        <v>6</v>
      </c>
      <c r="AU25" s="19">
        <f>'1940-III - CFE Turb.'!P20</f>
        <v>6</v>
      </c>
      <c r="AV25" s="19">
        <f t="shared" si="14"/>
        <v>0</v>
      </c>
      <c r="AW25" s="19">
        <f t="shared" si="15"/>
        <v>0</v>
      </c>
    </row>
    <row r="26" spans="1:49" ht="9.6999999999999993" customHeight="1" x14ac:dyDescent="0.35">
      <c r="A26" s="1100">
        <v>11</v>
      </c>
      <c r="B26" s="8">
        <f>'User Data'!DU21</f>
        <v>23.92</v>
      </c>
      <c r="C26" s="8">
        <f>'User Data'!DV21</f>
        <v>21.06</v>
      </c>
      <c r="D26" s="8">
        <f>'User Data'!DW21</f>
        <v>20.9</v>
      </c>
      <c r="E26" s="8">
        <f>'User Data'!DX21</f>
        <v>20.09</v>
      </c>
      <c r="F26" s="9">
        <f>'User Data'!DY21</f>
        <v>24</v>
      </c>
      <c r="G26" s="10">
        <f>'User Data'!DY21</f>
        <v>24</v>
      </c>
      <c r="H26" s="11">
        <f>'User Data'!AV17</f>
        <v>2.2589172979797976</v>
      </c>
      <c r="I26" s="12">
        <f>MAX('User Data'!AX17:BM17)</f>
        <v>96</v>
      </c>
      <c r="J26" s="13">
        <f>'User Data'!ED21</f>
        <v>10</v>
      </c>
      <c r="K26" s="13">
        <f>'User Data'!EE21</f>
        <v>3</v>
      </c>
      <c r="L26" s="14">
        <f>'User Data'!EG21</f>
        <v>760</v>
      </c>
      <c r="M26" s="689"/>
      <c r="N26" s="15"/>
      <c r="O26" s="299">
        <f t="shared" si="2"/>
        <v>11042.511947999999</v>
      </c>
      <c r="P26" s="295">
        <f t="shared" si="3"/>
        <v>1780.9936559999999</v>
      </c>
      <c r="Q26" s="295">
        <f t="shared" si="4"/>
        <v>2164.8805199999997</v>
      </c>
      <c r="R26" s="295">
        <f t="shared" si="5"/>
        <v>201.98645999999997</v>
      </c>
      <c r="S26" s="730">
        <f t="shared" si="6"/>
        <v>557.77919999999995</v>
      </c>
      <c r="T26" s="750">
        <f>'User Data'!EM21</f>
        <v>688</v>
      </c>
      <c r="U26" s="730">
        <f t="shared" si="7"/>
        <v>0</v>
      </c>
      <c r="V26" s="730">
        <f t="shared" si="8"/>
        <v>465.39702</v>
      </c>
      <c r="W26" s="730">
        <f t="shared" si="9"/>
        <v>5258.6735759999992</v>
      </c>
      <c r="X26" s="730">
        <f t="shared" si="10"/>
        <v>21.076847999999998</v>
      </c>
      <c r="Y26" s="730">
        <f t="shared" si="11"/>
        <v>21.076847999999998</v>
      </c>
      <c r="Z26" s="730">
        <f t="shared" si="12"/>
        <v>862.394364</v>
      </c>
      <c r="AA26" s="730">
        <f t="shared" si="13"/>
        <v>0</v>
      </c>
      <c r="AB26" s="721"/>
      <c r="AC26" s="300"/>
      <c r="AD26" s="16"/>
      <c r="AE26" s="714">
        <f>'User Data'!EV21</f>
        <v>62.87</v>
      </c>
      <c r="AF26" s="17">
        <f>'User Data'!EW21</f>
        <v>10.14</v>
      </c>
      <c r="AG26" s="17">
        <f>'User Data'!EX21</f>
        <v>12.42</v>
      </c>
      <c r="AH26" s="17">
        <f>'User Data'!EY21</f>
        <v>1.1499999999999999</v>
      </c>
      <c r="AI26" s="16">
        <f>'User Data'!EZ21</f>
        <v>3.2</v>
      </c>
      <c r="AJ26" s="742">
        <f>'User Data'!FA21</f>
        <v>0.78</v>
      </c>
      <c r="AK26" s="742">
        <f>'User Data'!FB21</f>
        <v>0</v>
      </c>
      <c r="AL26" s="742">
        <f>'User Data'!FC21</f>
        <v>2.67</v>
      </c>
      <c r="AM26" s="742">
        <f>'User Data'!FD21</f>
        <v>29.94</v>
      </c>
      <c r="AN26" s="742">
        <f>'User Data'!FE21</f>
        <v>0.12</v>
      </c>
      <c r="AO26" s="742">
        <f>'User Data'!FF21</f>
        <v>0.12</v>
      </c>
      <c r="AP26" s="742">
        <f>'User Data'!FH21</f>
        <v>4.91</v>
      </c>
      <c r="AQ26" s="742">
        <f>'User Data'!FI21</f>
        <v>0</v>
      </c>
      <c r="AR26" s="742"/>
      <c r="AS26" s="18"/>
      <c r="AT26" s="19">
        <f>'1940-IV - EP DI'!P23</f>
        <v>6</v>
      </c>
      <c r="AU26" s="19">
        <f>'1940-III - CFE Turb.'!P21</f>
        <v>6</v>
      </c>
      <c r="AV26" s="19">
        <f t="shared" si="14"/>
        <v>0</v>
      </c>
      <c r="AW26" s="19">
        <f t="shared" si="15"/>
        <v>0</v>
      </c>
    </row>
    <row r="27" spans="1:49" ht="9.6999999999999993" customHeight="1" x14ac:dyDescent="0.35">
      <c r="A27" s="1100">
        <v>12</v>
      </c>
      <c r="B27" s="8">
        <f>'User Data'!DU22</f>
        <v>23.45</v>
      </c>
      <c r="C27" s="8">
        <f>'User Data'!DV22</f>
        <v>20.39</v>
      </c>
      <c r="D27" s="8">
        <f>'User Data'!DW22</f>
        <v>20.260000000000002</v>
      </c>
      <c r="E27" s="8">
        <f>'User Data'!DX22</f>
        <v>16.14</v>
      </c>
      <c r="F27" s="9">
        <f>'User Data'!DY22</f>
        <v>24</v>
      </c>
      <c r="G27" s="10">
        <f>'User Data'!DY22</f>
        <v>24</v>
      </c>
      <c r="H27" s="11">
        <f>'User Data'!AV18</f>
        <v>2.492700441919192</v>
      </c>
      <c r="I27" s="12">
        <f>MAX('User Data'!AX18:BM18)</f>
        <v>95</v>
      </c>
      <c r="J27" s="13">
        <f>'User Data'!ED22</f>
        <v>10</v>
      </c>
      <c r="K27" s="13">
        <f>'User Data'!EE22</f>
        <v>2</v>
      </c>
      <c r="L27" s="14">
        <f>'User Data'!EG22</f>
        <v>480</v>
      </c>
      <c r="M27" s="689"/>
      <c r="N27" s="15"/>
      <c r="O27" s="299">
        <f t="shared" si="2"/>
        <v>9715.1050380000015</v>
      </c>
      <c r="P27" s="295">
        <f t="shared" si="3"/>
        <v>1651.2107460000002</v>
      </c>
      <c r="Q27" s="295">
        <f t="shared" si="4"/>
        <v>2064.7938480000003</v>
      </c>
      <c r="R27" s="295">
        <f t="shared" si="5"/>
        <v>207.46417200000002</v>
      </c>
      <c r="S27" s="730">
        <f t="shared" si="6"/>
        <v>532.25045999999998</v>
      </c>
      <c r="T27" s="750">
        <f>'User Data'!EM22</f>
        <v>660</v>
      </c>
      <c r="U27" s="730">
        <f t="shared" si="7"/>
        <v>0</v>
      </c>
      <c r="V27" s="730">
        <f t="shared" si="8"/>
        <v>471.42183600000004</v>
      </c>
      <c r="W27" s="730">
        <f t="shared" si="9"/>
        <v>5101.5780000000004</v>
      </c>
      <c r="X27" s="730">
        <f t="shared" si="10"/>
        <v>22.106838</v>
      </c>
      <c r="Y27" s="730">
        <f t="shared" si="11"/>
        <v>20.406312</v>
      </c>
      <c r="Z27" s="730">
        <f t="shared" si="12"/>
        <v>843.46089599999993</v>
      </c>
      <c r="AA27" s="730">
        <f t="shared" si="13"/>
        <v>0</v>
      </c>
      <c r="AB27" s="721"/>
      <c r="AC27" s="300"/>
      <c r="AD27" s="16"/>
      <c r="AE27" s="714">
        <f>'User Data'!EV22</f>
        <v>57.13</v>
      </c>
      <c r="AF27" s="17">
        <f>'User Data'!EW22</f>
        <v>9.7100000000000009</v>
      </c>
      <c r="AG27" s="17">
        <f>'User Data'!EX22</f>
        <v>12.22</v>
      </c>
      <c r="AH27" s="17">
        <f>'User Data'!EY22</f>
        <v>1.22</v>
      </c>
      <c r="AI27" s="16">
        <f>'User Data'!EZ22</f>
        <v>3.15</v>
      </c>
      <c r="AJ27" s="742">
        <f>'User Data'!FA22</f>
        <v>0.81</v>
      </c>
      <c r="AK27" s="742">
        <f>'User Data'!FB22</f>
        <v>0</v>
      </c>
      <c r="AL27" s="742">
        <f>'User Data'!FC22</f>
        <v>2.79</v>
      </c>
      <c r="AM27" s="742">
        <f>'User Data'!FD22</f>
        <v>30</v>
      </c>
      <c r="AN27" s="742">
        <f>'User Data'!FE22</f>
        <v>0.13</v>
      </c>
      <c r="AO27" s="742">
        <f>'User Data'!FF22</f>
        <v>0.12</v>
      </c>
      <c r="AP27" s="742">
        <f>'User Data'!FH22</f>
        <v>4.96</v>
      </c>
      <c r="AQ27" s="742">
        <f>'User Data'!FI22</f>
        <v>0</v>
      </c>
      <c r="AR27" s="742"/>
      <c r="AS27" s="18"/>
      <c r="AT27" s="19">
        <f>'1940-IV - EP DI'!P24</f>
        <v>6</v>
      </c>
      <c r="AU27" s="19">
        <f>'1940-III - CFE Turb.'!P22</f>
        <v>6</v>
      </c>
      <c r="AV27" s="19">
        <f t="shared" si="14"/>
        <v>0</v>
      </c>
      <c r="AW27" s="19">
        <f t="shared" si="15"/>
        <v>0</v>
      </c>
    </row>
    <row r="28" spans="1:49" ht="9.6999999999999993" customHeight="1" x14ac:dyDescent="0.35">
      <c r="A28" s="1100">
        <v>13</v>
      </c>
      <c r="B28" s="8">
        <f>'User Data'!DU23</f>
        <v>23.87</v>
      </c>
      <c r="C28" s="8">
        <f>'User Data'!DV23</f>
        <v>20.85</v>
      </c>
      <c r="D28" s="8">
        <f>'User Data'!DW23</f>
        <v>20.62</v>
      </c>
      <c r="E28" s="8">
        <f>'User Data'!DX23</f>
        <v>19.79</v>
      </c>
      <c r="F28" s="9">
        <f>'User Data'!DY23</f>
        <v>24</v>
      </c>
      <c r="G28" s="10">
        <f>'User Data'!DY23</f>
        <v>24</v>
      </c>
      <c r="H28" s="11">
        <f>'User Data'!AV19</f>
        <v>2.2273516414141414</v>
      </c>
      <c r="I28" s="12">
        <f>MAX('User Data'!AX19:BM19)</f>
        <v>103.5</v>
      </c>
      <c r="J28" s="13">
        <f>'User Data'!ED23</f>
        <v>10</v>
      </c>
      <c r="K28" s="13">
        <f>'User Data'!EE23</f>
        <v>3</v>
      </c>
      <c r="L28" s="14">
        <f>'User Data'!EG23</f>
        <v>730</v>
      </c>
      <c r="M28" s="689"/>
      <c r="N28" s="15"/>
      <c r="O28" s="299">
        <f t="shared" si="2"/>
        <v>10431.60111</v>
      </c>
      <c r="P28" s="295">
        <f t="shared" si="3"/>
        <v>1558.0454400000003</v>
      </c>
      <c r="Q28" s="295">
        <f t="shared" si="4"/>
        <v>2051.6116440000001</v>
      </c>
      <c r="R28" s="295">
        <f t="shared" si="5"/>
        <v>206.92791000000003</v>
      </c>
      <c r="S28" s="730">
        <f t="shared" si="6"/>
        <v>650.04962399999999</v>
      </c>
      <c r="T28" s="750">
        <f>'User Data'!EM23</f>
        <v>641</v>
      </c>
      <c r="U28" s="730">
        <f t="shared" si="7"/>
        <v>0</v>
      </c>
      <c r="V28" s="730">
        <f t="shared" si="8"/>
        <v>488.39707199999998</v>
      </c>
      <c r="W28" s="730">
        <f t="shared" si="9"/>
        <v>5220.1477800000002</v>
      </c>
      <c r="X28" s="730">
        <f t="shared" si="10"/>
        <v>24.344460000000005</v>
      </c>
      <c r="Y28" s="730">
        <f t="shared" si="11"/>
        <v>20.866680000000002</v>
      </c>
      <c r="Z28" s="730">
        <f t="shared" si="12"/>
        <v>855.53388000000007</v>
      </c>
      <c r="AA28" s="730">
        <f t="shared" si="13"/>
        <v>0</v>
      </c>
      <c r="AB28" s="721"/>
      <c r="AC28" s="300"/>
      <c r="AD28" s="16"/>
      <c r="AE28" s="714">
        <f>'User Data'!EV23</f>
        <v>59.99</v>
      </c>
      <c r="AF28" s="17">
        <f>'User Data'!EW23</f>
        <v>8.9600000000000009</v>
      </c>
      <c r="AG28" s="17">
        <f>'User Data'!EX23</f>
        <v>11.93</v>
      </c>
      <c r="AH28" s="17">
        <f>'User Data'!EY23</f>
        <v>1.19</v>
      </c>
      <c r="AI28" s="16">
        <f>'User Data'!EZ23</f>
        <v>3.78</v>
      </c>
      <c r="AJ28" s="742">
        <f>'User Data'!FA23</f>
        <v>0.78</v>
      </c>
      <c r="AK28" s="742">
        <f>'User Data'!FB23</f>
        <v>0</v>
      </c>
      <c r="AL28" s="742">
        <f>'User Data'!FC23</f>
        <v>2.84</v>
      </c>
      <c r="AM28" s="742">
        <f>'User Data'!FD23</f>
        <v>30.02</v>
      </c>
      <c r="AN28" s="742">
        <f>'User Data'!FE23</f>
        <v>0.14000000000000001</v>
      </c>
      <c r="AO28" s="742">
        <f>'User Data'!FF23</f>
        <v>0.12</v>
      </c>
      <c r="AP28" s="742">
        <f>'User Data'!FH23</f>
        <v>4.92</v>
      </c>
      <c r="AQ28" s="742">
        <f>'User Data'!FI23</f>
        <v>0</v>
      </c>
      <c r="AR28" s="742"/>
      <c r="AS28" s="18"/>
      <c r="AT28" s="19">
        <f>'1940-IV - EP DI'!P25</f>
        <v>6</v>
      </c>
      <c r="AU28" s="19">
        <f>'1940-III - CFE Turb.'!P23</f>
        <v>6</v>
      </c>
      <c r="AV28" s="19">
        <f t="shared" si="14"/>
        <v>0</v>
      </c>
      <c r="AW28" s="19">
        <f t="shared" si="15"/>
        <v>0</v>
      </c>
    </row>
    <row r="29" spans="1:49" ht="9.6999999999999993" customHeight="1" x14ac:dyDescent="0.35">
      <c r="A29" s="1100">
        <v>14</v>
      </c>
      <c r="B29" s="8">
        <f>'User Data'!DU24</f>
        <v>25.39</v>
      </c>
      <c r="C29" s="8">
        <f>'User Data'!DV24</f>
        <v>22.75</v>
      </c>
      <c r="D29" s="8">
        <f>'User Data'!DW24</f>
        <v>22.54</v>
      </c>
      <c r="E29" s="8">
        <f>'User Data'!DX24</f>
        <v>20.39</v>
      </c>
      <c r="F29" s="9">
        <f>'User Data'!DY24</f>
        <v>24</v>
      </c>
      <c r="G29" s="10">
        <f>'User Data'!DY24</f>
        <v>24</v>
      </c>
      <c r="H29" s="11">
        <f>'User Data'!AV20</f>
        <v>2.5578046085858586</v>
      </c>
      <c r="I29" s="12">
        <f>MAX('User Data'!AX20:BM20)</f>
        <v>98</v>
      </c>
      <c r="J29" s="13">
        <f>'User Data'!ED24</f>
        <v>10</v>
      </c>
      <c r="K29" s="13">
        <f>'User Data'!EE24</f>
        <v>2</v>
      </c>
      <c r="L29" s="14">
        <f>'User Data'!EG24</f>
        <v>480</v>
      </c>
      <c r="M29" s="689"/>
      <c r="N29" s="15"/>
      <c r="O29" s="299">
        <f t="shared" si="2"/>
        <v>11494.146299999999</v>
      </c>
      <c r="P29" s="295">
        <f t="shared" si="3"/>
        <v>1662.0785999999998</v>
      </c>
      <c r="Q29" s="295">
        <f t="shared" si="4"/>
        <v>2244.5241839999999</v>
      </c>
      <c r="R29" s="295">
        <f t="shared" si="5"/>
        <v>265.62899999999996</v>
      </c>
      <c r="S29" s="730">
        <f t="shared" si="6"/>
        <v>582.74915999999996</v>
      </c>
      <c r="T29" s="750">
        <f>'User Data'!EM24</f>
        <v>725</v>
      </c>
      <c r="U29" s="730">
        <f t="shared" si="7"/>
        <v>0</v>
      </c>
      <c r="V29" s="730">
        <f t="shared" si="8"/>
        <v>543.272604</v>
      </c>
      <c r="W29" s="730">
        <f t="shared" si="9"/>
        <v>5711.0234999999993</v>
      </c>
      <c r="X29" s="730">
        <f t="shared" si="10"/>
        <v>24.66555</v>
      </c>
      <c r="Y29" s="730">
        <f t="shared" si="11"/>
        <v>20.870850000000001</v>
      </c>
      <c r="Z29" s="730">
        <f t="shared" si="12"/>
        <v>922.11210000000005</v>
      </c>
      <c r="AA29" s="730">
        <f t="shared" si="13"/>
        <v>0</v>
      </c>
      <c r="AB29" s="721"/>
      <c r="AC29" s="300"/>
      <c r="AD29" s="16"/>
      <c r="AE29" s="714">
        <f>'User Data'!EV24</f>
        <v>60.58</v>
      </c>
      <c r="AF29" s="17">
        <f>'User Data'!EW24</f>
        <v>8.76</v>
      </c>
      <c r="AG29" s="17">
        <f>'User Data'!EX24</f>
        <v>11.94</v>
      </c>
      <c r="AH29" s="17">
        <f>'User Data'!EY24</f>
        <v>1.4</v>
      </c>
      <c r="AI29" s="16">
        <f>'User Data'!EZ24</f>
        <v>3.1</v>
      </c>
      <c r="AJ29" s="742">
        <f>'User Data'!FA24</f>
        <v>0.82</v>
      </c>
      <c r="AK29" s="742">
        <f>'User Data'!FB24</f>
        <v>0</v>
      </c>
      <c r="AL29" s="742">
        <f>'User Data'!FC24</f>
        <v>2.89</v>
      </c>
      <c r="AM29" s="742">
        <f>'User Data'!FD24</f>
        <v>30.1</v>
      </c>
      <c r="AN29" s="742">
        <f>'User Data'!FE24</f>
        <v>0.13</v>
      </c>
      <c r="AO29" s="742">
        <f>'User Data'!FF24</f>
        <v>0.11</v>
      </c>
      <c r="AP29" s="742">
        <f>'User Data'!FH24</f>
        <v>4.8600000000000003</v>
      </c>
      <c r="AQ29" s="742">
        <f>'User Data'!FI24</f>
        <v>0</v>
      </c>
      <c r="AR29" s="742"/>
      <c r="AS29" s="18"/>
      <c r="AT29" s="19">
        <f>'1940-IV - EP DI'!P26</f>
        <v>6</v>
      </c>
      <c r="AU29" s="19">
        <f>'1940-III - CFE Turb.'!P24</f>
        <v>6</v>
      </c>
      <c r="AV29" s="19">
        <f t="shared" si="14"/>
        <v>0</v>
      </c>
      <c r="AW29" s="19">
        <f t="shared" si="15"/>
        <v>0</v>
      </c>
    </row>
    <row r="30" spans="1:49" ht="9.6999999999999993" customHeight="1" x14ac:dyDescent="0.35">
      <c r="A30" s="1100">
        <v>15</v>
      </c>
      <c r="B30" s="8">
        <f>'User Data'!DU25</f>
        <v>23.26</v>
      </c>
      <c r="C30" s="8">
        <f>'User Data'!DV25</f>
        <v>20.52</v>
      </c>
      <c r="D30" s="8">
        <f>'User Data'!DW25</f>
        <v>20.23</v>
      </c>
      <c r="E30" s="8">
        <f>'User Data'!DX25</f>
        <v>16.73</v>
      </c>
      <c r="F30" s="9">
        <f>'User Data'!DY25</f>
        <v>24</v>
      </c>
      <c r="G30" s="10">
        <f>'User Data'!DY25</f>
        <v>24</v>
      </c>
      <c r="H30" s="11">
        <f>'User Data'!AV21</f>
        <v>2.1671796085858586</v>
      </c>
      <c r="I30" s="12">
        <f>MAX('User Data'!AX21:BM21)</f>
        <v>96</v>
      </c>
      <c r="J30" s="13">
        <f>'User Data'!ED25</f>
        <v>10</v>
      </c>
      <c r="K30" s="13">
        <f>'User Data'!EE25</f>
        <v>3</v>
      </c>
      <c r="L30" s="14">
        <f>'User Data'!EG25</f>
        <v>750</v>
      </c>
      <c r="M30" s="689"/>
      <c r="N30" s="15"/>
      <c r="O30" s="299">
        <f t="shared" si="2"/>
        <v>10593.367919999999</v>
      </c>
      <c r="P30" s="295">
        <f t="shared" si="3"/>
        <v>1485.4674239999999</v>
      </c>
      <c r="Q30" s="295">
        <f t="shared" si="4"/>
        <v>1985.813214</v>
      </c>
      <c r="R30" s="295">
        <f t="shared" si="5"/>
        <v>254.993832</v>
      </c>
      <c r="S30" s="730">
        <f t="shared" si="6"/>
        <v>501.093054</v>
      </c>
      <c r="T30" s="750">
        <f>'User Data'!EM25</f>
        <v>649</v>
      </c>
      <c r="U30" s="730">
        <f t="shared" si="7"/>
        <v>0</v>
      </c>
      <c r="V30" s="730">
        <f t="shared" si="8"/>
        <v>479.15968799999996</v>
      </c>
      <c r="W30" s="730">
        <f t="shared" si="9"/>
        <v>5139.238104</v>
      </c>
      <c r="X30" s="730">
        <f t="shared" si="10"/>
        <v>22.247784000000003</v>
      </c>
      <c r="Y30" s="730">
        <f t="shared" si="11"/>
        <v>20.536415999999996</v>
      </c>
      <c r="Z30" s="730">
        <f t="shared" si="12"/>
        <v>775.24970400000007</v>
      </c>
      <c r="AA30" s="730">
        <f t="shared" si="13"/>
        <v>0</v>
      </c>
      <c r="AB30" s="721"/>
      <c r="AC30" s="300"/>
      <c r="AD30" s="16"/>
      <c r="AE30" s="714">
        <f>'User Data'!EV25</f>
        <v>61.9</v>
      </c>
      <c r="AF30" s="17">
        <f>'User Data'!EW25</f>
        <v>8.68</v>
      </c>
      <c r="AG30" s="17">
        <f>'User Data'!EX25</f>
        <v>11.77</v>
      </c>
      <c r="AH30" s="17">
        <f>'User Data'!EY25</f>
        <v>1.49</v>
      </c>
      <c r="AI30" s="16">
        <f>'User Data'!EZ25</f>
        <v>2.97</v>
      </c>
      <c r="AJ30" s="742">
        <f>'User Data'!FA25</f>
        <v>0.79</v>
      </c>
      <c r="AK30" s="742">
        <f>'User Data'!FB25</f>
        <v>0</v>
      </c>
      <c r="AL30" s="742">
        <f>'User Data'!FC25</f>
        <v>2.84</v>
      </c>
      <c r="AM30" s="742">
        <f>'User Data'!FD25</f>
        <v>30.03</v>
      </c>
      <c r="AN30" s="742">
        <f>'User Data'!FE25</f>
        <v>0.13</v>
      </c>
      <c r="AO30" s="742">
        <f>'User Data'!FF25</f>
        <v>0.12</v>
      </c>
      <c r="AP30" s="742">
        <f>'User Data'!FH25</f>
        <v>4.53</v>
      </c>
      <c r="AQ30" s="742">
        <f>'User Data'!FI25</f>
        <v>0</v>
      </c>
      <c r="AR30" s="742"/>
      <c r="AS30" s="18"/>
      <c r="AT30" s="19">
        <f>'1940-IV - EP DI'!P27</f>
        <v>6</v>
      </c>
      <c r="AU30" s="19">
        <f>'1940-III - CFE Turb.'!P25</f>
        <v>6</v>
      </c>
      <c r="AV30" s="19">
        <f t="shared" si="14"/>
        <v>0</v>
      </c>
      <c r="AW30" s="19">
        <f t="shared" si="15"/>
        <v>0</v>
      </c>
    </row>
    <row r="31" spans="1:49" ht="9.6999999999999993" customHeight="1" x14ac:dyDescent="0.35">
      <c r="A31" s="1100">
        <v>16</v>
      </c>
      <c r="B31" s="8">
        <f>'User Data'!DU26</f>
        <v>22.75</v>
      </c>
      <c r="C31" s="8">
        <f>'User Data'!DV26</f>
        <v>19.73</v>
      </c>
      <c r="D31" s="8">
        <f>'User Data'!DW26</f>
        <v>19.559999999999999</v>
      </c>
      <c r="E31" s="8">
        <f>'User Data'!DX26</f>
        <v>17.440000000000001</v>
      </c>
      <c r="F31" s="9">
        <f>'User Data'!DY26</f>
        <v>24</v>
      </c>
      <c r="G31" s="10">
        <f>'User Data'!DY26</f>
        <v>24</v>
      </c>
      <c r="H31" s="11">
        <f>'User Data'!AV22</f>
        <v>2.0971433080808084</v>
      </c>
      <c r="I31" s="12">
        <f>MAX('User Data'!AX22:BM22)</f>
        <v>98</v>
      </c>
      <c r="J31" s="13">
        <f>'User Data'!ED26</f>
        <v>10</v>
      </c>
      <c r="K31" s="13">
        <f>'User Data'!EE26</f>
        <v>2</v>
      </c>
      <c r="L31" s="14">
        <f>'User Data'!EG26</f>
        <v>490</v>
      </c>
      <c r="M31" s="689"/>
      <c r="N31" s="15"/>
      <c r="O31" s="299">
        <f t="shared" si="2"/>
        <v>10317.172140000001</v>
      </c>
      <c r="P31" s="295">
        <f t="shared" si="3"/>
        <v>1515.4889220000002</v>
      </c>
      <c r="Q31" s="295">
        <f t="shared" si="4"/>
        <v>1934.7265439999999</v>
      </c>
      <c r="R31" s="295">
        <f t="shared" si="5"/>
        <v>228.72199799999999</v>
      </c>
      <c r="S31" s="730">
        <f t="shared" si="6"/>
        <v>543.22423200000003</v>
      </c>
      <c r="T31" s="750">
        <f>'User Data'!EM26</f>
        <v>617</v>
      </c>
      <c r="U31" s="730">
        <f t="shared" si="7"/>
        <v>0</v>
      </c>
      <c r="V31" s="730">
        <f t="shared" si="8"/>
        <v>458.39642399999997</v>
      </c>
      <c r="W31" s="730">
        <f t="shared" si="9"/>
        <v>4913.4092519999995</v>
      </c>
      <c r="X31" s="730">
        <f t="shared" si="10"/>
        <v>23.036748000000003</v>
      </c>
      <c r="Y31" s="730">
        <f t="shared" si="11"/>
        <v>19.745784</v>
      </c>
      <c r="Z31" s="730">
        <f t="shared" si="12"/>
        <v>817.80455399999994</v>
      </c>
      <c r="AA31" s="730">
        <f t="shared" si="13"/>
        <v>0</v>
      </c>
      <c r="AB31" s="721"/>
      <c r="AC31" s="300"/>
      <c r="AD31" s="16"/>
      <c r="AE31" s="714">
        <f>'User Data'!EV26</f>
        <v>62.7</v>
      </c>
      <c r="AF31" s="17">
        <f>'User Data'!EW26</f>
        <v>9.2100000000000009</v>
      </c>
      <c r="AG31" s="17">
        <f>'User Data'!EX26</f>
        <v>11.86</v>
      </c>
      <c r="AH31" s="17">
        <f>'User Data'!EY26</f>
        <v>1.39</v>
      </c>
      <c r="AI31" s="16">
        <f>'User Data'!EZ26</f>
        <v>3.33</v>
      </c>
      <c r="AJ31" s="742">
        <f>'User Data'!FA26</f>
        <v>0.79</v>
      </c>
      <c r="AK31" s="742">
        <f>'User Data'!FB26</f>
        <v>0</v>
      </c>
      <c r="AL31" s="742">
        <f>'User Data'!FC26</f>
        <v>2.81</v>
      </c>
      <c r="AM31" s="742">
        <f>'User Data'!FD26</f>
        <v>29.86</v>
      </c>
      <c r="AN31" s="742">
        <f>'User Data'!FE26</f>
        <v>0.14000000000000001</v>
      </c>
      <c r="AO31" s="742">
        <f>'User Data'!FF26</f>
        <v>0.12</v>
      </c>
      <c r="AP31" s="742">
        <f>'User Data'!FH26</f>
        <v>4.97</v>
      </c>
      <c r="AQ31" s="742">
        <f>'User Data'!FI26</f>
        <v>0</v>
      </c>
      <c r="AR31" s="742"/>
      <c r="AS31" s="18"/>
      <c r="AT31" s="19">
        <f>'1940-IV - EP DI'!P28</f>
        <v>6</v>
      </c>
      <c r="AU31" s="19">
        <f>'1940-III - CFE Turb.'!P26</f>
        <v>6</v>
      </c>
      <c r="AV31" s="19">
        <f t="shared" si="14"/>
        <v>0</v>
      </c>
      <c r="AW31" s="19">
        <f t="shared" si="15"/>
        <v>0</v>
      </c>
    </row>
    <row r="32" spans="1:49" ht="9.6999999999999993" customHeight="1" x14ac:dyDescent="0.35">
      <c r="A32" s="1100">
        <v>17</v>
      </c>
      <c r="B32" s="8">
        <f>'User Data'!DU27</f>
        <v>23.27</v>
      </c>
      <c r="C32" s="8">
        <f>'User Data'!DV27</f>
        <v>20.6</v>
      </c>
      <c r="D32" s="8">
        <f>'User Data'!DW27</f>
        <v>20.39</v>
      </c>
      <c r="E32" s="8">
        <f>'User Data'!DX27</f>
        <v>18.25</v>
      </c>
      <c r="F32" s="9">
        <f>'User Data'!DY27</f>
        <v>24</v>
      </c>
      <c r="G32" s="10">
        <f>'User Data'!DY27</f>
        <v>24</v>
      </c>
      <c r="H32" s="11">
        <f>'User Data'!AV23</f>
        <v>2.2263652146464645</v>
      </c>
      <c r="I32" s="12">
        <f>MAX('User Data'!AX23:BM23)</f>
        <v>96</v>
      </c>
      <c r="J32" s="13">
        <f>'User Data'!ED27</f>
        <v>10</v>
      </c>
      <c r="K32" s="13">
        <f>'User Data'!EE27</f>
        <v>3</v>
      </c>
      <c r="L32" s="14">
        <f>'User Data'!EG27</f>
        <v>720</v>
      </c>
      <c r="M32" s="689"/>
      <c r="N32" s="15"/>
      <c r="O32" s="299">
        <f t="shared" si="2"/>
        <v>10131.28188</v>
      </c>
      <c r="P32" s="295">
        <f t="shared" si="3"/>
        <v>1681.9611600000001</v>
      </c>
      <c r="Q32" s="295">
        <f t="shared" si="4"/>
        <v>1969.2091080000002</v>
      </c>
      <c r="R32" s="295">
        <f t="shared" si="5"/>
        <v>261.14208000000002</v>
      </c>
      <c r="S32" s="730">
        <f t="shared" si="6"/>
        <v>593.48357399999998</v>
      </c>
      <c r="T32" s="750">
        <f>'User Data'!EM27</f>
        <v>656</v>
      </c>
      <c r="U32" s="730">
        <f t="shared" si="7"/>
        <v>0</v>
      </c>
      <c r="V32" s="730">
        <f t="shared" si="8"/>
        <v>477.84780599999999</v>
      </c>
      <c r="W32" s="730">
        <f t="shared" si="9"/>
        <v>5160.9921600000007</v>
      </c>
      <c r="X32" s="730">
        <f t="shared" si="10"/>
        <v>22.334520000000001</v>
      </c>
      <c r="Y32" s="730">
        <f t="shared" si="11"/>
        <v>18.898440000000001</v>
      </c>
      <c r="Z32" s="730">
        <f t="shared" si="12"/>
        <v>874.48235999999997</v>
      </c>
      <c r="AA32" s="730">
        <f t="shared" si="13"/>
        <v>0</v>
      </c>
      <c r="AB32" s="721"/>
      <c r="AC32" s="300"/>
      <c r="AD32" s="16"/>
      <c r="AE32" s="714">
        <f>'User Data'!EV27</f>
        <v>58.97</v>
      </c>
      <c r="AF32" s="17">
        <f>'User Data'!EW27</f>
        <v>9.7899999999999991</v>
      </c>
      <c r="AG32" s="17">
        <f>'User Data'!EX27</f>
        <v>11.58</v>
      </c>
      <c r="AH32" s="17">
        <f>'User Data'!EY27</f>
        <v>1.52</v>
      </c>
      <c r="AI32" s="16">
        <f>'User Data'!EZ27</f>
        <v>3.49</v>
      </c>
      <c r="AJ32" s="742">
        <f>'User Data'!FA27</f>
        <v>0.79</v>
      </c>
      <c r="AK32" s="742">
        <f>'User Data'!FB27</f>
        <v>0</v>
      </c>
      <c r="AL32" s="742">
        <f>'User Data'!FC27</f>
        <v>2.81</v>
      </c>
      <c r="AM32" s="742">
        <f>'User Data'!FD27</f>
        <v>30.04</v>
      </c>
      <c r="AN32" s="742">
        <f>'User Data'!FE27</f>
        <v>0.13</v>
      </c>
      <c r="AO32" s="742">
        <f>'User Data'!FF27</f>
        <v>0.11</v>
      </c>
      <c r="AP32" s="742">
        <f>'User Data'!FH27</f>
        <v>5.09</v>
      </c>
      <c r="AQ32" s="742">
        <f>'User Data'!FI27</f>
        <v>0</v>
      </c>
      <c r="AR32" s="742"/>
      <c r="AS32" s="18"/>
      <c r="AT32" s="19">
        <f>'1940-IV - EP DI'!P29</f>
        <v>6</v>
      </c>
      <c r="AU32" s="19">
        <f>'1940-III - CFE Turb.'!P27</f>
        <v>6</v>
      </c>
      <c r="AV32" s="19">
        <f t="shared" si="14"/>
        <v>0</v>
      </c>
      <c r="AW32" s="19">
        <f t="shared" si="15"/>
        <v>0</v>
      </c>
    </row>
    <row r="33" spans="1:49" ht="9.6999999999999993" customHeight="1" x14ac:dyDescent="0.35">
      <c r="A33" s="1100">
        <v>18</v>
      </c>
      <c r="B33" s="8">
        <f>'User Data'!DU28</f>
        <v>23.42</v>
      </c>
      <c r="C33" s="8">
        <f>'User Data'!DV28</f>
        <v>21.42</v>
      </c>
      <c r="D33" s="8">
        <f>'User Data'!DW28</f>
        <v>21.24</v>
      </c>
      <c r="E33" s="8">
        <f>'User Data'!DX28</f>
        <v>19.23</v>
      </c>
      <c r="F33" s="9">
        <f>'User Data'!DY28</f>
        <v>24</v>
      </c>
      <c r="G33" s="10">
        <f>'User Data'!DY28</f>
        <v>24</v>
      </c>
      <c r="H33" s="11">
        <f>'User Data'!AV24</f>
        <v>2.2776594065656566</v>
      </c>
      <c r="I33" s="12">
        <f>MAX('User Data'!AX24:BM24)</f>
        <v>96</v>
      </c>
      <c r="J33" s="13">
        <f>'User Data'!ED28</f>
        <v>10</v>
      </c>
      <c r="K33" s="13">
        <f>'User Data'!EE28</f>
        <v>2</v>
      </c>
      <c r="L33" s="14">
        <f>'User Data'!EG28</f>
        <v>480</v>
      </c>
      <c r="M33" s="689"/>
      <c r="N33" s="15"/>
      <c r="O33" s="299">
        <f t="shared" si="2"/>
        <v>10922.220792000002</v>
      </c>
      <c r="P33" s="295">
        <f t="shared" si="3"/>
        <v>1631.0087640000004</v>
      </c>
      <c r="Q33" s="295">
        <f t="shared" si="4"/>
        <v>1920.2149439999998</v>
      </c>
      <c r="R33" s="295">
        <f t="shared" si="5"/>
        <v>239.38135200000002</v>
      </c>
      <c r="S33" s="730">
        <f t="shared" si="6"/>
        <v>517.25347199999999</v>
      </c>
      <c r="T33" s="750">
        <f>'User Data'!EM28</f>
        <v>672</v>
      </c>
      <c r="U33" s="730">
        <f t="shared" si="7"/>
        <v>0</v>
      </c>
      <c r="V33" s="730">
        <f t="shared" si="8"/>
        <v>517.25347199999999</v>
      </c>
      <c r="W33" s="730">
        <f t="shared" si="9"/>
        <v>5371.7889960000002</v>
      </c>
      <c r="X33" s="730">
        <f t="shared" si="10"/>
        <v>25.009992000000004</v>
      </c>
      <c r="Y33" s="730">
        <f t="shared" si="11"/>
        <v>21.437136000000002</v>
      </c>
      <c r="Z33" s="730">
        <f t="shared" si="12"/>
        <v>861.05829600000004</v>
      </c>
      <c r="AA33" s="730">
        <f t="shared" si="13"/>
        <v>0</v>
      </c>
      <c r="AB33" s="721"/>
      <c r="AC33" s="300"/>
      <c r="AD33" s="16"/>
      <c r="AE33" s="714">
        <f>'User Data'!EV28</f>
        <v>61.14</v>
      </c>
      <c r="AF33" s="17">
        <f>'User Data'!EW28</f>
        <v>9.1300000000000008</v>
      </c>
      <c r="AG33" s="17">
        <f>'User Data'!EX28</f>
        <v>10.84</v>
      </c>
      <c r="AH33" s="17">
        <f>'User Data'!EY28</f>
        <v>1.34</v>
      </c>
      <c r="AI33" s="16">
        <f>'User Data'!EZ28</f>
        <v>2.92</v>
      </c>
      <c r="AJ33" s="742">
        <f>'User Data'!FA28</f>
        <v>0.76</v>
      </c>
      <c r="AK33" s="742">
        <f>'User Data'!FB28</f>
        <v>0</v>
      </c>
      <c r="AL33" s="742">
        <f>'User Data'!FC28</f>
        <v>2.92</v>
      </c>
      <c r="AM33" s="742">
        <f>'User Data'!FD28</f>
        <v>30.07</v>
      </c>
      <c r="AN33" s="742">
        <f>'User Data'!FE28</f>
        <v>0.14000000000000001</v>
      </c>
      <c r="AO33" s="742">
        <f>'User Data'!FF28</f>
        <v>0.12</v>
      </c>
      <c r="AP33" s="742">
        <f>'User Data'!FH28</f>
        <v>4.82</v>
      </c>
      <c r="AQ33" s="742">
        <f>'User Data'!FI28</f>
        <v>0</v>
      </c>
      <c r="AR33" s="742"/>
      <c r="AS33" s="18"/>
      <c r="AT33" s="19">
        <f>'1940-IV - EP DI'!P30</f>
        <v>6</v>
      </c>
      <c r="AU33" s="19">
        <f>'1940-III - CFE Turb.'!P28</f>
        <v>6</v>
      </c>
      <c r="AV33" s="19">
        <f t="shared" si="14"/>
        <v>0</v>
      </c>
      <c r="AW33" s="19">
        <f t="shared" si="15"/>
        <v>0</v>
      </c>
    </row>
    <row r="34" spans="1:49" ht="9.6999999999999993" customHeight="1" x14ac:dyDescent="0.35">
      <c r="A34" s="1100">
        <v>19</v>
      </c>
      <c r="B34" s="8">
        <f>'User Data'!DU29</f>
        <v>22.33</v>
      </c>
      <c r="C34" s="8">
        <f>'User Data'!DV29</f>
        <v>19.41</v>
      </c>
      <c r="D34" s="8">
        <f>'User Data'!DW29</f>
        <v>19.07</v>
      </c>
      <c r="E34" s="8">
        <f>'User Data'!DX29</f>
        <v>16.88</v>
      </c>
      <c r="F34" s="9">
        <f>'User Data'!DY29</f>
        <v>24</v>
      </c>
      <c r="G34" s="10">
        <f>'User Data'!DY29</f>
        <v>24</v>
      </c>
      <c r="H34" s="11">
        <f>'User Data'!AV25</f>
        <v>2.1947995580808084</v>
      </c>
      <c r="I34" s="12">
        <f>MAX('User Data'!AX25:BM25)</f>
        <v>96</v>
      </c>
      <c r="J34" s="13">
        <f>'User Data'!ED29</f>
        <v>10</v>
      </c>
      <c r="K34" s="13">
        <f>'User Data'!EE29</f>
        <v>3</v>
      </c>
      <c r="L34" s="14">
        <f>'User Data'!EG29</f>
        <v>750</v>
      </c>
      <c r="M34" s="689"/>
      <c r="N34" s="15"/>
      <c r="O34" s="299">
        <f t="shared" si="2"/>
        <v>10327.905719999999</v>
      </c>
      <c r="P34" s="295">
        <f t="shared" si="3"/>
        <v>1497.3844499999998</v>
      </c>
      <c r="Q34" s="295">
        <f t="shared" si="4"/>
        <v>1962.600492</v>
      </c>
      <c r="R34" s="295">
        <f t="shared" si="5"/>
        <v>192.63648599999999</v>
      </c>
      <c r="S34" s="730">
        <f t="shared" si="6"/>
        <v>399.19993799999997</v>
      </c>
      <c r="T34" s="750">
        <f>'User Data'!EM29</f>
        <v>716</v>
      </c>
      <c r="U34" s="730">
        <f t="shared" si="7"/>
        <v>0</v>
      </c>
      <c r="V34" s="730">
        <f t="shared" si="8"/>
        <v>459.63658200000003</v>
      </c>
      <c r="W34" s="730">
        <f t="shared" si="9"/>
        <v>4859.6195880000005</v>
      </c>
      <c r="X34" s="730">
        <f t="shared" si="10"/>
        <v>22.663116000000002</v>
      </c>
      <c r="Y34" s="730">
        <f t="shared" si="11"/>
        <v>17.806733999999999</v>
      </c>
      <c r="Z34" s="730">
        <f t="shared" si="12"/>
        <v>811.01579400000003</v>
      </c>
      <c r="AA34" s="730">
        <f t="shared" si="13"/>
        <v>0</v>
      </c>
      <c r="AB34" s="721"/>
      <c r="AC34" s="300"/>
      <c r="AD34" s="16"/>
      <c r="AE34" s="714">
        <f>'User Data'!EV29</f>
        <v>63.8</v>
      </c>
      <c r="AF34" s="17">
        <f>'User Data'!EW29</f>
        <v>9.25</v>
      </c>
      <c r="AG34" s="17">
        <f>'User Data'!EX29</f>
        <v>12.34</v>
      </c>
      <c r="AH34" s="17">
        <f>'User Data'!EY29</f>
        <v>1.19</v>
      </c>
      <c r="AI34" s="16">
        <f>'User Data'!EZ29</f>
        <v>2.5099999999999998</v>
      </c>
      <c r="AJ34" s="742">
        <f>'User Data'!FA29</f>
        <v>0.78</v>
      </c>
      <c r="AK34" s="742">
        <f>'User Data'!FB29</f>
        <v>0</v>
      </c>
      <c r="AL34" s="742">
        <f>'User Data'!FC29</f>
        <v>2.89</v>
      </c>
      <c r="AM34" s="742">
        <f>'User Data'!FD29</f>
        <v>30.02</v>
      </c>
      <c r="AN34" s="742">
        <f>'User Data'!FE29</f>
        <v>0.14000000000000001</v>
      </c>
      <c r="AO34" s="742">
        <f>'User Data'!FF29</f>
        <v>0.11</v>
      </c>
      <c r="AP34" s="742">
        <f>'User Data'!FH29</f>
        <v>5.01</v>
      </c>
      <c r="AQ34" s="742">
        <f>'User Data'!FI29</f>
        <v>0</v>
      </c>
      <c r="AR34" s="742"/>
      <c r="AS34" s="18"/>
      <c r="AT34" s="19">
        <f>'1940-IV - EP DI'!P31</f>
        <v>6</v>
      </c>
      <c r="AU34" s="19">
        <f>'1940-III - CFE Turb.'!P29</f>
        <v>6</v>
      </c>
      <c r="AV34" s="19">
        <f t="shared" si="14"/>
        <v>0</v>
      </c>
      <c r="AW34" s="19">
        <f t="shared" si="15"/>
        <v>0</v>
      </c>
    </row>
    <row r="35" spans="1:49" ht="9.6999999999999993" customHeight="1" x14ac:dyDescent="0.35">
      <c r="A35" s="1100">
        <v>20</v>
      </c>
      <c r="B35" s="8">
        <f>'User Data'!DU30</f>
        <v>23.44</v>
      </c>
      <c r="C35" s="8">
        <f>'User Data'!DV30</f>
        <v>20.88</v>
      </c>
      <c r="D35" s="8">
        <f>'User Data'!DW30</f>
        <v>20.85</v>
      </c>
      <c r="E35" s="8">
        <f>'User Data'!DX30</f>
        <v>18.63</v>
      </c>
      <c r="F35" s="9">
        <f>'User Data'!DY30</f>
        <v>24</v>
      </c>
      <c r="G35" s="10">
        <f>'User Data'!DY30</f>
        <v>24</v>
      </c>
      <c r="H35" s="11">
        <f>'User Data'!AV26</f>
        <v>2.6633522727272725</v>
      </c>
      <c r="I35" s="12">
        <f>MAX('User Data'!AX26:BM26)</f>
        <v>96</v>
      </c>
      <c r="J35" s="13">
        <f>'User Data'!ED30</f>
        <v>10</v>
      </c>
      <c r="K35" s="13">
        <f>'User Data'!EE30</f>
        <v>2</v>
      </c>
      <c r="L35" s="14">
        <f>'User Data'!EG30</f>
        <v>490</v>
      </c>
      <c r="M35" s="689"/>
      <c r="N35" s="15"/>
      <c r="O35" s="299">
        <f t="shared" si="2"/>
        <v>10801.854576</v>
      </c>
      <c r="P35" s="295">
        <f t="shared" si="3"/>
        <v>1588.1495039999998</v>
      </c>
      <c r="Q35" s="295">
        <f t="shared" si="4"/>
        <v>2020.5901799999999</v>
      </c>
      <c r="R35" s="295">
        <f t="shared" si="5"/>
        <v>196.77729599999998</v>
      </c>
      <c r="S35" s="730">
        <f t="shared" si="6"/>
        <v>406.90026</v>
      </c>
      <c r="T35" s="750">
        <f>'User Data'!EM30</f>
        <v>659</v>
      </c>
      <c r="U35" s="730">
        <f t="shared" si="7"/>
        <v>0</v>
      </c>
      <c r="V35" s="730">
        <f t="shared" si="8"/>
        <v>479.93363999999997</v>
      </c>
      <c r="W35" s="730">
        <f t="shared" si="9"/>
        <v>5262.4866239999992</v>
      </c>
      <c r="X35" s="730">
        <f t="shared" si="10"/>
        <v>22.638095999999997</v>
      </c>
      <c r="Y35" s="730">
        <f t="shared" si="11"/>
        <v>20.896704</v>
      </c>
      <c r="Z35" s="730">
        <f t="shared" si="12"/>
        <v>863.73043199999995</v>
      </c>
      <c r="AA35" s="730">
        <f t="shared" si="13"/>
        <v>0</v>
      </c>
      <c r="AB35" s="721"/>
      <c r="AC35" s="300"/>
      <c r="AD35" s="16"/>
      <c r="AE35" s="714">
        <f>'User Data'!EV30</f>
        <v>62.03</v>
      </c>
      <c r="AF35" s="17">
        <f>'User Data'!EW30</f>
        <v>9.1199999999999992</v>
      </c>
      <c r="AG35" s="17">
        <f>'User Data'!EX30</f>
        <v>11.62</v>
      </c>
      <c r="AH35" s="17">
        <f>'User Data'!EY30</f>
        <v>1.1299999999999999</v>
      </c>
      <c r="AI35" s="16">
        <f>'User Data'!EZ30</f>
        <v>2.34</v>
      </c>
      <c r="AJ35" s="742">
        <f>'User Data'!FA30</f>
        <v>0.8</v>
      </c>
      <c r="AK35" s="742">
        <f>'User Data'!FB30</f>
        <v>0</v>
      </c>
      <c r="AL35" s="742">
        <f>'User Data'!FC30</f>
        <v>2.76</v>
      </c>
      <c r="AM35" s="742">
        <f>'User Data'!FD30</f>
        <v>30.22</v>
      </c>
      <c r="AN35" s="742">
        <f>'User Data'!FE30</f>
        <v>0.13</v>
      </c>
      <c r="AO35" s="742">
        <f>'User Data'!FF30</f>
        <v>0.12</v>
      </c>
      <c r="AP35" s="742">
        <f>'User Data'!FH30</f>
        <v>4.96</v>
      </c>
      <c r="AQ35" s="742">
        <f>'User Data'!FI30</f>
        <v>0</v>
      </c>
      <c r="AR35" s="742"/>
      <c r="AS35" s="18"/>
      <c r="AT35" s="19">
        <f>'1940-IV - EP DI'!P32</f>
        <v>6</v>
      </c>
      <c r="AU35" s="19">
        <f>'1940-III - CFE Turb.'!P30</f>
        <v>6</v>
      </c>
      <c r="AV35" s="19">
        <f t="shared" si="14"/>
        <v>0</v>
      </c>
      <c r="AW35" s="19">
        <f t="shared" si="15"/>
        <v>0</v>
      </c>
    </row>
    <row r="36" spans="1:49" ht="9.6999999999999993" customHeight="1" x14ac:dyDescent="0.35">
      <c r="A36" s="1100">
        <v>21</v>
      </c>
      <c r="B36" s="8">
        <f>'User Data'!DU31</f>
        <v>22.14</v>
      </c>
      <c r="C36" s="8">
        <f>'User Data'!DV31</f>
        <v>19.149999999999999</v>
      </c>
      <c r="D36" s="8">
        <f>'User Data'!DW31</f>
        <v>19</v>
      </c>
      <c r="E36" s="8">
        <f>'User Data'!DX31</f>
        <v>16.87</v>
      </c>
      <c r="F36" s="9">
        <f>'User Data'!DY31</f>
        <v>24</v>
      </c>
      <c r="G36" s="10">
        <f>'User Data'!DY31</f>
        <v>24</v>
      </c>
      <c r="H36" s="11">
        <f>'User Data'!AV27</f>
        <v>2.1385732323232323</v>
      </c>
      <c r="I36" s="12">
        <f>MAX('User Data'!AX27:BM27)</f>
        <v>98</v>
      </c>
      <c r="J36" s="13">
        <f>'User Data'!ED31</f>
        <v>10</v>
      </c>
      <c r="K36" s="13">
        <f>'User Data'!EE31</f>
        <v>3</v>
      </c>
      <c r="L36" s="14">
        <f>'User Data'!EG31</f>
        <v>730</v>
      </c>
      <c r="M36" s="689"/>
      <c r="N36" s="15"/>
      <c r="O36" s="299">
        <f t="shared" si="2"/>
        <v>9942.0097499999993</v>
      </c>
      <c r="P36" s="295">
        <f t="shared" si="3"/>
        <v>1407.0539100000001</v>
      </c>
      <c r="Q36" s="295">
        <f t="shared" si="4"/>
        <v>2120.1948000000002</v>
      </c>
      <c r="R36" s="295">
        <f t="shared" si="5"/>
        <v>177.27920999999998</v>
      </c>
      <c r="S36" s="730">
        <f t="shared" si="6"/>
        <v>375.55020000000002</v>
      </c>
      <c r="T36" s="750">
        <f>'User Data'!EM31</f>
        <v>550</v>
      </c>
      <c r="U36" s="730">
        <f t="shared" si="7"/>
        <v>0</v>
      </c>
      <c r="V36" s="730">
        <f t="shared" si="8"/>
        <v>431.01120000000003</v>
      </c>
      <c r="W36" s="730">
        <f t="shared" si="9"/>
        <v>4808.8982099999994</v>
      </c>
      <c r="X36" s="730">
        <f t="shared" si="10"/>
        <v>22.359539999999999</v>
      </c>
      <c r="Y36" s="730">
        <f t="shared" si="11"/>
        <v>19.165319999999998</v>
      </c>
      <c r="Z36" s="730">
        <f t="shared" si="12"/>
        <v>800.15210999999988</v>
      </c>
      <c r="AA36" s="730">
        <f t="shared" si="13"/>
        <v>0</v>
      </c>
      <c r="AB36" s="721"/>
      <c r="AC36" s="300"/>
      <c r="AD36" s="16"/>
      <c r="AE36" s="714">
        <f>'User Data'!EV31</f>
        <v>62.25</v>
      </c>
      <c r="AF36" s="17">
        <f>'User Data'!EW31</f>
        <v>8.81</v>
      </c>
      <c r="AG36" s="17">
        <f>'User Data'!EX31</f>
        <v>13.38</v>
      </c>
      <c r="AH36" s="17">
        <f>'User Data'!EY31</f>
        <v>1.1100000000000001</v>
      </c>
      <c r="AI36" s="16">
        <f>'User Data'!EZ31</f>
        <v>2.37</v>
      </c>
      <c r="AJ36" s="742">
        <f>'User Data'!FA31</f>
        <v>0.79</v>
      </c>
      <c r="AK36" s="742">
        <f>'User Data'!FB31</f>
        <v>0</v>
      </c>
      <c r="AL36" s="742">
        <f>'User Data'!FC31</f>
        <v>2.72</v>
      </c>
      <c r="AM36" s="742">
        <f>'User Data'!FD31</f>
        <v>30.11</v>
      </c>
      <c r="AN36" s="742">
        <f>'User Data'!FE31</f>
        <v>0.14000000000000001</v>
      </c>
      <c r="AO36" s="742">
        <f>'User Data'!FF31</f>
        <v>0.12</v>
      </c>
      <c r="AP36" s="742">
        <f>'User Data'!FH31</f>
        <v>5.01</v>
      </c>
      <c r="AQ36" s="742">
        <f>'User Data'!FI31</f>
        <v>0</v>
      </c>
      <c r="AR36" s="742"/>
      <c r="AS36" s="18"/>
      <c r="AT36" s="19">
        <f>'1940-IV - EP DI'!P33</f>
        <v>6</v>
      </c>
      <c r="AU36" s="19">
        <f>'1940-III - CFE Turb.'!P31</f>
        <v>6</v>
      </c>
      <c r="AV36" s="19">
        <f t="shared" si="14"/>
        <v>0</v>
      </c>
      <c r="AW36" s="19">
        <f t="shared" si="15"/>
        <v>0</v>
      </c>
    </row>
    <row r="37" spans="1:49" ht="9.6999999999999993" customHeight="1" x14ac:dyDescent="0.35">
      <c r="A37" s="1100">
        <v>22</v>
      </c>
      <c r="B37" s="8">
        <f>'User Data'!DU32</f>
        <v>22.79</v>
      </c>
      <c r="C37" s="8">
        <f>'User Data'!DV32</f>
        <v>20.04</v>
      </c>
      <c r="D37" s="8">
        <f>'User Data'!DW32</f>
        <v>19.88</v>
      </c>
      <c r="E37" s="8">
        <f>'User Data'!DX32</f>
        <v>18.239999999999998</v>
      </c>
      <c r="F37" s="9">
        <f>'User Data'!DY32</f>
        <v>24</v>
      </c>
      <c r="G37" s="10">
        <f>'User Data'!DY32</f>
        <v>24</v>
      </c>
      <c r="H37" s="11">
        <f>'User Data'!AV28</f>
        <v>2.1109532828282824</v>
      </c>
      <c r="I37" s="12">
        <f>MAX('User Data'!AX28:BM28)</f>
        <v>97</v>
      </c>
      <c r="J37" s="13">
        <f>'User Data'!ED32</f>
        <v>10</v>
      </c>
      <c r="K37" s="13">
        <f>'User Data'!EE32</f>
        <v>2</v>
      </c>
      <c r="L37" s="14">
        <f>'User Data'!EG32</f>
        <v>480</v>
      </c>
      <c r="M37" s="689"/>
      <c r="N37" s="15"/>
      <c r="O37" s="299">
        <f t="shared" si="2"/>
        <v>10365.625871999999</v>
      </c>
      <c r="P37" s="295">
        <f t="shared" si="3"/>
        <v>1527.6011040000001</v>
      </c>
      <c r="Q37" s="295">
        <f t="shared" si="4"/>
        <v>1969.6944959999998</v>
      </c>
      <c r="R37" s="295">
        <f t="shared" si="5"/>
        <v>183.84696</v>
      </c>
      <c r="S37" s="730">
        <f t="shared" si="6"/>
        <v>444.34185599999995</v>
      </c>
      <c r="T37" s="750">
        <f>'User Data'!EM32</f>
        <v>634</v>
      </c>
      <c r="U37" s="730">
        <f t="shared" si="7"/>
        <v>0</v>
      </c>
      <c r="V37" s="730">
        <f t="shared" si="8"/>
        <v>467.55374399999994</v>
      </c>
      <c r="W37" s="730">
        <f t="shared" si="9"/>
        <v>5025.7073520000004</v>
      </c>
      <c r="X37" s="730">
        <f t="shared" si="10"/>
        <v>23.398703999999999</v>
      </c>
      <c r="Y37" s="730">
        <f t="shared" si="11"/>
        <v>20.056031999999998</v>
      </c>
      <c r="Z37" s="730">
        <f t="shared" si="12"/>
        <v>837.33933599999989</v>
      </c>
      <c r="AA37" s="730">
        <f t="shared" si="13"/>
        <v>0</v>
      </c>
      <c r="AB37" s="721"/>
      <c r="AC37" s="300"/>
      <c r="AD37" s="16"/>
      <c r="AE37" s="714">
        <f>'User Data'!EV32</f>
        <v>62.02</v>
      </c>
      <c r="AF37" s="17">
        <f>'User Data'!EW32</f>
        <v>9.14</v>
      </c>
      <c r="AG37" s="17">
        <f>'User Data'!EX32</f>
        <v>11.88</v>
      </c>
      <c r="AH37" s="17">
        <f>'User Data'!EY32</f>
        <v>1.1000000000000001</v>
      </c>
      <c r="AI37" s="16">
        <f>'User Data'!EZ32</f>
        <v>2.68</v>
      </c>
      <c r="AJ37" s="742">
        <f>'User Data'!FA32</f>
        <v>0.79</v>
      </c>
      <c r="AK37" s="742">
        <f>'User Data'!FB32</f>
        <v>0</v>
      </c>
      <c r="AL37" s="742">
        <f>'User Data'!FC32</f>
        <v>2.82</v>
      </c>
      <c r="AM37" s="742">
        <f>'User Data'!FD32</f>
        <v>30.07</v>
      </c>
      <c r="AN37" s="742">
        <f>'User Data'!FE32</f>
        <v>0.14000000000000001</v>
      </c>
      <c r="AO37" s="742">
        <f>'User Data'!FF32</f>
        <v>0.12</v>
      </c>
      <c r="AP37" s="742">
        <f>'User Data'!FH32</f>
        <v>5.01</v>
      </c>
      <c r="AQ37" s="742">
        <f>'User Data'!FI32</f>
        <v>0</v>
      </c>
      <c r="AR37" s="742"/>
      <c r="AS37" s="18"/>
      <c r="AT37" s="19">
        <f>'1940-IV - EP DI'!P34</f>
        <v>6</v>
      </c>
      <c r="AU37" s="19">
        <f>'1940-III - CFE Turb.'!P32</f>
        <v>6</v>
      </c>
      <c r="AV37" s="19">
        <f t="shared" si="14"/>
        <v>0</v>
      </c>
      <c r="AW37" s="19">
        <f t="shared" si="15"/>
        <v>0</v>
      </c>
    </row>
    <row r="38" spans="1:49" ht="9.6999999999999993" customHeight="1" x14ac:dyDescent="0.35">
      <c r="A38" s="1100">
        <v>23</v>
      </c>
      <c r="B38" s="8">
        <f>'User Data'!DU33</f>
        <v>22.45</v>
      </c>
      <c r="C38" s="8">
        <f>'User Data'!DV33</f>
        <v>19.14</v>
      </c>
      <c r="D38" s="8">
        <f>'User Data'!DW33</f>
        <v>19</v>
      </c>
      <c r="E38" s="8">
        <f>'User Data'!DX33</f>
        <v>17.48</v>
      </c>
      <c r="F38" s="9">
        <f>'User Data'!DY33</f>
        <v>24</v>
      </c>
      <c r="G38" s="10">
        <f>'User Data'!DY33</f>
        <v>24</v>
      </c>
      <c r="H38" s="11">
        <f>'User Data'!AV29</f>
        <v>2.1444917929292928</v>
      </c>
      <c r="I38" s="12">
        <f>MAX('User Data'!AX29:BM29)</f>
        <v>96</v>
      </c>
      <c r="J38" s="13">
        <f>'User Data'!ED33</f>
        <v>10</v>
      </c>
      <c r="K38" s="13">
        <f>'User Data'!EE33</f>
        <v>3</v>
      </c>
      <c r="L38" s="14">
        <f>'User Data'!EG33</f>
        <v>750</v>
      </c>
      <c r="M38" s="689"/>
      <c r="N38" s="15"/>
      <c r="O38" s="299">
        <f t="shared" si="2"/>
        <v>9789.9607079999987</v>
      </c>
      <c r="P38" s="295">
        <f t="shared" si="3"/>
        <v>1291.3872839999999</v>
      </c>
      <c r="Q38" s="295">
        <f t="shared" si="4"/>
        <v>1825.4592</v>
      </c>
      <c r="R38" s="295">
        <f t="shared" si="5"/>
        <v>169.20525600000002</v>
      </c>
      <c r="S38" s="730">
        <f t="shared" si="6"/>
        <v>427.84200000000004</v>
      </c>
      <c r="T38" s="750">
        <f>'User Data'!EM33</f>
        <v>614</v>
      </c>
      <c r="U38" s="730">
        <f t="shared" si="7"/>
        <v>0</v>
      </c>
      <c r="V38" s="730">
        <f t="shared" si="8"/>
        <v>451.61099999999999</v>
      </c>
      <c r="W38" s="730">
        <f t="shared" si="9"/>
        <v>4807.9833120000003</v>
      </c>
      <c r="X38" s="730">
        <f t="shared" si="10"/>
        <v>20.751587999999998</v>
      </c>
      <c r="Y38" s="730">
        <f t="shared" si="11"/>
        <v>17.559035999999999</v>
      </c>
      <c r="Z38" s="730">
        <f t="shared" si="12"/>
        <v>796.54172400000004</v>
      </c>
      <c r="AA38" s="730">
        <f t="shared" si="13"/>
        <v>0</v>
      </c>
      <c r="AB38" s="721"/>
      <c r="AC38" s="300"/>
      <c r="AD38" s="16"/>
      <c r="AE38" s="714">
        <f>'User Data'!EV33</f>
        <v>61.33</v>
      </c>
      <c r="AF38" s="17">
        <f>'User Data'!EW33</f>
        <v>8.09</v>
      </c>
      <c r="AG38" s="17">
        <f>'User Data'!EX33</f>
        <v>11.52</v>
      </c>
      <c r="AH38" s="17">
        <f>'User Data'!EY33</f>
        <v>1.06</v>
      </c>
      <c r="AI38" s="16">
        <f>'User Data'!EZ33</f>
        <v>2.7</v>
      </c>
      <c r="AJ38" s="742">
        <f>'User Data'!FA33</f>
        <v>0.81</v>
      </c>
      <c r="AK38" s="742">
        <f>'User Data'!FB33</f>
        <v>0</v>
      </c>
      <c r="AL38" s="742">
        <f>'User Data'!FC33</f>
        <v>2.85</v>
      </c>
      <c r="AM38" s="742">
        <f>'User Data'!FD33</f>
        <v>30.12</v>
      </c>
      <c r="AN38" s="742">
        <f>'User Data'!FE33</f>
        <v>0.13</v>
      </c>
      <c r="AO38" s="742">
        <f>'User Data'!FF33</f>
        <v>0.11</v>
      </c>
      <c r="AP38" s="742">
        <f>'User Data'!FH33</f>
        <v>4.99</v>
      </c>
      <c r="AQ38" s="742">
        <f>'User Data'!FI33</f>
        <v>0</v>
      </c>
      <c r="AR38" s="742"/>
      <c r="AS38" s="18"/>
      <c r="AT38" s="19">
        <f>'1940-IV - EP DI'!P35</f>
        <v>6</v>
      </c>
      <c r="AU38" s="19">
        <f>'1940-III - CFE Turb.'!P33</f>
        <v>6</v>
      </c>
      <c r="AV38" s="19">
        <f t="shared" si="14"/>
        <v>0</v>
      </c>
      <c r="AW38" s="19">
        <f t="shared" si="15"/>
        <v>0</v>
      </c>
    </row>
    <row r="39" spans="1:49" ht="9.6999999999999993" customHeight="1" x14ac:dyDescent="0.35">
      <c r="A39" s="1100">
        <v>24</v>
      </c>
      <c r="B39" s="8">
        <f>'User Data'!DU34</f>
        <v>23.13</v>
      </c>
      <c r="C39" s="8">
        <f>'User Data'!DV34</f>
        <v>20.079999999999998</v>
      </c>
      <c r="D39" s="8">
        <f>'User Data'!DW34</f>
        <v>19.940000000000001</v>
      </c>
      <c r="E39" s="8">
        <f>'User Data'!DX34</f>
        <v>18.14</v>
      </c>
      <c r="F39" s="9">
        <f>'User Data'!DY34</f>
        <v>24</v>
      </c>
      <c r="G39" s="10">
        <f>'User Data'!DY34</f>
        <v>24</v>
      </c>
      <c r="H39" s="11">
        <f>'User Data'!AV30</f>
        <v>2.207623106060606</v>
      </c>
      <c r="I39" s="12">
        <f>MAX('User Data'!AX30:BM30)</f>
        <v>96.5</v>
      </c>
      <c r="J39" s="13">
        <f>'User Data'!ED34</f>
        <v>10</v>
      </c>
      <c r="K39" s="13">
        <f>'User Data'!EE34</f>
        <v>2</v>
      </c>
      <c r="L39" s="14">
        <f>'User Data'!EG34</f>
        <v>490</v>
      </c>
      <c r="M39" s="689"/>
      <c r="N39" s="15"/>
      <c r="O39" s="299">
        <f t="shared" si="2"/>
        <v>10150.186991999999</v>
      </c>
      <c r="P39" s="295">
        <f t="shared" si="3"/>
        <v>1430.1698879999999</v>
      </c>
      <c r="Q39" s="295">
        <f t="shared" si="4"/>
        <v>2052.137064</v>
      </c>
      <c r="R39" s="295">
        <f t="shared" si="5"/>
        <v>182.53924799999999</v>
      </c>
      <c r="S39" s="730">
        <f t="shared" si="6"/>
        <v>477.27985200000006</v>
      </c>
      <c r="T39" s="750">
        <f>'User Data'!EM34</f>
        <v>635</v>
      </c>
      <c r="U39" s="730">
        <f t="shared" si="7"/>
        <v>0</v>
      </c>
      <c r="V39" s="730">
        <f t="shared" si="8"/>
        <v>465.63887999999997</v>
      </c>
      <c r="W39" s="730">
        <f t="shared" si="9"/>
        <v>5030.7146879999991</v>
      </c>
      <c r="X39" s="730">
        <f t="shared" si="10"/>
        <v>23.445408</v>
      </c>
      <c r="Y39" s="730">
        <f t="shared" si="11"/>
        <v>20.096063999999998</v>
      </c>
      <c r="Z39" s="730">
        <f t="shared" si="12"/>
        <v>837.3359999999999</v>
      </c>
      <c r="AA39" s="730">
        <f t="shared" si="13"/>
        <v>0</v>
      </c>
      <c r="AB39" s="721"/>
      <c r="AC39" s="300"/>
      <c r="AD39" s="16"/>
      <c r="AE39" s="714">
        <f>'User Data'!EV34</f>
        <v>60.61</v>
      </c>
      <c r="AF39" s="17">
        <f>'User Data'!EW34</f>
        <v>8.5399999999999991</v>
      </c>
      <c r="AG39" s="17">
        <f>'User Data'!EX34</f>
        <v>12.34</v>
      </c>
      <c r="AH39" s="17">
        <f>'User Data'!EY34</f>
        <v>1.0900000000000001</v>
      </c>
      <c r="AI39" s="16">
        <f>'User Data'!EZ34</f>
        <v>2.87</v>
      </c>
      <c r="AJ39" s="742">
        <f>'User Data'!FA34</f>
        <v>0.76</v>
      </c>
      <c r="AK39" s="742">
        <f>'User Data'!FB34</f>
        <v>0</v>
      </c>
      <c r="AL39" s="742">
        <f>'User Data'!FC34</f>
        <v>2.8</v>
      </c>
      <c r="AM39" s="742">
        <f>'User Data'!FD34</f>
        <v>30.04</v>
      </c>
      <c r="AN39" s="742">
        <f>'User Data'!FE34</f>
        <v>0.14000000000000001</v>
      </c>
      <c r="AO39" s="742">
        <f>'User Data'!FF34</f>
        <v>0.12</v>
      </c>
      <c r="AP39" s="742">
        <f>'User Data'!FH34</f>
        <v>5</v>
      </c>
      <c r="AQ39" s="742">
        <f>'User Data'!FI34</f>
        <v>0</v>
      </c>
      <c r="AR39" s="742"/>
      <c r="AS39" s="18"/>
      <c r="AT39" s="19">
        <f>'1940-IV - EP DI'!P36</f>
        <v>6</v>
      </c>
      <c r="AU39" s="19">
        <f>'1940-III - CFE Turb.'!P34</f>
        <v>6</v>
      </c>
      <c r="AV39" s="19">
        <f t="shared" si="14"/>
        <v>0</v>
      </c>
      <c r="AW39" s="19">
        <f t="shared" si="15"/>
        <v>0</v>
      </c>
    </row>
    <row r="40" spans="1:49" ht="9.6999999999999993" customHeight="1" x14ac:dyDescent="0.35">
      <c r="A40" s="1100">
        <v>25</v>
      </c>
      <c r="B40" s="8">
        <f>'User Data'!DU35</f>
        <v>23.92</v>
      </c>
      <c r="C40" s="8">
        <f>'User Data'!DV35</f>
        <v>21.3</v>
      </c>
      <c r="D40" s="8">
        <f>'User Data'!DW35</f>
        <v>21.18</v>
      </c>
      <c r="E40" s="8">
        <f>'User Data'!DX35</f>
        <v>18.239999999999998</v>
      </c>
      <c r="F40" s="9">
        <f>'User Data'!DY35</f>
        <v>24</v>
      </c>
      <c r="G40" s="10">
        <f>'User Data'!DY35</f>
        <v>24</v>
      </c>
      <c r="H40" s="11">
        <f>'User Data'!AV31</f>
        <v>2.1405460858585861</v>
      </c>
      <c r="I40" s="12">
        <f>MAX('User Data'!AX31:BM31)</f>
        <v>96</v>
      </c>
      <c r="J40" s="13">
        <f>'User Data'!ED35</f>
        <v>10</v>
      </c>
      <c r="K40" s="13">
        <f>'User Data'!EE35</f>
        <v>3</v>
      </c>
      <c r="L40" s="14">
        <f>'User Data'!EG35</f>
        <v>720</v>
      </c>
      <c r="M40" s="689"/>
      <c r="N40" s="15"/>
      <c r="O40" s="299">
        <f t="shared" si="2"/>
        <v>11120.389200000001</v>
      </c>
      <c r="P40" s="295">
        <f t="shared" si="3"/>
        <v>1724.9038200000002</v>
      </c>
      <c r="Q40" s="295">
        <f t="shared" si="4"/>
        <v>2075.5340999999999</v>
      </c>
      <c r="R40" s="295">
        <f t="shared" si="5"/>
        <v>184.74768</v>
      </c>
      <c r="S40" s="730">
        <f t="shared" si="6"/>
        <v>469.86559199999999</v>
      </c>
      <c r="T40" s="750">
        <f>'User Data'!EM35</f>
        <v>673</v>
      </c>
      <c r="U40" s="730">
        <f t="shared" si="7"/>
        <v>0</v>
      </c>
      <c r="V40" s="730">
        <f t="shared" si="8"/>
        <v>531.69001199999991</v>
      </c>
      <c r="W40" s="730">
        <f t="shared" si="9"/>
        <v>5334.5892599999997</v>
      </c>
      <c r="X40" s="730">
        <f t="shared" si="10"/>
        <v>23.09346</v>
      </c>
      <c r="Y40" s="730">
        <f t="shared" si="11"/>
        <v>26.646299999999997</v>
      </c>
      <c r="Z40" s="730">
        <f t="shared" si="12"/>
        <v>916.63271999999995</v>
      </c>
      <c r="AA40" s="730">
        <f t="shared" si="13"/>
        <v>0</v>
      </c>
      <c r="AB40" s="721"/>
      <c r="AC40" s="300"/>
      <c r="AD40" s="16"/>
      <c r="AE40" s="714">
        <f>'User Data'!EV35</f>
        <v>62.6</v>
      </c>
      <c r="AF40" s="17">
        <f>'User Data'!EW35</f>
        <v>9.7100000000000009</v>
      </c>
      <c r="AG40" s="17">
        <f>'User Data'!EX35</f>
        <v>11.75</v>
      </c>
      <c r="AH40" s="17">
        <f>'User Data'!EY35</f>
        <v>1.04</v>
      </c>
      <c r="AI40" s="16">
        <f>'User Data'!EZ35</f>
        <v>2.66</v>
      </c>
      <c r="AJ40" s="742">
        <f>'User Data'!FA35</f>
        <v>0.81</v>
      </c>
      <c r="AK40" s="742">
        <f>'User Data'!FB35</f>
        <v>0</v>
      </c>
      <c r="AL40" s="742">
        <f>'User Data'!FC35</f>
        <v>3.01</v>
      </c>
      <c r="AM40" s="742">
        <f>'User Data'!FD35</f>
        <v>30.03</v>
      </c>
      <c r="AN40" s="742">
        <f>'User Data'!FE35</f>
        <v>0.13</v>
      </c>
      <c r="AO40" s="742">
        <f>'User Data'!FF35</f>
        <v>0.15</v>
      </c>
      <c r="AP40" s="742">
        <f>'User Data'!FH35</f>
        <v>5.16</v>
      </c>
      <c r="AQ40" s="742">
        <f>'User Data'!FI35</f>
        <v>0</v>
      </c>
      <c r="AR40" s="742"/>
      <c r="AS40" s="18"/>
      <c r="AT40" s="19">
        <f>'1940-IV - EP DI'!P37</f>
        <v>6</v>
      </c>
      <c r="AU40" s="19">
        <f>'1940-III - CFE Turb.'!P35</f>
        <v>6</v>
      </c>
      <c r="AV40" s="19">
        <f t="shared" si="14"/>
        <v>0</v>
      </c>
      <c r="AW40" s="19">
        <f t="shared" si="15"/>
        <v>0</v>
      </c>
    </row>
    <row r="41" spans="1:49" ht="9.6999999999999993" customHeight="1" x14ac:dyDescent="0.35">
      <c r="A41" s="1100">
        <v>26</v>
      </c>
      <c r="B41" s="8">
        <f>'User Data'!DU36</f>
        <v>22.8</v>
      </c>
      <c r="C41" s="8">
        <f>'User Data'!DV36</f>
        <v>19.21</v>
      </c>
      <c r="D41" s="8">
        <f>'User Data'!DW36</f>
        <v>19.07</v>
      </c>
      <c r="E41" s="8">
        <f>'User Data'!DX36</f>
        <v>17.22</v>
      </c>
      <c r="F41" s="9">
        <f>'User Data'!DY36</f>
        <v>24</v>
      </c>
      <c r="G41" s="10">
        <f>'User Data'!DY36</f>
        <v>24</v>
      </c>
      <c r="H41" s="11">
        <f>'User Data'!AV32</f>
        <v>2.1750710227272725</v>
      </c>
      <c r="I41" s="12">
        <f>MAX('User Data'!AX32:BM32)</f>
        <v>92</v>
      </c>
      <c r="J41" s="13">
        <f>'User Data'!ED36</f>
        <v>10</v>
      </c>
      <c r="K41" s="13">
        <f>'User Data'!EE36</f>
        <v>3</v>
      </c>
      <c r="L41" s="14">
        <f>'User Data'!EG36</f>
        <v>730</v>
      </c>
      <c r="M41" s="689"/>
      <c r="N41" s="15"/>
      <c r="O41" s="299">
        <f t="shared" si="2"/>
        <v>9659.1453060000003</v>
      </c>
      <c r="P41" s="295">
        <f t="shared" si="3"/>
        <v>1534.825212</v>
      </c>
      <c r="Q41" s="295">
        <f t="shared" si="4"/>
        <v>1902.1638480000001</v>
      </c>
      <c r="R41" s="295">
        <f t="shared" si="5"/>
        <v>161.813514</v>
      </c>
      <c r="S41" s="730">
        <f t="shared" si="6"/>
        <v>416.69475599999998</v>
      </c>
      <c r="T41" s="750">
        <f>'User Data'!EM36</f>
        <v>571</v>
      </c>
      <c r="U41" s="730">
        <f t="shared" si="7"/>
        <v>0</v>
      </c>
      <c r="V41" s="730">
        <f t="shared" si="8"/>
        <v>470.76964800000002</v>
      </c>
      <c r="W41" s="730">
        <f t="shared" si="9"/>
        <v>4508.3487960000002</v>
      </c>
      <c r="X41" s="730">
        <f t="shared" si="10"/>
        <v>20.827482</v>
      </c>
      <c r="Y41" s="730">
        <f t="shared" si="11"/>
        <v>19.225368</v>
      </c>
      <c r="Z41" s="730">
        <f t="shared" si="12"/>
        <v>762.60626400000001</v>
      </c>
      <c r="AA41" s="730">
        <f t="shared" si="13"/>
        <v>0</v>
      </c>
      <c r="AB41" s="721"/>
      <c r="AC41" s="300"/>
      <c r="AD41" s="16"/>
      <c r="AE41" s="714">
        <f>'User Data'!EV36</f>
        <v>60.29</v>
      </c>
      <c r="AF41" s="17">
        <f>'User Data'!EW36</f>
        <v>9.58</v>
      </c>
      <c r="AG41" s="17">
        <f>'User Data'!EX36</f>
        <v>11.96</v>
      </c>
      <c r="AH41" s="17">
        <f>'User Data'!EY36</f>
        <v>1.01</v>
      </c>
      <c r="AI41" s="16">
        <f>'User Data'!EZ36</f>
        <v>2.62</v>
      </c>
      <c r="AJ41" s="742">
        <f>'User Data'!FA36</f>
        <v>0.82</v>
      </c>
      <c r="AK41" s="742">
        <f>'User Data'!FB36</f>
        <v>0</v>
      </c>
      <c r="AL41" s="742">
        <f>'User Data'!FC36</f>
        <v>2.96</v>
      </c>
      <c r="AM41" s="742">
        <f>'User Data'!FD36</f>
        <v>28.14</v>
      </c>
      <c r="AN41" s="742">
        <f>'User Data'!FE36</f>
        <v>0.13</v>
      </c>
      <c r="AO41" s="742">
        <f>'User Data'!FF36</f>
        <v>0.12</v>
      </c>
      <c r="AP41" s="742">
        <f>'User Data'!FH36</f>
        <v>4.76</v>
      </c>
      <c r="AQ41" s="742">
        <f>'User Data'!FI36</f>
        <v>0</v>
      </c>
      <c r="AR41" s="742"/>
      <c r="AS41" s="18"/>
      <c r="AT41" s="19">
        <f>'1940-IV - EP DI'!P38</f>
        <v>6</v>
      </c>
      <c r="AU41" s="19">
        <f>'1940-III - CFE Turb.'!P36</f>
        <v>6</v>
      </c>
      <c r="AV41" s="19">
        <f t="shared" si="14"/>
        <v>0</v>
      </c>
      <c r="AW41" s="19">
        <f t="shared" si="15"/>
        <v>0</v>
      </c>
    </row>
    <row r="42" spans="1:49" ht="9.6999999999999993" customHeight="1" x14ac:dyDescent="0.35">
      <c r="A42" s="1100">
        <v>27</v>
      </c>
      <c r="B42" s="8">
        <f>'User Data'!DU37</f>
        <v>23.62</v>
      </c>
      <c r="C42" s="8">
        <f>'User Data'!DV37</f>
        <v>20.53</v>
      </c>
      <c r="D42" s="8">
        <f>'User Data'!DW37</f>
        <v>20.57</v>
      </c>
      <c r="E42" s="8">
        <f>'User Data'!DX37</f>
        <v>19.010000000000002</v>
      </c>
      <c r="F42" s="9">
        <f>'User Data'!DY37</f>
        <v>24</v>
      </c>
      <c r="G42" s="10">
        <f>'User Data'!DY37</f>
        <v>24</v>
      </c>
      <c r="H42" s="11">
        <f>'User Data'!AV33</f>
        <v>2.3398042929292928</v>
      </c>
      <c r="I42" s="12">
        <f>MAX('User Data'!AX33:BM33)</f>
        <v>97</v>
      </c>
      <c r="J42" s="13">
        <f>'User Data'!ED37</f>
        <v>10</v>
      </c>
      <c r="K42" s="13">
        <f>'User Data'!EE37</f>
        <v>2</v>
      </c>
      <c r="L42" s="14">
        <f>'User Data'!EG37</f>
        <v>500</v>
      </c>
      <c r="M42" s="689"/>
      <c r="N42" s="15"/>
      <c r="O42" s="299">
        <f t="shared" si="2"/>
        <v>10175.616485999999</v>
      </c>
      <c r="P42" s="295">
        <f t="shared" si="3"/>
        <v>1595.7722640000002</v>
      </c>
      <c r="Q42" s="295">
        <f t="shared" si="4"/>
        <v>2043.2057579999998</v>
      </c>
      <c r="R42" s="295">
        <f t="shared" si="5"/>
        <v>198.61543199999997</v>
      </c>
      <c r="S42" s="730">
        <f t="shared" si="6"/>
        <v>533.53231799999992</v>
      </c>
      <c r="T42" s="750">
        <f>'User Data'!EM37</f>
        <v>645</v>
      </c>
      <c r="U42" s="730">
        <f t="shared" si="7"/>
        <v>0</v>
      </c>
      <c r="V42" s="730">
        <f t="shared" si="8"/>
        <v>533.53231799999992</v>
      </c>
      <c r="W42" s="730">
        <f t="shared" si="9"/>
        <v>5145.1670100000001</v>
      </c>
      <c r="X42" s="730">
        <f t="shared" si="10"/>
        <v>23.970828000000004</v>
      </c>
      <c r="Y42" s="730">
        <f t="shared" si="11"/>
        <v>20.546423999999998</v>
      </c>
      <c r="Z42" s="730">
        <f t="shared" si="12"/>
        <v>852.67659600000013</v>
      </c>
      <c r="AA42" s="730">
        <f t="shared" si="13"/>
        <v>0</v>
      </c>
      <c r="AB42" s="721"/>
      <c r="AC42" s="300"/>
      <c r="AD42" s="16"/>
      <c r="AE42" s="714">
        <f>'User Data'!EV37</f>
        <v>59.43</v>
      </c>
      <c r="AF42" s="17">
        <f>'User Data'!EW37</f>
        <v>9.32</v>
      </c>
      <c r="AG42" s="17">
        <f>'User Data'!EX37</f>
        <v>11.91</v>
      </c>
      <c r="AH42" s="17">
        <f>'User Data'!EY37</f>
        <v>1.1599999999999999</v>
      </c>
      <c r="AI42" s="16">
        <f>'User Data'!EZ37</f>
        <v>3.11</v>
      </c>
      <c r="AJ42" s="742">
        <f>'User Data'!FA37</f>
        <v>0.83</v>
      </c>
      <c r="AK42" s="742">
        <f>'User Data'!FB37</f>
        <v>0</v>
      </c>
      <c r="AL42" s="742">
        <f>'User Data'!FC37</f>
        <v>3.11</v>
      </c>
      <c r="AM42" s="742">
        <f>'User Data'!FD37</f>
        <v>30.05</v>
      </c>
      <c r="AN42" s="742">
        <f>'User Data'!FE37</f>
        <v>0.14000000000000001</v>
      </c>
      <c r="AO42" s="742">
        <f>'User Data'!FF37</f>
        <v>0.12</v>
      </c>
      <c r="AP42" s="742">
        <f>'User Data'!FH37</f>
        <v>4.9800000000000004</v>
      </c>
      <c r="AQ42" s="742">
        <f>'User Data'!FI37</f>
        <v>0</v>
      </c>
      <c r="AR42" s="742"/>
      <c r="AS42" s="18"/>
      <c r="AT42" s="19">
        <f>'1940-IV - EP DI'!P39</f>
        <v>6</v>
      </c>
      <c r="AU42" s="19">
        <f>'1940-III - CFE Turb.'!P37</f>
        <v>6</v>
      </c>
      <c r="AV42" s="19">
        <f t="shared" si="14"/>
        <v>0</v>
      </c>
      <c r="AW42" s="19">
        <f t="shared" si="15"/>
        <v>0</v>
      </c>
    </row>
    <row r="43" spans="1:49" ht="9.6999999999999993" customHeight="1" x14ac:dyDescent="0.35">
      <c r="A43" s="1100">
        <v>28</v>
      </c>
      <c r="B43" s="8">
        <f>'User Data'!DU38</f>
        <v>24.54</v>
      </c>
      <c r="C43" s="8">
        <f>'User Data'!DV38</f>
        <v>21.52</v>
      </c>
      <c r="D43" s="8">
        <f>'User Data'!DW38</f>
        <v>21.15</v>
      </c>
      <c r="E43" s="8">
        <f>'User Data'!DX38</f>
        <v>19.12</v>
      </c>
      <c r="F43" s="9">
        <f>'User Data'!DY38</f>
        <v>24</v>
      </c>
      <c r="G43" s="10">
        <f>'User Data'!DY38</f>
        <v>24</v>
      </c>
      <c r="H43" s="11">
        <f>'User Data'!AV34</f>
        <v>2.5094696969696968</v>
      </c>
      <c r="I43" s="12">
        <f>MAX('User Data'!AX34:BM34)</f>
        <v>97</v>
      </c>
      <c r="J43" s="13">
        <f>'User Data'!ED38</f>
        <v>10</v>
      </c>
      <c r="K43" s="13">
        <f>'User Data'!EE38</f>
        <v>2</v>
      </c>
      <c r="L43" s="14">
        <f>'User Data'!EG38</f>
        <v>490</v>
      </c>
      <c r="M43" s="689"/>
      <c r="N43" s="15"/>
      <c r="O43" s="299">
        <f t="shared" si="2"/>
        <v>11181.404639999999</v>
      </c>
      <c r="P43" s="295">
        <f t="shared" si="3"/>
        <v>1791.1784639999998</v>
      </c>
      <c r="Q43" s="295">
        <f t="shared" si="4"/>
        <v>2130.8032800000001</v>
      </c>
      <c r="R43" s="295">
        <f t="shared" si="5"/>
        <v>195.62971200000001</v>
      </c>
      <c r="S43" s="730">
        <f t="shared" si="6"/>
        <v>539.75645999999995</v>
      </c>
      <c r="T43" s="750">
        <f>'User Data'!EM38</f>
        <v>685</v>
      </c>
      <c r="U43" s="730">
        <f t="shared" si="7"/>
        <v>0</v>
      </c>
      <c r="V43" s="730">
        <f t="shared" si="8"/>
        <v>481.54742999999991</v>
      </c>
      <c r="W43" s="730">
        <f t="shared" si="9"/>
        <v>5416.6098240000001</v>
      </c>
      <c r="X43" s="730">
        <f t="shared" si="10"/>
        <v>25.126752000000003</v>
      </c>
      <c r="Y43" s="730">
        <f t="shared" si="11"/>
        <v>21.537215999999997</v>
      </c>
      <c r="Z43" s="730">
        <f t="shared" si="12"/>
        <v>906.3578399999999</v>
      </c>
      <c r="AA43" s="730">
        <f t="shared" si="13"/>
        <v>0</v>
      </c>
      <c r="AB43" s="721"/>
      <c r="AC43" s="300"/>
      <c r="AD43" s="16"/>
      <c r="AE43" s="714">
        <f>'User Data'!EV38</f>
        <v>62.3</v>
      </c>
      <c r="AF43" s="17">
        <f>'User Data'!EW38</f>
        <v>9.98</v>
      </c>
      <c r="AG43" s="17">
        <f>'User Data'!EX38</f>
        <v>12.08</v>
      </c>
      <c r="AH43" s="17">
        <f>'User Data'!EY38</f>
        <v>1.0900000000000001</v>
      </c>
      <c r="AI43" s="16">
        <f>'User Data'!EZ38</f>
        <v>3.06</v>
      </c>
      <c r="AJ43" s="742">
        <f>'User Data'!FA38</f>
        <v>0.79</v>
      </c>
      <c r="AK43" s="742">
        <f>'User Data'!FB38</f>
        <v>0</v>
      </c>
      <c r="AL43" s="742">
        <f>'User Data'!FC38</f>
        <v>2.73</v>
      </c>
      <c r="AM43" s="742">
        <f>'User Data'!FD38</f>
        <v>30.18</v>
      </c>
      <c r="AN43" s="742">
        <f>'User Data'!FE38</f>
        <v>0.14000000000000001</v>
      </c>
      <c r="AO43" s="742">
        <f>'User Data'!FF38</f>
        <v>0.12</v>
      </c>
      <c r="AP43" s="742">
        <f>'User Data'!FH38</f>
        <v>5.05</v>
      </c>
      <c r="AQ43" s="742">
        <f>'User Data'!FI38</f>
        <v>0</v>
      </c>
      <c r="AR43" s="742"/>
      <c r="AS43" s="18"/>
      <c r="AT43" s="19">
        <f>'1940-IV - EP DI'!P40</f>
        <v>6</v>
      </c>
      <c r="AU43" s="19">
        <f>'1940-III - CFE Turb.'!P38</f>
        <v>6</v>
      </c>
      <c r="AV43" s="19">
        <f t="shared" si="14"/>
        <v>0</v>
      </c>
      <c r="AW43" s="19">
        <f t="shared" si="15"/>
        <v>0</v>
      </c>
    </row>
    <row r="44" spans="1:49" ht="9.6999999999999993" customHeight="1" x14ac:dyDescent="0.35">
      <c r="A44" s="1100">
        <v>29</v>
      </c>
      <c r="B44" s="8">
        <f>'User Data'!DU39</f>
        <v>23.38</v>
      </c>
      <c r="C44" s="8">
        <f>'User Data'!DV39</f>
        <v>20.309999999999999</v>
      </c>
      <c r="D44" s="8">
        <f>'User Data'!DW39</f>
        <v>20.12</v>
      </c>
      <c r="E44" s="8">
        <f>'User Data'!DX39</f>
        <v>18.11</v>
      </c>
      <c r="F44" s="9">
        <f>'User Data'!DY39</f>
        <v>24</v>
      </c>
      <c r="G44" s="10">
        <f>'User Data'!DY39</f>
        <v>24</v>
      </c>
      <c r="H44" s="11">
        <f>'User Data'!AV35</f>
        <v>2.1681660353535355</v>
      </c>
      <c r="I44" s="12">
        <f>MAX('User Data'!AX35:BM35)</f>
        <v>97</v>
      </c>
      <c r="J44" s="13">
        <f>'User Data'!ED39</f>
        <v>10</v>
      </c>
      <c r="K44" s="13">
        <f>'User Data'!EE39</f>
        <v>3</v>
      </c>
      <c r="L44" s="14">
        <f>'User Data'!EG39</f>
        <v>730</v>
      </c>
      <c r="M44" s="689"/>
      <c r="N44" s="15"/>
      <c r="O44" s="299">
        <f t="shared" si="2"/>
        <v>10510.364069999998</v>
      </c>
      <c r="P44" s="295">
        <f t="shared" si="3"/>
        <v>1719.26181</v>
      </c>
      <c r="Q44" s="295">
        <f t="shared" si="4"/>
        <v>1975.015416</v>
      </c>
      <c r="R44" s="295">
        <f t="shared" si="5"/>
        <v>184.63008600000001</v>
      </c>
      <c r="S44" s="730">
        <f t="shared" si="6"/>
        <v>422.85801600000002</v>
      </c>
      <c r="T44" s="750">
        <f>'User Data'!EM39</f>
        <v>647</v>
      </c>
      <c r="U44" s="730">
        <f t="shared" si="7"/>
        <v>0</v>
      </c>
      <c r="V44" s="730">
        <f t="shared" si="8"/>
        <v>503.4024</v>
      </c>
      <c r="W44" s="730">
        <f t="shared" si="9"/>
        <v>5110.3575179999998</v>
      </c>
      <c r="X44" s="730">
        <f t="shared" si="10"/>
        <v>22.020101999999998</v>
      </c>
      <c r="Y44" s="730">
        <f t="shared" si="11"/>
        <v>18.632393999999998</v>
      </c>
      <c r="Z44" s="730">
        <f t="shared" si="12"/>
        <v>838.45772999999997</v>
      </c>
      <c r="AA44" s="730">
        <f t="shared" si="13"/>
        <v>0</v>
      </c>
      <c r="AB44" s="721"/>
      <c r="AC44" s="300"/>
      <c r="AD44" s="16"/>
      <c r="AE44" s="714">
        <f>'User Data'!EV39</f>
        <v>62.05</v>
      </c>
      <c r="AF44" s="17">
        <f>'User Data'!EW39</f>
        <v>10.15</v>
      </c>
      <c r="AG44" s="17">
        <f>'User Data'!EX39</f>
        <v>11.77</v>
      </c>
      <c r="AH44" s="17">
        <f>'User Data'!EY39</f>
        <v>1.0900000000000001</v>
      </c>
      <c r="AI44" s="16">
        <f>'User Data'!EZ39</f>
        <v>2.52</v>
      </c>
      <c r="AJ44" s="742">
        <f>'User Data'!FA39</f>
        <v>0.78</v>
      </c>
      <c r="AK44" s="742">
        <f>'User Data'!FB39</f>
        <v>0</v>
      </c>
      <c r="AL44" s="742">
        <f>'User Data'!FC39</f>
        <v>3</v>
      </c>
      <c r="AM44" s="742">
        <f>'User Data'!FD39</f>
        <v>30.17</v>
      </c>
      <c r="AN44" s="742">
        <f>'User Data'!FE39</f>
        <v>0.13</v>
      </c>
      <c r="AO44" s="742">
        <f>'User Data'!FF39</f>
        <v>0.11</v>
      </c>
      <c r="AP44" s="742">
        <f>'User Data'!FH39</f>
        <v>4.95</v>
      </c>
      <c r="AQ44" s="742">
        <f>'User Data'!FI39</f>
        <v>0</v>
      </c>
      <c r="AR44" s="742"/>
      <c r="AS44" s="18"/>
      <c r="AT44" s="19">
        <f>'1940-IV - EP DI'!P41</f>
        <v>6</v>
      </c>
      <c r="AU44" s="19">
        <f>'1940-III - CFE Turb.'!P39</f>
        <v>6</v>
      </c>
      <c r="AV44" s="19">
        <f t="shared" si="14"/>
        <v>0</v>
      </c>
      <c r="AW44" s="19">
        <f t="shared" si="15"/>
        <v>0</v>
      </c>
    </row>
    <row r="45" spans="1:49" ht="9.6999999999999993" customHeight="1" x14ac:dyDescent="0.35">
      <c r="A45" s="1100">
        <v>30</v>
      </c>
      <c r="B45" s="8">
        <f>'User Data'!DU40</f>
        <v>23.51</v>
      </c>
      <c r="C45" s="8">
        <f>'User Data'!DV40</f>
        <v>20.45</v>
      </c>
      <c r="D45" s="8">
        <f>'User Data'!DW40</f>
        <v>20.37</v>
      </c>
      <c r="E45" s="8">
        <f>'User Data'!DX40</f>
        <v>17.14</v>
      </c>
      <c r="F45" s="9">
        <f>'User Data'!DY40</f>
        <v>24</v>
      </c>
      <c r="G45" s="10">
        <f>'User Data'!DY40</f>
        <v>24</v>
      </c>
      <c r="H45" s="11">
        <f>'User Data'!AV36</f>
        <v>2.1346275252525255</v>
      </c>
      <c r="I45" s="12">
        <f>MAX('User Data'!AX36:BM36)</f>
        <v>96</v>
      </c>
      <c r="J45" s="13">
        <f>'User Data'!ED40</f>
        <v>10</v>
      </c>
      <c r="K45" s="13">
        <f>'User Data'!EE40</f>
        <v>3</v>
      </c>
      <c r="L45" s="14">
        <f>'User Data'!EG40</f>
        <v>800</v>
      </c>
      <c r="M45" s="689"/>
      <c r="N45" s="15"/>
      <c r="O45" s="299">
        <f t="shared" si="2"/>
        <v>10333.806269999999</v>
      </c>
      <c r="P45" s="295">
        <f t="shared" si="3"/>
        <v>1717.4687099999999</v>
      </c>
      <c r="Q45" s="295">
        <f t="shared" si="4"/>
        <v>2057.3170380000001</v>
      </c>
      <c r="R45" s="295">
        <f t="shared" si="5"/>
        <v>170.553</v>
      </c>
      <c r="S45" s="730">
        <f t="shared" si="6"/>
        <v>458.69166000000007</v>
      </c>
      <c r="T45" s="750">
        <f>'User Data'!EM40</f>
        <v>635</v>
      </c>
      <c r="U45" s="730">
        <f t="shared" si="7"/>
        <v>0</v>
      </c>
      <c r="V45" s="730">
        <f t="shared" si="8"/>
        <v>489.27110399999998</v>
      </c>
      <c r="W45" s="730">
        <f t="shared" si="9"/>
        <v>5138.7618899999998</v>
      </c>
      <c r="X45" s="730">
        <f t="shared" si="10"/>
        <v>22.171890000000001</v>
      </c>
      <c r="Y45" s="730">
        <f t="shared" si="11"/>
        <v>20.466359999999998</v>
      </c>
      <c r="Z45" s="730">
        <f t="shared" si="12"/>
        <v>834.00416999999993</v>
      </c>
      <c r="AA45" s="730">
        <f t="shared" si="13"/>
        <v>0</v>
      </c>
      <c r="AB45" s="721"/>
      <c r="AC45" s="300"/>
      <c r="AD45" s="16"/>
      <c r="AE45" s="714">
        <f>'User Data'!EV40</f>
        <v>60.59</v>
      </c>
      <c r="AF45" s="17">
        <f>'User Data'!EW40</f>
        <v>10.07</v>
      </c>
      <c r="AG45" s="17">
        <f>'User Data'!EX40</f>
        <v>12.11</v>
      </c>
      <c r="AH45" s="17">
        <f>'User Data'!EY40</f>
        <v>1</v>
      </c>
      <c r="AI45" s="16">
        <f>'User Data'!EZ40</f>
        <v>2.7</v>
      </c>
      <c r="AJ45" s="742">
        <f>'User Data'!FA40</f>
        <v>0.81</v>
      </c>
      <c r="AK45" s="742">
        <f>'User Data'!FB40</f>
        <v>0</v>
      </c>
      <c r="AL45" s="742">
        <f>'User Data'!FC40</f>
        <v>2.88</v>
      </c>
      <c r="AM45" s="742">
        <f>'User Data'!FD40</f>
        <v>30.13</v>
      </c>
      <c r="AN45" s="742">
        <f>'User Data'!FE40</f>
        <v>0.13</v>
      </c>
      <c r="AO45" s="742">
        <f>'User Data'!FF40</f>
        <v>0.12</v>
      </c>
      <c r="AP45" s="742">
        <f>'User Data'!FH40</f>
        <v>4.8899999999999997</v>
      </c>
      <c r="AQ45" s="742">
        <f>'User Data'!FI40</f>
        <v>0</v>
      </c>
      <c r="AR45" s="742"/>
      <c r="AS45" s="18"/>
      <c r="AT45" s="19">
        <f>'1940-IV - EP DI'!P42</f>
        <v>6</v>
      </c>
      <c r="AU45" s="19">
        <f>'1940-III - CFE Turb.'!P40</f>
        <v>6</v>
      </c>
      <c r="AV45" s="19">
        <f t="shared" si="14"/>
        <v>0</v>
      </c>
      <c r="AW45" s="19">
        <f t="shared" si="15"/>
        <v>0</v>
      </c>
    </row>
    <row r="46" spans="1:49" ht="9.6999999999999993" customHeight="1" thickBot="1" x14ac:dyDescent="0.4">
      <c r="A46" s="1101">
        <v>31</v>
      </c>
      <c r="B46" s="8">
        <f>'User Data'!DU41</f>
        <v>23.45</v>
      </c>
      <c r="C46" s="8">
        <f>'User Data'!DV41</f>
        <v>20.170000000000002</v>
      </c>
      <c r="D46" s="8">
        <f>'User Data'!DW41</f>
        <v>19.98</v>
      </c>
      <c r="E46" s="8">
        <f>'User Data'!DX41</f>
        <v>19.05</v>
      </c>
      <c r="F46" s="9">
        <f>'User Data'!DY41</f>
        <v>24</v>
      </c>
      <c r="G46" s="10">
        <f>'User Data'!DY41</f>
        <v>24</v>
      </c>
      <c r="H46" s="11">
        <f>'User Data'!AV37</f>
        <v>2.1366003787878785</v>
      </c>
      <c r="I46" s="12">
        <f>MAX('User Data'!AX37:BM37)</f>
        <v>94.5</v>
      </c>
      <c r="J46" s="13">
        <f>'User Data'!ED41</f>
        <v>10</v>
      </c>
      <c r="K46" s="13">
        <f>'User Data'!EE41</f>
        <v>2</v>
      </c>
      <c r="L46" s="14">
        <f>'User Data'!EG41</f>
        <v>500</v>
      </c>
      <c r="M46" s="689"/>
      <c r="N46" s="20"/>
      <c r="O46" s="715">
        <f t="shared" si="2"/>
        <v>10412.681820000002</v>
      </c>
      <c r="P46" s="717">
        <f t="shared" si="3"/>
        <v>1651.8987960000002</v>
      </c>
      <c r="Q46" s="717">
        <f t="shared" si="4"/>
        <v>2061.2526839999996</v>
      </c>
      <c r="R46" s="717">
        <f t="shared" si="5"/>
        <v>173.26433400000002</v>
      </c>
      <c r="S46" s="731">
        <f t="shared" si="6"/>
        <v>414.91666800000007</v>
      </c>
      <c r="T46" s="750">
        <f>'User Data'!EM41</f>
        <v>645</v>
      </c>
      <c r="U46" s="731">
        <f t="shared" si="7"/>
        <v>0</v>
      </c>
      <c r="V46" s="731">
        <f t="shared" si="8"/>
        <v>483.23627999999997</v>
      </c>
      <c r="W46" s="731">
        <f t="shared" si="9"/>
        <v>5078.4953820000001</v>
      </c>
      <c r="X46" s="731">
        <f t="shared" si="10"/>
        <v>20.186136000000001</v>
      </c>
      <c r="Y46" s="731">
        <f t="shared" si="11"/>
        <v>18.503958000000001</v>
      </c>
      <c r="Z46" s="731">
        <f t="shared" si="12"/>
        <v>830.99593200000015</v>
      </c>
      <c r="AA46" s="731">
        <f t="shared" si="13"/>
        <v>0</v>
      </c>
      <c r="AB46" s="722"/>
      <c r="AC46" s="300"/>
      <c r="AD46" s="21"/>
      <c r="AE46" s="714">
        <f>'User Data'!EV41</f>
        <v>61.9</v>
      </c>
      <c r="AF46" s="17">
        <f>'User Data'!EW41</f>
        <v>9.82</v>
      </c>
      <c r="AG46" s="17">
        <f>'User Data'!EX41</f>
        <v>12.37</v>
      </c>
      <c r="AH46" s="17">
        <f>'User Data'!EY41</f>
        <v>1.03</v>
      </c>
      <c r="AI46" s="16">
        <f>'User Data'!EZ41</f>
        <v>2.4900000000000002</v>
      </c>
      <c r="AJ46" s="742">
        <f>'User Data'!FA41</f>
        <v>0.82</v>
      </c>
      <c r="AK46" s="742">
        <f>'User Data'!FB41</f>
        <v>0</v>
      </c>
      <c r="AL46" s="742">
        <f>'User Data'!FC41</f>
        <v>2.9</v>
      </c>
      <c r="AM46" s="742">
        <f>'User Data'!FD41</f>
        <v>30.19</v>
      </c>
      <c r="AN46" s="742">
        <f>'User Data'!FE41</f>
        <v>0.12</v>
      </c>
      <c r="AO46" s="742">
        <f>'User Data'!FF41</f>
        <v>0.11</v>
      </c>
      <c r="AP46" s="742">
        <f>'User Data'!FH41</f>
        <v>4.9400000000000004</v>
      </c>
      <c r="AQ46" s="742">
        <f>'User Data'!FI41</f>
        <v>0</v>
      </c>
      <c r="AR46" s="743"/>
      <c r="AS46" s="18"/>
      <c r="AT46" s="19">
        <f>'1940-IV - EP DI'!P43</f>
        <v>6</v>
      </c>
      <c r="AU46" s="19">
        <f>'1940-III - CFE Turb.'!P41</f>
        <v>6</v>
      </c>
      <c r="AV46" s="19">
        <f t="shared" si="14"/>
        <v>0</v>
      </c>
      <c r="AW46" s="19">
        <f t="shared" si="15"/>
        <v>0</v>
      </c>
    </row>
    <row r="47" spans="1:49" s="317" customFormat="1" ht="9.75" customHeight="1" thickTop="1" x14ac:dyDescent="0.35">
      <c r="A47" s="303" t="s">
        <v>60</v>
      </c>
      <c r="B47" s="304">
        <f t="array" ref="B47">IF(COUNT(B$16:B$46)=0,"",SUM(IF(ISERROR(B$16:B$46),"",B$16:B$46)))</f>
        <v>729.77999999999986</v>
      </c>
      <c r="C47" s="305">
        <f t="array" ref="C47">IF(COUNT(C$16:C$46)=0,"",SUM(IF(ISERROR(C$16:C$46),"",C$16:C$46)))</f>
        <v>641.08000000000004</v>
      </c>
      <c r="D47" s="306">
        <f t="array" ref="D47">IF(COUNT(D$16:D$46)=0,"",SUM(IF(ISERROR(D$16:D$46),"",D$16:D$46)))</f>
        <v>634.43000000000006</v>
      </c>
      <c r="E47" s="306">
        <f t="array" ref="E47">IF(COUNT(E$16:E$46)=0,"",SUM(IF(ISERROR(E$16:E$46),"",E$16:E$46)))</f>
        <v>570.79</v>
      </c>
      <c r="F47" s="307">
        <f t="array" ref="F47">IF(COUNT(F$16:F$46)=0,"",SUM(IF(ISERROR(F$16:F$46),"",F$16:F$46)))</f>
        <v>744</v>
      </c>
      <c r="G47" s="308">
        <f t="array" ref="G47">IF(COUNT(G$16:G$46)=0,"",SUM(IF(ISERROR(G$16:G$46),"",G$16:G$46)))</f>
        <v>744</v>
      </c>
      <c r="H47" s="309">
        <f t="array" ref="H47">IF(COUNT(H$16:H$46)=0,"",SUM(IF(ISERROR(H$16:H$46),"",H$16:H$46)))</f>
        <v>71.162799873737384</v>
      </c>
      <c r="I47" s="310">
        <f t="array" ref="I47">IF(COUNT(I$16:I$46)=0,"",SUM(IF(ISERROR(I$16:I$46),"",I$16:I$46)))</f>
        <v>3035.5</v>
      </c>
      <c r="J47" s="311">
        <f t="array" ref="J47">IF(COUNT(J$16:J$46)=0,"",SUM(IF(ISERROR(J$16:J$46),"",J$16:J$46)))</f>
        <v>310</v>
      </c>
      <c r="K47" s="311">
        <f t="array" ref="K47">IF(COUNT(K$16:K$46)=0,"",SUM(IF(ISERROR(K$16:K$46),"",K$16:K$46)))</f>
        <v>77</v>
      </c>
      <c r="L47" s="312">
        <f t="array" ref="L47">IF(COUNT(L$16:L$46)=0,"",SUM(IF(ISERROR(L$16:L$46),"",L$16:L$46)))</f>
        <v>18910</v>
      </c>
      <c r="M47" s="339" t="str">
        <f t="array" ref="M47">IF(COUNT(M$16:M$46)=0,"",SUM(IF(ISERROR(M$16:M$46),"",M$16:M$46)))</f>
        <v/>
      </c>
      <c r="N47" s="313" t="str">
        <f t="array" ref="N47">IF(COUNT(N$16:N$46)=0,"",SUM(IF(ISERROR(N$16:N$46),"",N$16:N$46)))</f>
        <v/>
      </c>
      <c r="O47" s="314">
        <f t="array" ref="O47">IF(COUNT(O$16:O$46)=0,"",SUM(IF(ISERROR(O$16:O$46),"",O$16:O$46)))</f>
        <v>322298.08069200011</v>
      </c>
      <c r="P47" s="310">
        <f t="array" ref="P47">IF(COUNT(P$16:P$46)=0,"",SUM(IF(ISERROR(P$16:P$46),"",P$16:P$46)))</f>
        <v>49638.120419999999</v>
      </c>
      <c r="Q47" s="310">
        <f t="array" ref="Q47">IF(COUNT(Q$16:Q$46)=0,"",SUM(IF(ISERROR(Q$16:Q$46),"",Q$16:Q$46)))</f>
        <v>63268.456805999987</v>
      </c>
      <c r="R47" s="310">
        <f t="array" ref="R47">IF(COUNT(R$16:R$46)=0,"",SUM(IF(ISERROR(R$16:R$46),"",R$16:R$46)))</f>
        <v>6074.8451580000001</v>
      </c>
      <c r="S47" s="732">
        <f t="array" ref="S47">IF(COUNT(S$16:S$46)=0,"",SUM(IF(ISERROR(S$16:S$46),"",S$16:S$46)))</f>
        <v>15476.126004000002</v>
      </c>
      <c r="T47" s="732">
        <f t="array" ref="T47">IF(COUNT(T$16:T$46)=0,"",SUM(IF(ISERROR(T$16:T$46),"",T$16:T$46)))</f>
        <v>20448</v>
      </c>
      <c r="U47" s="732">
        <f t="array" ref="U47">IF(COUNT(U$16:U$46)=0,"",SUM(IF(ISERROR(U$16:U$46),"",U$16:U$46)))</f>
        <v>0</v>
      </c>
      <c r="V47" s="732">
        <f t="array" ref="V47">IF(COUNT(V$16:V$46)=0,"",SUM(IF(ISERROR(V$16:V$46),"",V$16:V$46)))</f>
        <v>15074.350673999999</v>
      </c>
      <c r="W47" s="732">
        <f t="array" ref="W47">IF(COUNT(W$16:W$46)=0,"",SUM(IF(ISERROR(W$16:W$46),"",W$16:W$46)))</f>
        <v>159323.54778599998</v>
      </c>
      <c r="X47" s="732">
        <f t="array" ref="X47">IF(COUNT(X$16:X$46)=0,"",SUM(IF(ISERROR(X$16:X$46),"",X$16:X$46)))</f>
        <v>695.86124400000006</v>
      </c>
      <c r="Y47" s="732">
        <f t="array" ref="Y47">IF(COUNT(Y$16:Y$46)=0,"",SUM(IF(ISERROR(Y$16:Y$46),"",Y$16:Y$46)))</f>
        <v>635.17356599999994</v>
      </c>
      <c r="Z47" s="732">
        <f t="array" ref="Z47">IF(COUNT(Z$16:Z$46)=0,"",SUM(IF(ISERROR(Z$16:Z$46),"",Z$16:Z$46)))</f>
        <v>26196.049254000005</v>
      </c>
      <c r="AA47" s="732">
        <f t="array" ref="AA47">IF(COUNT(AA$16:AA$46)=0,"",SUM(IF(ISERROR(AA$16:AA$46),"",AA$16:AA$46)))</f>
        <v>0</v>
      </c>
      <c r="AB47" s="723" t="str">
        <f t="array" ref="AB47">IF(COUNT(AB$16:AB$46)=0,"",SUM(IF(ISERROR(AB$16:AB$46),"",AB$16:AB$46)))</f>
        <v/>
      </c>
      <c r="AC47" s="315" t="str">
        <f t="array" ref="AC47">IF(COUNT(AC$16:AC$46)=0,"",SUM(IF(ISERROR(AC$16:AC$46),"",AC$16:AC$46)))</f>
        <v/>
      </c>
      <c r="AD47" s="307" t="str">
        <f t="array" ref="AD47">IF(COUNT(AD$16:AD$46)=0,"",SUM(IF(ISERROR(AD$16:AD$46),"",AD$16:AD$46)))</f>
        <v/>
      </c>
      <c r="AE47" s="308">
        <f t="array" ref="AE47">IF(COUNT(AE$16:AE$46)=0,"",SUM(IF(ISERROR(AE$16:AE$46),"",AE$16:AE$46)))</f>
        <v>1869.7399999999998</v>
      </c>
      <c r="AF47" s="309">
        <f t="array" ref="AF47">IF(COUNT(AF$16:AF$46)=0,"",SUM(IF(ISERROR(AF$16:AF$46),"",AF$16:AF$46)))</f>
        <v>287.65999999999997</v>
      </c>
      <c r="AG47" s="309">
        <f t="array" ref="AG47">IF(COUNT(AG$16:AG$46)=0,"",SUM(IF(ISERROR(AG$16:AG$46),"",AG$16:AG$46)))</f>
        <v>370.83</v>
      </c>
      <c r="AH47" s="309">
        <f t="array" ref="AH47">IF(COUNT(AH$16:AH$46)=0,"",SUM(IF(ISERROR(AH$16:AH$46),"",AH$16:AH$46)))</f>
        <v>35.230000000000004</v>
      </c>
      <c r="AI47" s="307">
        <f t="array" ref="AI47">IF(COUNT(AI$16:AI$46)=0,"",SUM(IF(ISERROR(AI$16:AI$46),"",AI$16:AI$46)))</f>
        <v>90.56</v>
      </c>
      <c r="AJ47" s="744">
        <f t="array" ref="AJ47">IF(COUNT(AJ$16:AJ$46)=0,"",SUM(IF(ISERROR(AJ$16:AJ$46),"",AJ$16:AJ$46)))</f>
        <v>24.899999999999995</v>
      </c>
      <c r="AK47" s="744">
        <f t="array" ref="AK47">IF(COUNT(AK$16:AK$46)=0,"",SUM(IF(ISERROR(AK$16:AK$46),"",AK$16:AK$46)))</f>
        <v>0</v>
      </c>
      <c r="AL47" s="744">
        <f t="array" ref="AL47">IF(COUNT(AL$16:AL$46)=0,"",SUM(IF(ISERROR(AL$16:AL$46),"",AL$16:AL$46)))</f>
        <v>88.31</v>
      </c>
      <c r="AM47" s="744">
        <f t="array" ref="AM47">IF(COUNT(AM$16:AM$46)=0,"",SUM(IF(ISERROR(AM$16:AM$46),"",AM$16:AM$46)))</f>
        <v>923.06</v>
      </c>
      <c r="AN47" s="744">
        <f t="array" ref="AN47">IF(COUNT(AN$16:AN$46)=0,"",SUM(IF(ISERROR(AN$16:AN$46),"",AN$16:AN$46)))</f>
        <v>4.04</v>
      </c>
      <c r="AO47" s="744">
        <f t="array" ref="AO47">IF(COUNT(AO$16:AO$46)=0,"",SUM(IF(ISERROR(AO$16:AO$46),"",AO$16:AO$46)))</f>
        <v>3.6800000000000006</v>
      </c>
      <c r="AP47" s="744">
        <f t="array" ref="AP47">IF(COUNT(AP$16:AP$46)=0,"",SUM(IF(ISERROR(AP$16:AP$46),"",AP$16:AP$46)))</f>
        <v>151.84</v>
      </c>
      <c r="AQ47" s="744">
        <f t="array" ref="AQ47">IF(COUNT(AQ$16:AQ$46)=0,"",SUM(IF(ISERROR(AQ$16:AQ$46),"",AQ$16:AQ$46)))</f>
        <v>0</v>
      </c>
      <c r="AR47" s="744" t="str">
        <f t="array" ref="AR47">IF(COUNT(AR$16:AR$46)=0,"",SUM(IF(ISERROR(AR$16:AR$46),"",AR$16:AR$46)))</f>
        <v/>
      </c>
      <c r="AS47" s="298"/>
      <c r="AT47" s="316">
        <f>SUM(rng_EPRD_CountEntries)</f>
        <v>186</v>
      </c>
      <c r="AU47" s="316">
        <f>SUM(rng_CFE_CountEntries)</f>
        <v>186</v>
      </c>
      <c r="AV47" s="316">
        <f>SUM(AV16:AV46)</f>
        <v>0</v>
      </c>
      <c r="AW47" s="316">
        <f>SUM(AW16:AW46)</f>
        <v>0</v>
      </c>
    </row>
    <row r="48" spans="1:49" s="317" customFormat="1" ht="9.75" customHeight="1" x14ac:dyDescent="0.35">
      <c r="A48" s="303" t="s">
        <v>61</v>
      </c>
      <c r="B48" s="304">
        <f>IF(COUNT(B$16:B$46)=0,"",IF(ISERROR(AVERAGE(B$16:B$46)),"N/A",AVERAGE(B$16:B$46)))</f>
        <v>23.54129032258064</v>
      </c>
      <c r="C48" s="305">
        <f t="shared" ref="C48:AR48" si="16">IF(COUNT(C$16:C$46)=0,"",IF(ISERROR(AVERAGE(C$16:C$46)),"N/A",AVERAGE(C$16:C$46)))</f>
        <v>20.68</v>
      </c>
      <c r="D48" s="306">
        <f t="shared" si="16"/>
        <v>20.465483870967745</v>
      </c>
      <c r="E48" s="306">
        <f t="shared" si="16"/>
        <v>18.412580645161288</v>
      </c>
      <c r="F48" s="307">
        <f t="shared" si="16"/>
        <v>24</v>
      </c>
      <c r="G48" s="308">
        <f t="shared" si="16"/>
        <v>24</v>
      </c>
      <c r="H48" s="309">
        <f t="shared" si="16"/>
        <v>2.2955741894753996</v>
      </c>
      <c r="I48" s="310">
        <f t="shared" si="16"/>
        <v>97.91935483870968</v>
      </c>
      <c r="J48" s="311">
        <f t="shared" si="16"/>
        <v>10</v>
      </c>
      <c r="K48" s="311">
        <f t="shared" si="16"/>
        <v>2.4838709677419355</v>
      </c>
      <c r="L48" s="312">
        <f t="shared" si="16"/>
        <v>610</v>
      </c>
      <c r="M48" s="339" t="str">
        <f t="shared" si="16"/>
        <v/>
      </c>
      <c r="N48" s="313" t="str">
        <f t="shared" si="16"/>
        <v/>
      </c>
      <c r="O48" s="314">
        <f t="shared" si="16"/>
        <v>10396.712280387101</v>
      </c>
      <c r="P48" s="310">
        <f t="shared" si="16"/>
        <v>1601.2296909677418</v>
      </c>
      <c r="Q48" s="310">
        <f t="shared" si="16"/>
        <v>2040.9179614838706</v>
      </c>
      <c r="R48" s="310">
        <f t="shared" si="16"/>
        <v>195.96274703225808</v>
      </c>
      <c r="S48" s="732">
        <f t="shared" si="16"/>
        <v>499.22987109677422</v>
      </c>
      <c r="T48" s="732">
        <f t="shared" si="16"/>
        <v>659.61290322580646</v>
      </c>
      <c r="U48" s="732">
        <f t="shared" si="16"/>
        <v>0</v>
      </c>
      <c r="V48" s="732">
        <f t="shared" si="16"/>
        <v>486.26937658064514</v>
      </c>
      <c r="W48" s="732">
        <f t="shared" si="16"/>
        <v>5139.4692834193538</v>
      </c>
      <c r="X48" s="732">
        <f t="shared" si="16"/>
        <v>22.447136903225807</v>
      </c>
      <c r="Y48" s="732">
        <f t="shared" si="16"/>
        <v>20.489469870967739</v>
      </c>
      <c r="Z48" s="732">
        <f t="shared" si="16"/>
        <v>845.03384690322594</v>
      </c>
      <c r="AA48" s="732">
        <f t="shared" si="16"/>
        <v>0</v>
      </c>
      <c r="AB48" s="723" t="str">
        <f t="shared" si="16"/>
        <v/>
      </c>
      <c r="AC48" s="315" t="str">
        <f t="shared" si="16"/>
        <v/>
      </c>
      <c r="AD48" s="307" t="str">
        <f t="shared" si="16"/>
        <v/>
      </c>
      <c r="AE48" s="308">
        <f t="shared" si="16"/>
        <v>60.314193548387088</v>
      </c>
      <c r="AF48" s="309">
        <f t="shared" si="16"/>
        <v>9.2793548387096756</v>
      </c>
      <c r="AG48" s="309">
        <f t="shared" si="16"/>
        <v>11.962258064516128</v>
      </c>
      <c r="AH48" s="309">
        <f t="shared" si="16"/>
        <v>1.1364516129032258</v>
      </c>
      <c r="AI48" s="307">
        <f t="shared" si="16"/>
        <v>2.9212903225806452</v>
      </c>
      <c r="AJ48" s="744">
        <f t="shared" si="16"/>
        <v>0.80322580645161279</v>
      </c>
      <c r="AK48" s="744">
        <f t="shared" si="16"/>
        <v>0</v>
      </c>
      <c r="AL48" s="744">
        <f t="shared" si="16"/>
        <v>2.8487096774193548</v>
      </c>
      <c r="AM48" s="744">
        <f t="shared" si="16"/>
        <v>29.776129032258062</v>
      </c>
      <c r="AN48" s="744">
        <f t="shared" si="16"/>
        <v>0.13032258064516128</v>
      </c>
      <c r="AO48" s="744">
        <f t="shared" si="16"/>
        <v>0.11870967741935486</v>
      </c>
      <c r="AP48" s="744">
        <f t="shared" si="16"/>
        <v>4.8980645161290326</v>
      </c>
      <c r="AQ48" s="744">
        <f t="shared" si="16"/>
        <v>0</v>
      </c>
      <c r="AR48" s="744" t="str">
        <f t="shared" si="16"/>
        <v/>
      </c>
      <c r="AS48" s="298"/>
    </row>
    <row r="49" spans="1:46" s="317" customFormat="1" ht="9.75" customHeight="1" x14ac:dyDescent="0.35">
      <c r="A49" s="303" t="s">
        <v>62</v>
      </c>
      <c r="B49" s="304">
        <f t="array" ref="B49">IF(COUNT(B$16:B$46)=0,"",MAX(IF(ISERROR(B$16:B$46),"",B$16:B$46)))</f>
        <v>25.64</v>
      </c>
      <c r="C49" s="305">
        <f t="array" ref="C49">IF(COUNT(C$16:C$46)=0,"",MAX(IF(ISERROR(C$16:C$46),"",C$16:C$46)))</f>
        <v>23.22</v>
      </c>
      <c r="D49" s="306">
        <f t="array" ref="D49">IF(COUNT(D$16:D$46)=0,"",MAX(IF(ISERROR(D$16:D$46),"",D$16:D$46)))</f>
        <v>22.94</v>
      </c>
      <c r="E49" s="306">
        <f t="array" ref="E49">IF(COUNT(E$16:E$46)=0,"",MAX(IF(ISERROR(E$16:E$46),"",E$16:E$46)))</f>
        <v>20.39</v>
      </c>
      <c r="F49" s="307">
        <f t="array" ref="F49">IF(COUNT(F$16:F$46)=0,"",MAX(IF(ISERROR(F$16:F$46),"",F$16:F$46)))</f>
        <v>24</v>
      </c>
      <c r="G49" s="308">
        <f t="array" ref="G49">IF(COUNT(G$16:G$46)=0,"",MAX(IF(ISERROR(G$16:G$46),"",G$16:G$46)))</f>
        <v>24</v>
      </c>
      <c r="H49" s="309">
        <f t="array" ref="H49">IF(COUNT(H$16:H$46)=0,"",MAX(IF(ISERROR(H$16:H$46),"",H$16:H$46)))</f>
        <v>2.760022095959596</v>
      </c>
      <c r="I49" s="310">
        <f t="array" ref="I49">IF(COUNT(I$16:I$46)=0,"",MAX(IF(ISERROR(I$16:I$46),"",I$16:I$46)))</f>
        <v>107</v>
      </c>
      <c r="J49" s="311">
        <f t="array" ref="J49">IF(COUNT(J$16:J$46)=0,"",MAX(IF(ISERROR(J$16:J$46),"",J$16:J$46)))</f>
        <v>10</v>
      </c>
      <c r="K49" s="311">
        <f t="array" ref="K49">IF(COUNT(K$16:K$46)=0,"",MAX(IF(ISERROR(K$16:K$46),"",K$16:K$46)))</f>
        <v>4</v>
      </c>
      <c r="L49" s="312">
        <f t="array" ref="L49">IF(COUNT(L$16:L$46)=0,"",MAX(IF(ISERROR(L$16:L$46),"",L$16:L$46)))</f>
        <v>970</v>
      </c>
      <c r="M49" s="339" t="str">
        <f t="array" ref="M49">IF(COUNT(M$16:M$46)=0,"",MAX(IF(ISERROR(M$16:M$46),"",M$16:M$46)))</f>
        <v/>
      </c>
      <c r="N49" s="313" t="str">
        <f t="array" ref="N49">IF(COUNT(N$16:N$46)=0,"",MAX(IF(ISERROR(N$16:N$46),"",N$16:N$46)))</f>
        <v/>
      </c>
      <c r="O49" s="314">
        <f t="array" ref="O49">IF(COUNT(O$16:O$46)=0,"",MAX(IF(ISERROR(O$16:O$46),"",O$16:O$46)))</f>
        <v>11494.146299999999</v>
      </c>
      <c r="P49" s="310">
        <f t="array" ref="P49">IF(COUNT(P$16:P$46)=0,"",MAX(IF(ISERROR(P$16:P$46),"",P$16:P$46)))</f>
        <v>1833.2754480000001</v>
      </c>
      <c r="Q49" s="310">
        <f t="array" ref="Q49">IF(COUNT(Q$16:Q$46)=0,"",MAX(IF(ISERROR(Q$16:Q$46),"",Q$16:Q$46)))</f>
        <v>2354.08176</v>
      </c>
      <c r="R49" s="310">
        <f t="array" ref="R49">IF(COUNT(R$16:R$46)=0,"",MAX(IF(ISERROR(R$16:R$46),"",R$16:R$46)))</f>
        <v>265.62899999999996</v>
      </c>
      <c r="S49" s="732">
        <f t="array" ref="S49">IF(COUNT(S$16:S$46)=0,"",MAX(IF(ISERROR(S$16:S$46),"",S$16:S$46)))</f>
        <v>655.72415999999998</v>
      </c>
      <c r="T49" s="732">
        <f t="array" ref="T49">IF(COUNT(T$16:T$46)=0,"",MAX(IF(ISERROR(T$16:T$46),"",T$16:T$46)))</f>
        <v>773</v>
      </c>
      <c r="U49" s="732">
        <f t="array" ref="U49">IF(COUNT(U$16:U$46)=0,"",MAX(IF(ISERROR(U$16:U$46),"",U$16:U$46)))</f>
        <v>0</v>
      </c>
      <c r="V49" s="732">
        <f t="array" ref="V49">IF(COUNT(V$16:V$46)=0,"",MAX(IF(ISERROR(V$16:V$46),"",V$16:V$46)))</f>
        <v>543.272604</v>
      </c>
      <c r="W49" s="732">
        <f t="array" ref="W49">IF(COUNT(W$16:W$46)=0,"",MAX(IF(ISERROR(W$16:W$46),"",W$16:W$46)))</f>
        <v>5842.5653160000002</v>
      </c>
      <c r="X49" s="732">
        <f t="array" ref="X49">IF(COUNT(X$16:X$46)=0,"",MAX(IF(ISERROR(X$16:X$46),"",X$16:X$46)))</f>
        <v>25.768932000000003</v>
      </c>
      <c r="Y49" s="732">
        <f t="array" ref="Y49">IF(COUNT(Y$16:Y$46)=0,"",MAX(IF(ISERROR(Y$16:Y$46),"",Y$16:Y$46)))</f>
        <v>26.646299999999997</v>
      </c>
      <c r="Z49" s="732">
        <f t="array" ref="Z49">IF(COUNT(Z$16:Z$46)=0,"",MAX(IF(ISERROR(Z$16:Z$46),"",Z$16:Z$46)))</f>
        <v>966.33745199999998</v>
      </c>
      <c r="AA49" s="732">
        <f t="array" ref="AA49">IF(COUNT(AA$16:AA$46)=0,"",MAX(IF(ISERROR(AA$16:AA$46),"",AA$16:AA$46)))</f>
        <v>0</v>
      </c>
      <c r="AB49" s="723" t="str">
        <f t="array" ref="AB49">IF(COUNT(AB$16:AB$46)=0,"",MAX(IF(ISERROR(AB$16:AB$46),"",AB$16:AB$46)))</f>
        <v/>
      </c>
      <c r="AC49" s="315" t="str">
        <f t="array" ref="AC49">IF(COUNT(AC$16:AC$46)=0,"",MAX(IF(ISERROR(AC$16:AC$46),"",AC$16:AC$46)))</f>
        <v/>
      </c>
      <c r="AD49" s="307" t="str">
        <f t="array" ref="AD49">IF(COUNT(AD$16:AD$46)=0,"",MAX(IF(ISERROR(AD$16:AD$46),"",AD$16:AD$46)))</f>
        <v/>
      </c>
      <c r="AE49" s="308">
        <f t="array" ref="AE49">IF(COUNT(AE$16:AE$46)=0,"",MAX(IF(ISERROR(AE$16:AE$46),"",AE$16:AE$46)))</f>
        <v>63.8</v>
      </c>
      <c r="AF49" s="309">
        <f t="array" ref="AF49">IF(COUNT(AF$16:AF$46)=0,"",MAX(IF(ISERROR(AF$16:AF$46),"",AF$16:AF$46)))</f>
        <v>10.15</v>
      </c>
      <c r="AG49" s="309">
        <f t="array" ref="AG49">IF(COUNT(AG$16:AG$46)=0,"",MAX(IF(ISERROR(AG$16:AG$46),"",AG$16:AG$46)))</f>
        <v>13.38</v>
      </c>
      <c r="AH49" s="309">
        <f t="array" ref="AH49">IF(COUNT(AH$16:AH$46)=0,"",MAX(IF(ISERROR(AH$16:AH$46),"",AH$16:AH$46)))</f>
        <v>1.52</v>
      </c>
      <c r="AI49" s="307">
        <f t="array" ref="AI49">IF(COUNT(AI$16:AI$46)=0,"",MAX(IF(ISERROR(AI$16:AI$46),"",AI$16:AI$46)))</f>
        <v>3.78</v>
      </c>
      <c r="AJ49" s="744">
        <f t="array" ref="AJ49">IF(COUNT(AJ$16:AJ$46)=0,"",MAX(IF(ISERROR(AJ$16:AJ$46),"",AJ$16:AJ$46)))</f>
        <v>0.86</v>
      </c>
      <c r="AK49" s="744">
        <f t="array" ref="AK49">IF(COUNT(AK$16:AK$46)=0,"",MAX(IF(ISERROR(AK$16:AK$46),"",AK$16:AK$46)))</f>
        <v>0</v>
      </c>
      <c r="AL49" s="744">
        <f t="array" ref="AL49">IF(COUNT(AL$16:AL$46)=0,"",MAX(IF(ISERROR(AL$16:AL$46),"",AL$16:AL$46)))</f>
        <v>3.11</v>
      </c>
      <c r="AM49" s="744">
        <f t="array" ref="AM49">IF(COUNT(AM$16:AM$46)=0,"",MAX(IF(ISERROR(AM$16:AM$46),"",AM$16:AM$46)))</f>
        <v>30.32</v>
      </c>
      <c r="AN49" s="744">
        <f t="array" ref="AN49">IF(COUNT(AN$16:AN$46)=0,"",MAX(IF(ISERROR(AN$16:AN$46),"",AN$16:AN$46)))</f>
        <v>0.14000000000000001</v>
      </c>
      <c r="AO49" s="744">
        <f t="array" ref="AO49">IF(COUNT(AO$16:AO$46)=0,"",MAX(IF(ISERROR(AO$16:AO$46),"",AO$16:AO$46)))</f>
        <v>0.15</v>
      </c>
      <c r="AP49" s="744">
        <f t="array" ref="AP49">IF(COUNT(AP$16:AP$46)=0,"",MAX(IF(ISERROR(AP$16:AP$46),"",AP$16:AP$46)))</f>
        <v>5.16</v>
      </c>
      <c r="AQ49" s="744">
        <f t="array" ref="AQ49">IF(COUNT(AQ$16:AQ$46)=0,"",MAX(IF(ISERROR(AQ$16:AQ$46),"",AQ$16:AQ$46)))</f>
        <v>0</v>
      </c>
      <c r="AR49" s="744" t="str">
        <f t="array" ref="AR49">IF(COUNT(AR$16:AR$46)=0,"",MAX(IF(ISERROR(AR$16:AR$46),"",AR$16:AR$46)))</f>
        <v/>
      </c>
      <c r="AS49" s="298"/>
    </row>
    <row r="50" spans="1:46" s="317" customFormat="1" ht="9.75" customHeight="1" thickBot="1" x14ac:dyDescent="0.4">
      <c r="A50" s="318" t="s">
        <v>63</v>
      </c>
      <c r="B50" s="319">
        <f>IF(COUNT(B$16:B$46)=0,"",IF(ISERROR(MIN(B$16:B$46)),"N/A",MIN(B$16:B$46)))</f>
        <v>22</v>
      </c>
      <c r="C50" s="320">
        <f t="shared" ref="C50:AR50" si="17">IF(COUNT(C$16:C$46)=0,"",IF(ISERROR(MIN(C$16:C$46)),"N/A",MIN(C$16:C$46)))</f>
        <v>18.5</v>
      </c>
      <c r="D50" s="321">
        <f t="shared" si="17"/>
        <v>17.97</v>
      </c>
      <c r="E50" s="321">
        <f t="shared" si="17"/>
        <v>16.14</v>
      </c>
      <c r="F50" s="322">
        <f t="shared" si="17"/>
        <v>24</v>
      </c>
      <c r="G50" s="323">
        <f t="shared" si="17"/>
        <v>24</v>
      </c>
      <c r="H50" s="324">
        <f t="shared" si="17"/>
        <v>2.0971433080808084</v>
      </c>
      <c r="I50" s="325">
        <f t="shared" si="17"/>
        <v>92</v>
      </c>
      <c r="J50" s="326">
        <f t="shared" si="17"/>
        <v>10</v>
      </c>
      <c r="K50" s="326">
        <f t="shared" si="17"/>
        <v>2</v>
      </c>
      <c r="L50" s="327">
        <f t="shared" si="17"/>
        <v>480</v>
      </c>
      <c r="M50" s="328" t="str">
        <f t="shared" si="17"/>
        <v/>
      </c>
      <c r="N50" s="329" t="str">
        <f t="shared" si="17"/>
        <v/>
      </c>
      <c r="O50" s="330">
        <f t="shared" si="17"/>
        <v>9041.2355400000015</v>
      </c>
      <c r="P50" s="325">
        <f t="shared" si="17"/>
        <v>1291.3872839999999</v>
      </c>
      <c r="Q50" s="325">
        <f t="shared" si="17"/>
        <v>1766.892384</v>
      </c>
      <c r="R50" s="325">
        <f t="shared" si="17"/>
        <v>141.9468</v>
      </c>
      <c r="S50" s="733">
        <f t="shared" si="17"/>
        <v>375.55020000000002</v>
      </c>
      <c r="T50" s="733">
        <f t="shared" si="17"/>
        <v>530</v>
      </c>
      <c r="U50" s="733">
        <f t="shared" si="17"/>
        <v>0</v>
      </c>
      <c r="V50" s="733">
        <f t="shared" si="17"/>
        <v>416.63804399999992</v>
      </c>
      <c r="W50" s="733">
        <f t="shared" si="17"/>
        <v>3770.8476000000005</v>
      </c>
      <c r="X50" s="733">
        <f t="shared" si="17"/>
        <v>16.971900000000002</v>
      </c>
      <c r="Y50" s="733">
        <f t="shared" si="17"/>
        <v>17.559035999999999</v>
      </c>
      <c r="Z50" s="733">
        <f t="shared" si="17"/>
        <v>610.98840000000007</v>
      </c>
      <c r="AA50" s="733">
        <f t="shared" si="17"/>
        <v>0</v>
      </c>
      <c r="AB50" s="329" t="str">
        <f t="shared" si="17"/>
        <v/>
      </c>
      <c r="AC50" s="315" t="str">
        <f t="shared" si="17"/>
        <v/>
      </c>
      <c r="AD50" s="322" t="str">
        <f t="shared" si="17"/>
        <v/>
      </c>
      <c r="AE50" s="323">
        <f t="shared" si="17"/>
        <v>56.17</v>
      </c>
      <c r="AF50" s="324">
        <f t="shared" si="17"/>
        <v>8.09</v>
      </c>
      <c r="AG50" s="324">
        <f t="shared" si="17"/>
        <v>10.84</v>
      </c>
      <c r="AH50" s="324">
        <f t="shared" si="17"/>
        <v>0.84</v>
      </c>
      <c r="AI50" s="322">
        <f t="shared" si="17"/>
        <v>2.34</v>
      </c>
      <c r="AJ50" s="745">
        <f t="shared" si="17"/>
        <v>0.76</v>
      </c>
      <c r="AK50" s="745">
        <f t="shared" si="17"/>
        <v>0</v>
      </c>
      <c r="AL50" s="745">
        <f t="shared" si="17"/>
        <v>2.67</v>
      </c>
      <c r="AM50" s="745">
        <f t="shared" si="17"/>
        <v>24.44</v>
      </c>
      <c r="AN50" s="745">
        <f t="shared" si="17"/>
        <v>0.11</v>
      </c>
      <c r="AO50" s="745">
        <f t="shared" si="17"/>
        <v>0.11</v>
      </c>
      <c r="AP50" s="745">
        <f t="shared" si="17"/>
        <v>3.96</v>
      </c>
      <c r="AQ50" s="745">
        <f t="shared" si="17"/>
        <v>0</v>
      </c>
      <c r="AR50" s="745" t="str">
        <f t="shared" si="17"/>
        <v/>
      </c>
      <c r="AS50" s="298"/>
      <c r="AT50" s="316">
        <f>COUNTIF(rng_Hours_PlantOp,"=0")</f>
        <v>0</v>
      </c>
    </row>
    <row r="51" spans="1:46" s="317" customFormat="1" ht="2.25" customHeight="1" x14ac:dyDescent="0.35">
      <c r="A51" s="331"/>
      <c r="B51" s="332"/>
      <c r="C51" s="332"/>
      <c r="D51" s="332"/>
      <c r="E51" s="332"/>
      <c r="F51" s="332"/>
      <c r="G51" s="332"/>
      <c r="H51" s="332"/>
      <c r="I51" s="332"/>
      <c r="J51" s="332"/>
      <c r="K51" s="332"/>
      <c r="L51" s="332"/>
      <c r="M51" s="332"/>
      <c r="N51" s="332"/>
      <c r="O51" s="332"/>
      <c r="P51" s="332"/>
      <c r="Q51" s="332"/>
      <c r="R51" s="332"/>
      <c r="S51" s="332"/>
      <c r="T51" s="332"/>
      <c r="U51" s="332"/>
      <c r="V51" s="332"/>
      <c r="W51" s="332"/>
      <c r="X51" s="332"/>
      <c r="Y51" s="332"/>
      <c r="Z51" s="332"/>
      <c r="AA51" s="332"/>
      <c r="AB51" s="332"/>
      <c r="AC51" s="332"/>
      <c r="AD51" s="332"/>
      <c r="AE51" s="332"/>
      <c r="AF51" s="332"/>
      <c r="AG51" s="332"/>
      <c r="AH51" s="332"/>
      <c r="AI51" s="332"/>
      <c r="AJ51" s="332"/>
      <c r="AK51" s="332"/>
      <c r="AL51" s="332"/>
      <c r="AM51" s="332"/>
      <c r="AN51" s="332"/>
      <c r="AO51" s="332"/>
      <c r="AP51" s="332"/>
      <c r="AQ51" s="332"/>
      <c r="AR51" s="332"/>
      <c r="AS51" s="332"/>
    </row>
    <row r="52" spans="1:46" ht="13.15" customHeight="1" x14ac:dyDescent="0.4">
      <c r="A52" s="197"/>
      <c r="B52" s="197" t="s">
        <v>64</v>
      </c>
      <c r="C52" s="197"/>
      <c r="D52" s="197"/>
      <c r="E52" s="197"/>
      <c r="F52" s="333">
        <f>IF(OR(LEN($C$47)=0,LEN($L$47)=0),"",IF($C$47=0,0,$L$47/1000/$C$47))</f>
        <v>2.9497098646034815E-2</v>
      </c>
      <c r="G52" s="197"/>
      <c r="H52" s="197"/>
      <c r="I52" s="334" t="s">
        <v>65</v>
      </c>
      <c r="J52" s="334"/>
      <c r="K52" s="334"/>
      <c r="L52" s="334"/>
      <c r="M52" s="334"/>
      <c r="N52" s="334"/>
      <c r="O52" s="334"/>
      <c r="P52" s="334"/>
      <c r="Q52" s="197"/>
      <c r="R52" s="1119"/>
      <c r="S52" s="1120"/>
      <c r="T52" s="334"/>
      <c r="U52" s="334"/>
      <c r="V52" s="334"/>
      <c r="W52" s="334"/>
      <c r="X52" s="334"/>
      <c r="Y52" s="334"/>
      <c r="Z52" s="334"/>
      <c r="AA52" s="334"/>
      <c r="AB52" s="334"/>
      <c r="AC52" s="197"/>
      <c r="AD52" s="197"/>
      <c r="AE52" s="197" t="s">
        <v>66</v>
      </c>
      <c r="AF52" s="197"/>
      <c r="AG52" s="197"/>
      <c r="AH52" s="197"/>
      <c r="AI52" s="197"/>
      <c r="AJ52" s="197"/>
      <c r="AK52" s="197"/>
      <c r="AL52" s="197"/>
      <c r="AM52" s="197"/>
      <c r="AN52" s="197"/>
      <c r="AO52" s="197"/>
      <c r="AP52" s="197"/>
      <c r="AQ52" s="197"/>
      <c r="AR52" s="197"/>
      <c r="AS52" s="197"/>
    </row>
    <row r="53" spans="1:46" ht="2.25" customHeight="1" x14ac:dyDescent="0.4">
      <c r="A53" s="197"/>
      <c r="B53" s="197"/>
      <c r="C53" s="197"/>
      <c r="D53" s="197"/>
      <c r="E53" s="197"/>
      <c r="F53" s="197"/>
      <c r="G53" s="197"/>
      <c r="H53" s="197"/>
      <c r="I53" s="334"/>
      <c r="J53" s="197"/>
      <c r="K53" s="197"/>
      <c r="L53" s="335"/>
      <c r="M53" s="335"/>
      <c r="N53" s="335"/>
      <c r="O53" s="335"/>
      <c r="P53" s="335"/>
      <c r="Q53" s="335"/>
      <c r="R53" s="335"/>
      <c r="S53" s="335"/>
      <c r="T53" s="335"/>
      <c r="U53" s="335"/>
      <c r="V53" s="335"/>
      <c r="W53" s="335"/>
      <c r="X53" s="335"/>
      <c r="Y53" s="335"/>
      <c r="Z53" s="335"/>
      <c r="AA53" s="335"/>
      <c r="AB53" s="335"/>
      <c r="AC53" s="335"/>
      <c r="AD53" s="197"/>
      <c r="AE53" s="197"/>
      <c r="AF53" s="197"/>
      <c r="AG53" s="197"/>
      <c r="AH53" s="197"/>
      <c r="AI53" s="197"/>
      <c r="AJ53" s="197"/>
      <c r="AK53" s="197"/>
      <c r="AL53" s="197"/>
      <c r="AM53" s="197"/>
      <c r="AN53" s="197"/>
      <c r="AO53" s="197"/>
      <c r="AP53" s="197"/>
      <c r="AQ53" s="197"/>
      <c r="AR53" s="197"/>
      <c r="AS53" s="197"/>
    </row>
    <row r="54" spans="1:46" ht="10.15" customHeight="1" x14ac:dyDescent="0.4">
      <c r="A54" s="197"/>
      <c r="B54" s="197" t="s">
        <v>67</v>
      </c>
      <c r="C54" s="197"/>
      <c r="D54" s="197"/>
      <c r="E54" s="197"/>
      <c r="F54" s="197"/>
      <c r="G54" s="197"/>
      <c r="H54" s="197"/>
      <c r="I54" s="336" t="s">
        <v>68</v>
      </c>
      <c r="J54" s="336"/>
      <c r="K54" s="336"/>
      <c r="L54" s="336"/>
      <c r="M54" s="336"/>
      <c r="N54" s="336"/>
      <c r="O54" s="336"/>
      <c r="P54" s="336"/>
      <c r="Q54" s="334" t="s">
        <v>69</v>
      </c>
      <c r="R54" s="334"/>
      <c r="S54" s="334"/>
      <c r="T54" s="336"/>
      <c r="U54" s="336"/>
      <c r="V54" s="336"/>
      <c r="W54" s="336"/>
      <c r="X54" s="336"/>
      <c r="Y54" s="336"/>
      <c r="Z54" s="336"/>
      <c r="AA54" s="336"/>
      <c r="AB54" s="336"/>
      <c r="AC54" s="197"/>
      <c r="AD54" s="335"/>
      <c r="AE54" s="22" t="str">
        <f>IF(LEN(ORC)=0,"",ORC)</f>
        <v/>
      </c>
      <c r="AF54" s="337"/>
      <c r="AG54" s="337"/>
      <c r="AH54" s="337"/>
      <c r="AI54" s="338"/>
      <c r="AJ54" s="335"/>
      <c r="AK54" s="335"/>
      <c r="AL54" s="335"/>
      <c r="AM54" s="335"/>
      <c r="AN54" s="335"/>
      <c r="AO54" s="335"/>
      <c r="AP54" s="335"/>
      <c r="AQ54" s="335"/>
      <c r="AR54" s="335"/>
      <c r="AS54" s="197"/>
    </row>
    <row r="55" spans="1:46" ht="2.25" customHeight="1" x14ac:dyDescent="0.35">
      <c r="A55" s="197"/>
      <c r="B55" s="197"/>
      <c r="C55" s="197"/>
      <c r="D55" s="197"/>
      <c r="E55" s="197"/>
      <c r="F55" s="197"/>
      <c r="G55" s="197"/>
      <c r="H55" s="197"/>
      <c r="I55" s="197"/>
      <c r="J55" s="197"/>
      <c r="K55" s="197"/>
      <c r="L55" s="197"/>
      <c r="M55" s="197"/>
      <c r="N55" s="197"/>
      <c r="O55" s="197"/>
      <c r="P55" s="197"/>
      <c r="Q55" s="334"/>
      <c r="R55" s="197"/>
      <c r="S55" s="197"/>
      <c r="T55" s="197"/>
      <c r="U55" s="197"/>
      <c r="V55" s="197"/>
      <c r="W55" s="197"/>
      <c r="X55" s="197"/>
      <c r="Y55" s="197"/>
      <c r="Z55" s="197"/>
      <c r="AA55" s="197"/>
      <c r="AB55" s="197"/>
      <c r="AC55" s="197"/>
      <c r="AD55" s="197"/>
      <c r="AE55" s="197"/>
      <c r="AF55" s="197"/>
      <c r="AG55" s="197"/>
      <c r="AH55" s="197"/>
      <c r="AI55" s="197"/>
      <c r="AJ55" s="197"/>
      <c r="AK55" s="197"/>
      <c r="AL55" s="197"/>
      <c r="AM55" s="197"/>
      <c r="AN55" s="197"/>
      <c r="AO55" s="197"/>
      <c r="AP55" s="197"/>
      <c r="AQ55" s="197"/>
      <c r="AR55" s="197"/>
      <c r="AS55" s="197"/>
    </row>
    <row r="56" spans="1:46" x14ac:dyDescent="0.35">
      <c r="A56" s="197"/>
      <c r="B56" s="197" t="str">
        <f>"PWSS  "  &amp; Version_complete</f>
        <v>PWSS  Version: V02.11-01</v>
      </c>
      <c r="C56" s="197"/>
      <c r="D56" s="197"/>
      <c r="E56" s="197"/>
      <c r="F56" s="197"/>
      <c r="G56" s="197"/>
      <c r="H56" s="197"/>
      <c r="I56" s="197"/>
      <c r="J56" s="197"/>
      <c r="K56" s="197"/>
      <c r="L56" s="197"/>
      <c r="M56" s="197"/>
      <c r="N56" s="197"/>
      <c r="O56" s="197"/>
      <c r="P56" s="197"/>
      <c r="Q56" s="334" t="s">
        <v>70</v>
      </c>
      <c r="R56" s="334"/>
      <c r="S56" s="334"/>
      <c r="T56" s="197"/>
      <c r="U56" s="197"/>
      <c r="V56" s="197"/>
      <c r="W56" s="197"/>
      <c r="X56" s="197"/>
      <c r="Y56" s="197"/>
      <c r="Z56" s="197"/>
      <c r="AA56" s="197"/>
      <c r="AB56" s="197"/>
      <c r="AC56" s="334"/>
      <c r="AD56" s="334"/>
      <c r="AE56" s="23" t="str">
        <f>IF(LEN(CertificateGrade)=0,"",CertificateGrade)</f>
        <v>A</v>
      </c>
      <c r="AF56" s="219" t="s">
        <v>71</v>
      </c>
      <c r="AG56" s="219"/>
      <c r="AH56" s="219"/>
      <c r="AI56" s="24" t="str">
        <f>IF(LEN(CertificateNumber)=0,"",CertificateNumber)</f>
        <v>975930</v>
      </c>
      <c r="AJ56" s="334"/>
      <c r="AK56" s="334"/>
      <c r="AL56" s="334"/>
      <c r="AM56" s="334"/>
      <c r="AN56" s="334"/>
      <c r="AO56" s="334"/>
      <c r="AP56" s="334"/>
      <c r="AQ56" s="334"/>
      <c r="AR56" s="334"/>
      <c r="AS56" s="197"/>
    </row>
  </sheetData>
  <sheetProtection algorithmName="SHA-512" hashValue="u3SdPgk9yXmmdM8xhVTeMr0povyFtP3w7s9H5uWq2ZGzOux9K8co/pKCZH1Zk52hZw+TAt/w2IPy6dUa4yySkA==" saltValue="br2lIQT0BGqp/KHN4fO/8Q==" spinCount="100000" sheet="1" objects="1" scenarios="1"/>
  <mergeCells count="1">
    <mergeCell ref="R52:S52"/>
  </mergeCells>
  <phoneticPr fontId="40" type="noConversion"/>
  <conditionalFormatting sqref="A14:L14 AD14:AI14 N14:S14">
    <cfRule type="expression" dxfId="93" priority="55" stopIfTrue="1">
      <formula>LEN(A$14)=0</formula>
    </cfRule>
  </conditionalFormatting>
  <conditionalFormatting sqref="AD16:AI46">
    <cfRule type="expression" dxfId="92" priority="56" stopIfTrue="1">
      <formula>AND(LEN(AD16)=0,LEN(N16)&gt;0)</formula>
    </cfRule>
    <cfRule type="expression" dxfId="91" priority="57" stopIfTrue="1">
      <formula>ISERROR(AD16)</formula>
    </cfRule>
  </conditionalFormatting>
  <conditionalFormatting sqref="F52">
    <cfRule type="expression" dxfId="90" priority="60" stopIfTrue="1">
      <formula>AND(LEN($F$52)&gt;0,$F$52&gt;1)</formula>
    </cfRule>
  </conditionalFormatting>
  <conditionalFormatting sqref="F16:F46">
    <cfRule type="expression" dxfId="89" priority="61" stopIfTrue="1">
      <formula>AND(LEN($F16)=0,$AT16&gt;0)</formula>
    </cfRule>
  </conditionalFormatting>
  <conditionalFormatting sqref="G16:G46">
    <cfRule type="expression" dxfId="88" priority="62" stopIfTrue="1">
      <formula>AND(LEN($G16)=0,$AU16&gt;0)</formula>
    </cfRule>
  </conditionalFormatting>
  <conditionalFormatting sqref="H16:H46">
    <cfRule type="expression" dxfId="87" priority="63" stopIfTrue="1">
      <formula>AND($G16&gt;0,LEN($G16)&lt;&gt;0,LEN(H16)=0)</formula>
    </cfRule>
  </conditionalFormatting>
  <conditionalFormatting sqref="I16:I46">
    <cfRule type="expression" dxfId="86" priority="64" stopIfTrue="1">
      <formula>AND($K16&gt;0,LEN($K16)&lt;&gt;0,LEN(I16)=0)</formula>
    </cfRule>
  </conditionalFormatting>
  <conditionalFormatting sqref="J16:J46">
    <cfRule type="expression" dxfId="85" priority="65" stopIfTrue="1">
      <formula>AND($G16&gt;0,LEN($G16)&lt;&gt;0,LEN(J16)=0)</formula>
    </cfRule>
  </conditionalFormatting>
  <conditionalFormatting sqref="T14">
    <cfRule type="expression" dxfId="84" priority="52" stopIfTrue="1">
      <formula>LEN(T$14)=0</formula>
    </cfRule>
  </conditionalFormatting>
  <conditionalFormatting sqref="N16:AA46">
    <cfRule type="expression" dxfId="83" priority="66" stopIfTrue="1">
      <formula>AND(LEN(N16)=0,LEN(AD16)&gt;0)</formula>
    </cfRule>
    <cfRule type="expression" dxfId="82" priority="67" stopIfTrue="1">
      <formula>ISERROR(N16)</formula>
    </cfRule>
  </conditionalFormatting>
  <conditionalFormatting sqref="AB16:AB46">
    <cfRule type="expression" dxfId="81" priority="70" stopIfTrue="1">
      <formula>AND(LEN(AB16)=0,LEN(AS16)&gt;0)</formula>
    </cfRule>
    <cfRule type="expression" dxfId="80" priority="71" stopIfTrue="1">
      <formula>ISERROR(AB16)</formula>
    </cfRule>
  </conditionalFormatting>
  <conditionalFormatting sqref="AJ14">
    <cfRule type="expression" dxfId="79" priority="49" stopIfTrue="1">
      <formula>LEN(AJ$14)=0</formula>
    </cfRule>
  </conditionalFormatting>
  <conditionalFormatting sqref="AJ16:AJ46">
    <cfRule type="expression" dxfId="78" priority="50" stopIfTrue="1">
      <formula>AND(LEN(AJ16)=0,LEN(T16)&gt;0)</formula>
    </cfRule>
    <cfRule type="expression" dxfId="77" priority="51" stopIfTrue="1">
      <formula>ISERROR(AJ16)</formula>
    </cfRule>
  </conditionalFormatting>
  <conditionalFormatting sqref="U14">
    <cfRule type="expression" dxfId="76" priority="46" stopIfTrue="1">
      <formula>LEN(U$14)=0</formula>
    </cfRule>
  </conditionalFormatting>
  <conditionalFormatting sqref="AK14">
    <cfRule type="expression" dxfId="75" priority="43" stopIfTrue="1">
      <formula>LEN(AK$14)=0</formula>
    </cfRule>
  </conditionalFormatting>
  <conditionalFormatting sqref="AK16:AK46">
    <cfRule type="expression" dxfId="74" priority="44" stopIfTrue="1">
      <formula>AND(LEN(AK16)=0,LEN(U16)&gt;0)</formula>
    </cfRule>
    <cfRule type="expression" dxfId="73" priority="45" stopIfTrue="1">
      <formula>ISERROR(AK16)</formula>
    </cfRule>
  </conditionalFormatting>
  <conditionalFormatting sqref="V14">
    <cfRule type="expression" dxfId="72" priority="40" stopIfTrue="1">
      <formula>LEN(V$14)=0</formula>
    </cfRule>
  </conditionalFormatting>
  <conditionalFormatting sqref="AL14">
    <cfRule type="expression" dxfId="71" priority="37" stopIfTrue="1">
      <formula>LEN(AL$14)=0</formula>
    </cfRule>
  </conditionalFormatting>
  <conditionalFormatting sqref="AL16:AL46">
    <cfRule type="expression" dxfId="70" priority="38" stopIfTrue="1">
      <formula>AND(LEN(AL16)=0,LEN(V16)&gt;0)</formula>
    </cfRule>
    <cfRule type="expression" dxfId="69" priority="39" stopIfTrue="1">
      <formula>ISERROR(AL16)</formula>
    </cfRule>
  </conditionalFormatting>
  <conditionalFormatting sqref="W14">
    <cfRule type="expression" dxfId="68" priority="34" stopIfTrue="1">
      <formula>LEN(W$14)=0</formula>
    </cfRule>
  </conditionalFormatting>
  <conditionalFormatting sqref="AM14">
    <cfRule type="expression" dxfId="67" priority="31" stopIfTrue="1">
      <formula>LEN(AM$14)=0</formula>
    </cfRule>
  </conditionalFormatting>
  <conditionalFormatting sqref="AM16:AM46">
    <cfRule type="expression" dxfId="66" priority="32" stopIfTrue="1">
      <formula>AND(LEN(AM16)=0,LEN(W16)&gt;0)</formula>
    </cfRule>
    <cfRule type="expression" dxfId="65" priority="33" stopIfTrue="1">
      <formula>ISERROR(AM16)</formula>
    </cfRule>
  </conditionalFormatting>
  <conditionalFormatting sqref="X14">
    <cfRule type="expression" dxfId="64" priority="28" stopIfTrue="1">
      <formula>LEN(X$14)=0</formula>
    </cfRule>
  </conditionalFormatting>
  <conditionalFormatting sqref="AN14">
    <cfRule type="expression" dxfId="63" priority="25" stopIfTrue="1">
      <formula>LEN(AN$14)=0</formula>
    </cfRule>
  </conditionalFormatting>
  <conditionalFormatting sqref="AN16:AN46">
    <cfRule type="expression" dxfId="62" priority="26" stopIfTrue="1">
      <formula>AND(LEN(AN16)=0,LEN(X16)&gt;0)</formula>
    </cfRule>
    <cfRule type="expression" dxfId="61" priority="27" stopIfTrue="1">
      <formula>ISERROR(AN16)</formula>
    </cfRule>
  </conditionalFormatting>
  <conditionalFormatting sqref="Y14">
    <cfRule type="expression" dxfId="60" priority="22" stopIfTrue="1">
      <formula>LEN(Y$14)=0</formula>
    </cfRule>
  </conditionalFormatting>
  <conditionalFormatting sqref="AO14">
    <cfRule type="expression" dxfId="59" priority="19" stopIfTrue="1">
      <formula>LEN(AO$14)=0</formula>
    </cfRule>
  </conditionalFormatting>
  <conditionalFormatting sqref="AO16:AO46">
    <cfRule type="expression" dxfId="58" priority="20" stopIfTrue="1">
      <formula>AND(LEN(AO16)=0,LEN(Y16)&gt;0)</formula>
    </cfRule>
    <cfRule type="expression" dxfId="57" priority="21" stopIfTrue="1">
      <formula>ISERROR(AO16)</formula>
    </cfRule>
  </conditionalFormatting>
  <conditionalFormatting sqref="Z14">
    <cfRule type="expression" dxfId="56" priority="16" stopIfTrue="1">
      <formula>LEN(Z$14)=0</formula>
    </cfRule>
  </conditionalFormatting>
  <conditionalFormatting sqref="AP14">
    <cfRule type="expression" dxfId="55" priority="13" stopIfTrue="1">
      <formula>LEN(AP$14)=0</formula>
    </cfRule>
  </conditionalFormatting>
  <conditionalFormatting sqref="AP16:AP46">
    <cfRule type="expression" dxfId="54" priority="14" stopIfTrue="1">
      <formula>AND(LEN(AP16)=0,LEN(Z16)&gt;0)</formula>
    </cfRule>
    <cfRule type="expression" dxfId="53" priority="15" stopIfTrue="1">
      <formula>ISERROR(AP16)</formula>
    </cfRule>
  </conditionalFormatting>
  <conditionalFormatting sqref="AA14">
    <cfRule type="expression" dxfId="52" priority="10" stopIfTrue="1">
      <formula>LEN(AA$14)=0</formula>
    </cfRule>
  </conditionalFormatting>
  <conditionalFormatting sqref="AQ14">
    <cfRule type="expression" dxfId="51" priority="7" stopIfTrue="1">
      <formula>LEN(AQ$14)=0</formula>
    </cfRule>
  </conditionalFormatting>
  <conditionalFormatting sqref="AQ16:AQ46">
    <cfRule type="expression" dxfId="50" priority="8" stopIfTrue="1">
      <formula>AND(LEN(AQ16)=0,LEN(AA16)&gt;0)</formula>
    </cfRule>
    <cfRule type="expression" dxfId="49" priority="9" stopIfTrue="1">
      <formula>ISERROR(AQ16)</formula>
    </cfRule>
  </conditionalFormatting>
  <conditionalFormatting sqref="AB14">
    <cfRule type="expression" dxfId="48" priority="4" stopIfTrue="1">
      <formula>LEN(AB$14)=0</formula>
    </cfRule>
  </conditionalFormatting>
  <conditionalFormatting sqref="AR14">
    <cfRule type="expression" dxfId="47" priority="1" stopIfTrue="1">
      <formula>LEN(AR$14)=0</formula>
    </cfRule>
  </conditionalFormatting>
  <conditionalFormatting sqref="AR16:AR46">
    <cfRule type="expression" dxfId="46" priority="2" stopIfTrue="1">
      <formula>AND(LEN(AR16)=0,LEN(AB16)&gt;0)</formula>
    </cfRule>
    <cfRule type="expression" dxfId="45" priority="3" stopIfTrue="1">
      <formula>ISERROR(AR16)</formula>
    </cfRule>
  </conditionalFormatting>
  <dataValidations count="21">
    <dataValidation type="custom" allowBlank="1" showInputMessage="1" showErrorMessage="1" errorTitle="   IMPORTANT!  Invalid Entry ..." error="Enter a value between 0 and 99999.99_x000a__x000a_Please use no more than two (2) decimal(s)._x000a__x000a_Use a blank cell (and NOT zero) to indicate no activity / measurement._x000a__x000a_" sqref="AD16:AS46" xr:uid="{00000000-0002-0000-0100-000000000000}">
      <formula1>OR(AND(AD16&gt;=0,AD16&lt;=99999.99),LEN(AD16)=0)</formula1>
    </dataValidation>
    <dataValidation type="custom" allowBlank="1" showInputMessage="1" showErrorMessage="1" errorTitle="   IMPORTANT!  Invalid Entry ..." error="Enter a value between 0 and 100._x000a__x000a_For example, to enter 34 and 1/2 percent, type 34.5._x000a__x000a_Please use no more than two (2) decimals._x000a__x000a_" sqref="N13:AB13 AD13:AR13" xr:uid="{00000000-0002-0000-0100-000001000000}">
      <formula1>OR(AND(N13&gt;0,N13&lt;=1),LEN(N13)=0)</formula1>
    </dataValidation>
    <dataValidation type="list" allowBlank="1" showInputMessage="1" showErrorMessage="1" errorTitle="   IMPORTANT!  Invalid Entry ..." error="The value entered is NOT on this cell's drop-down list of valid choices._x000a__x000a_Press the CANCEL button and then make a selection from the drop-down menu in this cell._x000a__x000a_Please DO NOT use the RETRY button." sqref="AB8 AD8 N8 AF8:AR8" xr:uid="{00000000-0002-0000-0100-000002000000}">
      <formula1>val_ChemicalCategories</formula1>
    </dataValidation>
    <dataValidation type="custom" allowBlank="1" showInputMessage="1" showErrorMessage="1" errorTitle="   IMPORTANT!  Invalid Entry ..." error="Enter a value between 0 and 999999.99_x000a__x000a_Please use no more than two (2) decimal(s)._x000a__x000a_Use a blank cell (and NOT zero) to indicate no activity / measurement._x000a__x000a_" sqref="N16:AB46" xr:uid="{00000000-0002-0000-0100-000003000000}">
      <formula1>OR(AND(N16&gt;=0,N16&lt;=999999.99),LEN(N16)=0)</formula1>
    </dataValidation>
    <dataValidation type="date" operator="greaterThan" allowBlank="1" showInputMessage="1" showErrorMessage="1" errorTitle="   IMPORTANT!  Invalid Entry ..." sqref="R52:S52" xr:uid="{00000000-0002-0000-0100-000004000000}">
      <formula1>39083</formula1>
    </dataValidation>
    <dataValidation type="list" allowBlank="1" showInputMessage="1" showErrorMessage="1" sqref="AE8" xr:uid="{00000000-0002-0000-0100-00000B000000}">
      <formula1>val_ChemicalCategories</formula1>
    </dataValidation>
    <dataValidation type="list" allowBlank="1" showInputMessage="1" showErrorMessage="1" errorTitle="   IMPORTANT!  Invalid Entry ..." error="The value entered is NOT on this cell's drop-down list of valid choices._x000a__x000a_Press the CANCEL button and then make a selection from the drop-down menu in this cell._x000a__x000a_Please DO NOT use the RETRY button." sqref="AE9" xr:uid="{00000000-0002-0000-0100-00000C000000}">
      <formula1>val_PrimaryCoag</formula1>
    </dataValidation>
    <dataValidation type="list" allowBlank="1" showInputMessage="1" showErrorMessage="1" errorTitle="   IMPORTANT!  Invalid Entry ..." error="The value entered is NOT on this cell's drop-down list of valid choices._x000a__x000a_Press the CANCEL button and then make a selection from the drop-down menu in this cell._x000a__x000a_Please DO NOT use the RETRY button." sqref="AE11:AQ11" xr:uid="{00000000-0002-0000-0100-00000D000000}">
      <formula1>val_ChemCalcBasis</formula1>
    </dataValidation>
    <dataValidation type="list" allowBlank="1" showInputMessage="1" showErrorMessage="1" errorTitle="   IMPORTANT!  Invalid Entry ..." error="The value entered is NOT on this cell's drop-down list of valid choices._x000a__x000a_Press the CANCEL button and then make a selection from the drop-down menu in this cell._x000a__x000a_Please DO NOT use the RETRY button." sqref="AF9:AG9" xr:uid="{00000000-0002-0000-0100-00000E000000}">
      <formula1>val_Pre_PostAlkali</formula1>
    </dataValidation>
    <dataValidation type="list" allowBlank="1" showInputMessage="1" showErrorMessage="1" errorTitle="   IMPORTANT!  Invalid Entry ..." error="The value entered is NOT on this cell's drop-down list of valid choices._x000a__x000a_Press the CANCEL button and then make a selection from the drop-down menu in this cell._x000a__x000a_Please DO NOT use the RETRY button." sqref="AH9:AI9" xr:uid="{00000000-0002-0000-0100-00000F000000}">
      <formula1>val_Pre_PostDisinfectant</formula1>
    </dataValidation>
    <dataValidation type="list" allowBlank="1" showInputMessage="1" showErrorMessage="1" errorTitle="   IMPORTANT!  Invalid Entry ..." error="The value entered is NOT on this cell's drop-down list of valid choices._x000a__x000a_Press the CANCEL button and then make a selection from the drop-down menu in this cell._x000a__x000a_Please DO NOT use the RETRY button." sqref="AJ9" xr:uid="{00000000-0002-0000-0100-000010000000}">
      <formula1>val_Fluoride</formula1>
    </dataValidation>
    <dataValidation type="list" allowBlank="1" showInputMessage="1" showErrorMessage="1" errorTitle="   IMPORTANT!  Invalid Entry ..." error="The value entered is NOT on this cell's drop-down list of valid choices._x000a__x000a_Press the CANCEL button and then make a selection from the drop-down menu in this cell._x000a__x000a_Please DO NOT use the RETRY button." sqref="AK9" xr:uid="{00000000-0002-0000-0100-000011000000}">
      <formula1>val_AmmoniaType</formula1>
    </dataValidation>
    <dataValidation type="list" allowBlank="1" showInputMessage="1" showErrorMessage="1" errorTitle="   IMPORTANT!  Invalid Entry ..." error="The value entered is NOT on this cell's drop-down list of valid choices._x000a__x000a_Press the CANCEL button and then make a selection from the drop-down menu in this cell._x000a__x000a_Please DO NOT use the RETRY button." sqref="AL9" xr:uid="{00000000-0002-0000-0100-000012000000}">
      <formula1>val_CorrosionInhibitor</formula1>
    </dataValidation>
    <dataValidation type="list" allowBlank="1" showInputMessage="1" showErrorMessage="1" errorTitle="   IMPORTANT!  Invalid Entry ..." error="The value entered is NOT on this cell's drop-down list of valid choices._x000a__x000a_Press the CANCEL button and then make a selection from the drop-down menu in this cell._x000a__x000a_Please DO NOT use the RETRY button." sqref="AM9:AO9" xr:uid="{00000000-0002-0000-0100-000013000000}">
      <formula1>val_PreTreatment</formula1>
    </dataValidation>
    <dataValidation type="list" allowBlank="1" showInputMessage="1" showErrorMessage="1" errorTitle="   IMPORTANT!  Invalid Entry ..." error="The value entered is NOT on this cell's drop-down list of valid choices._x000a__x000a_Press the CANCEL button and then make a selection from the drop-down menu in this cell._x000a__x000a_Please DO NOT use the RETRY button." sqref="AP9:AQ9" xr:uid="{00000000-0002-0000-0100-000014000000}">
      <formula1>val_Pri_SecOxidant</formula1>
    </dataValidation>
    <dataValidation type="custom" allowBlank="1" showInputMessage="1" showErrorMessage="1" errorTitle="   IMPORTANT!  Invalid Entry ..." error="Enter a value between 0 and 999.999_x000a__x000a_Please use no more than three (3) decimals._x000a__x000a_Use a blank cell (and NOT zero) to indicate no activity / measurement._x000a__x000a_" sqref="B16:E46" xr:uid="{CC3BE40E-4C74-4AF4-84F2-908D2B9B13BC}">
      <formula1>OR(AND(B16&gt;0.00000000001,B16&lt;=999.999),LEN(B16)=0)</formula1>
    </dataValidation>
    <dataValidation type="custom" allowBlank="1" showInputMessage="1" showErrorMessage="1" errorTitle="   IMPORTANT!  Invalid Entry ..." error="Enter a value between 0 and 24_x000a__x000a_Please use no more than two (2) decimal(s)._x000a__x000a_Use a blank cell (and NOT zero) to indicate no activity / measurement._x000a__x000a_" sqref="F16:G46" xr:uid="{71544AB5-AA3B-4983-832B-E7281D25C652}">
      <formula1>OR(AND(F16&gt;=0,F16&lt;=24),LEN(F16)=0)</formula1>
    </dataValidation>
    <dataValidation type="custom" allowBlank="1" showInputMessage="1" showErrorMessage="1" errorTitle="   IMPORTANT!  Invalid Entry ..." error="Enter a value between 0 and 99.99_x000a__x000a_Please use no more than two (2) decimals._x000a__x000a_Use a blank cell (and NOT zero) to indicate no activity / measurement._x000a__x000a_" sqref="H16:H46" xr:uid="{B781DAE8-2FF7-49E1-AE33-9919E9D72880}">
      <formula1>OR(AND(H16&gt;0.01,H16&lt;=99.99),LEN(H16)=0)</formula1>
    </dataValidation>
    <dataValidation type="custom" allowBlank="1" showInputMessage="1" showErrorMessage="1" errorTitle="   IMPORTANT!  Invalid Entry ..." error="Enter a value between 0 and 999.99_x000a__x000a_Please use no more than two (2) decimals._x000a__x000a_Use a blank cell (and NOT zero) to indicate no activity / measurement._x000a__x000a_" sqref="I16:I46" xr:uid="{E1A44D6A-74EE-4CE4-B2E9-0B9579D43AC9}">
      <formula1>OR(AND(I16&gt;0.01,I16&lt;=999.99),LEN(I16)=0)</formula1>
    </dataValidation>
    <dataValidation type="custom" allowBlank="1" showInputMessage="1" showErrorMessage="1" errorTitle="   IMPORTANT!  Invalid Entry ..." error="Enter a value between 0 and 99_x000a__x000a_Whole numbers are required._x000a__x000a_" sqref="J16:K46" xr:uid="{A9FC3B03-DB0C-41D5-A080-D13FC1586594}">
      <formula1>OR(AND(J16&gt;=0,J16&lt;=99),LEN(J16)=0)</formula1>
    </dataValidation>
    <dataValidation type="custom" allowBlank="1" showInputMessage="1" showErrorMessage="1" errorTitle="   IMPORTANT!  Invalid Entry ..." error="Enter a value between 0 and 9,999_x000a__x000a_Whole numbers are required._x000a__x000a_" sqref="L16:L46" xr:uid="{BAE95B5E-B693-4F85-8FCB-66C8D3C84907}">
      <formula1>OR(AND(L16&gt;=0,L16&lt;=9999),LEN(L16)=0)</formula1>
    </dataValidation>
  </dataValidations>
  <printOptions verticalCentered="1"/>
  <pageMargins left="0.25" right="0.25" top="0.25" bottom="0.25" header="0.125" footer="0.125"/>
  <pageSetup paperSize="5" scale="96" orientation="landscape" r:id="rId1"/>
  <headerFooter alignWithMargins="0"/>
  <customProperties>
    <customPr name="SheetID" r:id="rId2"/>
  </customProperties>
  <drawing r:id="rId3"/>
  <legacyDrawing r:id="rId4"/>
  <controls>
    <mc:AlternateContent xmlns:mc="http://schemas.openxmlformats.org/markup-compatibility/2006">
      <mc:Choice Requires="x14">
        <control shapeId="59403" r:id="rId5" name="Label2">
          <controlPr defaultSize="0" print="0" autoFill="0" autoLine="0" r:id="rId6">
            <anchor moveWithCells="1" sizeWithCells="1">
              <from>
                <xdr:col>9</xdr:col>
                <xdr:colOff>182880</xdr:colOff>
                <xdr:row>10</xdr:row>
                <xdr:rowOff>34290</xdr:rowOff>
              </from>
              <to>
                <xdr:col>11</xdr:col>
                <xdr:colOff>361950</xdr:colOff>
                <xdr:row>11</xdr:row>
                <xdr:rowOff>53340</xdr:rowOff>
              </to>
            </anchor>
          </controlPr>
        </control>
      </mc:Choice>
      <mc:Fallback>
        <control shapeId="59403" r:id="rId5" name="Label2"/>
      </mc:Fallback>
    </mc:AlternateContent>
    <mc:AlternateContent xmlns:mc="http://schemas.openxmlformats.org/markup-compatibility/2006">
      <mc:Choice Requires="x14">
        <control shapeId="59397" r:id="rId7" name="btnCalcOff">
          <controlPr defaultSize="0" print="0" autoFill="0" autoLine="0" r:id="rId8">
            <anchor moveWithCells="1" sizeWithCells="1">
              <from>
                <xdr:col>10</xdr:col>
                <xdr:colOff>228600</xdr:colOff>
                <xdr:row>11</xdr:row>
                <xdr:rowOff>22860</xdr:rowOff>
              </from>
              <to>
                <xdr:col>11</xdr:col>
                <xdr:colOff>293370</xdr:colOff>
                <xdr:row>12</xdr:row>
                <xdr:rowOff>87630</xdr:rowOff>
              </to>
            </anchor>
          </controlPr>
        </control>
      </mc:Choice>
      <mc:Fallback>
        <control shapeId="59397" r:id="rId7" name="btnCalcOff"/>
      </mc:Fallback>
    </mc:AlternateContent>
    <mc:AlternateContent xmlns:mc="http://schemas.openxmlformats.org/markup-compatibility/2006">
      <mc:Choice Requires="x14">
        <control shapeId="59396" r:id="rId9" name="btnCalcOn">
          <controlPr defaultSize="0" print="0" autoFill="0" autoLine="0" r:id="rId10">
            <anchor moveWithCells="1" sizeWithCells="1">
              <from>
                <xdr:col>9</xdr:col>
                <xdr:colOff>220980</xdr:colOff>
                <xdr:row>11</xdr:row>
                <xdr:rowOff>22860</xdr:rowOff>
              </from>
              <to>
                <xdr:col>10</xdr:col>
                <xdr:colOff>198120</xdr:colOff>
                <xdr:row>12</xdr:row>
                <xdr:rowOff>95250</xdr:rowOff>
              </to>
            </anchor>
          </controlPr>
        </control>
      </mc:Choice>
      <mc:Fallback>
        <control shapeId="59396" r:id="rId9" name="btnCalcOn"/>
      </mc:Fallback>
    </mc:AlternateContent>
    <mc:AlternateContent xmlns:mc="http://schemas.openxmlformats.org/markup-compatibility/2006">
      <mc:Choice Requires="x14">
        <control shapeId="59394" r:id="rId11" name="Label1">
          <controlPr defaultSize="0" print="0" autoFill="0" autoLine="0" autoPict="0" r:id="rId12">
            <anchor moveWithCells="1" sizeWithCells="1">
              <from>
                <xdr:col>9</xdr:col>
                <xdr:colOff>182880</xdr:colOff>
                <xdr:row>9</xdr:row>
                <xdr:rowOff>30480</xdr:rowOff>
              </from>
              <to>
                <xdr:col>11</xdr:col>
                <xdr:colOff>323850</xdr:colOff>
                <xdr:row>12</xdr:row>
                <xdr:rowOff>87630</xdr:rowOff>
              </to>
            </anchor>
          </controlPr>
        </control>
      </mc:Choice>
      <mc:Fallback>
        <control shapeId="59394" r:id="rId11" name="Label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1940_2_Phy_Chem"/>
  <dimension ref="A1:AV51"/>
  <sheetViews>
    <sheetView showGridLines="0" topLeftCell="A10" zoomScale="104" zoomScaleNormal="104" workbookViewId="0">
      <pane xSplit="1" topLeftCell="R1" activePane="topRight" state="frozenSplit"/>
      <selection pane="topRight" activeCell="AA15" sqref="AA15"/>
    </sheetView>
  </sheetViews>
  <sheetFormatPr defaultColWidth="8.83203125" defaultRowHeight="12.3" x14ac:dyDescent="0.4"/>
  <cols>
    <col min="1" max="1" width="3.27734375" style="449" customWidth="1"/>
    <col min="2" max="2" width="4.27734375" style="449" customWidth="1"/>
    <col min="3" max="3" width="6.5546875" style="449" bestFit="1" customWidth="1"/>
    <col min="4" max="4" width="5.71875" style="449" bestFit="1" customWidth="1"/>
    <col min="5" max="5" width="5.27734375" style="449" customWidth="1"/>
    <col min="6" max="6" width="6.5546875" style="449" bestFit="1" customWidth="1"/>
    <col min="7" max="13" width="5.27734375" style="449" customWidth="1"/>
    <col min="14" max="14" width="5.71875" style="449" bestFit="1" customWidth="1"/>
    <col min="15" max="17" width="5.27734375" style="449" customWidth="1"/>
    <col min="18" max="22" width="5.71875" style="449" bestFit="1" customWidth="1"/>
    <col min="23" max="23" width="6.71875" style="449" customWidth="1"/>
    <col min="24" max="24" width="5.71875" style="449" bestFit="1" customWidth="1"/>
    <col min="25" max="25" width="5.27734375" style="449" customWidth="1"/>
    <col min="26" max="27" width="5.71875" style="449" bestFit="1" customWidth="1"/>
    <col min="28" max="28" width="6.71875" style="449" customWidth="1"/>
    <col min="29" max="30" width="6.5546875" style="449" bestFit="1" customWidth="1"/>
    <col min="31" max="31" width="6.71875" style="449" customWidth="1"/>
    <col min="32" max="33" width="5.27734375" style="449" customWidth="1"/>
    <col min="34" max="34" width="6.71875" style="449" customWidth="1"/>
    <col min="35" max="35" width="5.27734375" style="449" customWidth="1"/>
    <col min="36" max="37" width="6.5546875" style="449" bestFit="1" customWidth="1"/>
    <col min="38" max="39" width="5.27734375" style="449" customWidth="1"/>
    <col min="40" max="41" width="6.71875" style="449" customWidth="1"/>
    <col min="42" max="42" width="5.27734375" style="449" customWidth="1"/>
    <col min="43" max="43" width="1.71875" style="449" customWidth="1"/>
    <col min="44" max="44" width="6.71875" style="449" customWidth="1"/>
    <col min="45" max="45" width="1.71875" style="449" customWidth="1"/>
    <col min="46" max="46" width="6.71875" style="449" customWidth="1"/>
    <col min="47" max="48" width="5.27734375" style="449" customWidth="1"/>
    <col min="49" max="16384" width="8.83203125" style="449"/>
  </cols>
  <sheetData>
    <row r="1" spans="1:48" s="205" customFormat="1" ht="15" x14ac:dyDescent="0.4">
      <c r="A1" s="207"/>
      <c r="B1" s="199" t="s">
        <v>72</v>
      </c>
      <c r="C1" s="199"/>
      <c r="D1" s="199"/>
      <c r="E1" s="207"/>
      <c r="F1" s="200">
        <f>IF(LEN(FormMasterDate)=0,"",FormMasterDate)</f>
        <v>43525</v>
      </c>
      <c r="G1" s="201"/>
      <c r="H1" s="201"/>
      <c r="I1" s="201"/>
      <c r="J1" s="202"/>
      <c r="K1" s="201"/>
      <c r="L1" s="201"/>
      <c r="M1" s="201"/>
      <c r="N1" s="340"/>
      <c r="O1" s="341" t="s">
        <v>73</v>
      </c>
      <c r="P1" s="341"/>
      <c r="Q1" s="341"/>
      <c r="R1" s="341"/>
      <c r="S1" s="341"/>
      <c r="T1" s="341"/>
      <c r="U1" s="341"/>
      <c r="V1" s="341"/>
      <c r="W1" s="341"/>
      <c r="X1" s="341"/>
      <c r="Y1" s="341"/>
      <c r="Z1" s="341"/>
      <c r="AA1" s="341"/>
      <c r="AB1" s="341"/>
      <c r="AC1" s="341"/>
      <c r="AD1" s="341"/>
      <c r="AE1" s="341"/>
      <c r="AF1" s="341"/>
      <c r="AG1" s="341"/>
      <c r="AH1" s="206"/>
      <c r="AI1" s="206"/>
      <c r="AJ1" s="206"/>
      <c r="AK1" s="206"/>
      <c r="AL1" s="207"/>
      <c r="AM1" s="207"/>
      <c r="AN1" s="207"/>
      <c r="AO1" s="207"/>
      <c r="AP1" s="207"/>
      <c r="AQ1" s="207"/>
      <c r="AR1" s="207"/>
      <c r="AS1" s="207"/>
      <c r="AT1" s="207"/>
      <c r="AU1" s="207"/>
      <c r="AV1" s="207"/>
    </row>
    <row r="2" spans="1:48" s="208" customFormat="1" ht="3" customHeight="1" x14ac:dyDescent="0.35">
      <c r="A2" s="197"/>
      <c r="B2" s="197"/>
      <c r="C2" s="197"/>
      <c r="D2" s="197"/>
      <c r="E2" s="197"/>
      <c r="F2" s="197"/>
      <c r="G2" s="197"/>
      <c r="H2" s="197"/>
      <c r="I2" s="197"/>
      <c r="J2" s="197"/>
      <c r="K2" s="197"/>
      <c r="L2" s="197"/>
      <c r="M2" s="197"/>
      <c r="N2" s="197"/>
      <c r="O2" s="219"/>
      <c r="P2" s="197"/>
      <c r="Q2" s="197"/>
      <c r="R2" s="197"/>
      <c r="S2" s="197"/>
      <c r="T2" s="197"/>
      <c r="U2" s="197"/>
      <c r="V2" s="197"/>
      <c r="W2" s="197"/>
      <c r="X2" s="197"/>
      <c r="Y2" s="197"/>
      <c r="Z2" s="197"/>
      <c r="AA2" s="197"/>
      <c r="AB2" s="197"/>
      <c r="AC2" s="197"/>
      <c r="AD2" s="197"/>
      <c r="AE2" s="197"/>
      <c r="AF2" s="197"/>
      <c r="AG2" s="197"/>
      <c r="AH2" s="197"/>
      <c r="AI2" s="197"/>
      <c r="AJ2" s="197"/>
      <c r="AK2" s="197"/>
      <c r="AL2" s="197"/>
      <c r="AM2" s="197"/>
      <c r="AN2" s="197"/>
      <c r="AO2" s="197"/>
      <c r="AP2" s="197"/>
      <c r="AQ2" s="197"/>
      <c r="AR2" s="197"/>
      <c r="AS2" s="197"/>
      <c r="AT2" s="197"/>
      <c r="AU2" s="197"/>
      <c r="AV2" s="197"/>
    </row>
    <row r="3" spans="1:48" s="208" customFormat="1" ht="10.15" customHeight="1" x14ac:dyDescent="0.4">
      <c r="A3" s="209"/>
      <c r="B3" s="209" t="s">
        <v>30</v>
      </c>
      <c r="C3" s="209"/>
      <c r="D3" s="197"/>
      <c r="E3" s="197"/>
      <c r="F3" s="342" t="str">
        <f>IF(LEN(FormPWSIDNum)=0,"",FormPWSIDNum)</f>
        <v>NC0392020</v>
      </c>
      <c r="G3" s="343"/>
      <c r="H3" s="343"/>
      <c r="I3" s="343"/>
      <c r="J3" s="343"/>
      <c r="K3" s="343"/>
      <c r="L3" s="343"/>
      <c r="M3" s="343"/>
      <c r="N3" s="344"/>
      <c r="O3" s="197"/>
      <c r="P3"/>
      <c r="Q3"/>
      <c r="R3" s="197"/>
      <c r="S3" s="197"/>
      <c r="T3" s="197"/>
      <c r="U3" s="197"/>
      <c r="V3" s="197"/>
      <c r="W3" s="197"/>
      <c r="X3" s="219"/>
      <c r="Y3" s="219"/>
      <c r="Z3" s="219"/>
      <c r="AA3" s="219"/>
      <c r="AB3" s="219"/>
      <c r="AC3" s="219"/>
      <c r="AD3" s="197"/>
      <c r="AE3" s="197"/>
      <c r="AF3" s="197"/>
      <c r="AG3" s="197"/>
      <c r="AH3" s="197"/>
      <c r="AI3" s="197"/>
      <c r="AJ3" s="197"/>
      <c r="AK3" s="209" t="s">
        <v>31</v>
      </c>
      <c r="AL3" s="209"/>
      <c r="AM3" s="197"/>
      <c r="AN3" s="197"/>
      <c r="AO3" s="214" t="str">
        <f>IF(LEN(FormFacilityID)=0,"",FormFacilityID)</f>
        <v>P01</v>
      </c>
      <c r="AP3" s="217"/>
      <c r="AQ3" s="215"/>
      <c r="AR3" s="215"/>
      <c r="AS3" s="217"/>
      <c r="AT3" s="217"/>
      <c r="AU3" s="217"/>
      <c r="AV3" s="218"/>
    </row>
    <row r="4" spans="1:48" s="208" customFormat="1" ht="3" customHeight="1" x14ac:dyDescent="0.4">
      <c r="A4"/>
      <c r="B4"/>
      <c r="C4"/>
      <c r="D4"/>
      <c r="E4" s="197"/>
      <c r="F4"/>
      <c r="G4"/>
      <c r="H4"/>
      <c r="I4"/>
      <c r="J4" s="197"/>
      <c r="K4"/>
      <c r="L4"/>
      <c r="M4"/>
      <c r="N4" s="197"/>
      <c r="O4" s="197"/>
      <c r="P4" s="345"/>
      <c r="Q4" s="197"/>
      <c r="R4" s="197"/>
      <c r="S4" s="197"/>
      <c r="T4" s="197"/>
      <c r="U4" s="197"/>
      <c r="V4" s="197"/>
      <c r="W4" s="197"/>
      <c r="X4" s="209"/>
      <c r="Y4" s="223"/>
      <c r="Z4" s="223"/>
      <c r="AA4" s="197"/>
      <c r="AB4" s="223"/>
      <c r="AC4" s="223"/>
      <c r="AD4" s="197"/>
      <c r="AE4" s="197"/>
      <c r="AF4" s="197"/>
      <c r="AG4" s="197"/>
      <c r="AH4" s="197"/>
      <c r="AI4" s="197"/>
      <c r="AJ4" s="197"/>
      <c r="AK4" s="346"/>
      <c r="AL4" s="197"/>
      <c r="AM4" s="197"/>
      <c r="AN4" s="197"/>
      <c r="AO4" s="197"/>
      <c r="AP4" s="197"/>
      <c r="AQ4" s="197"/>
      <c r="AR4" s="197"/>
      <c r="AS4" s="347"/>
      <c r="AT4" s="347"/>
      <c r="AU4" s="223"/>
      <c r="AV4" s="223"/>
    </row>
    <row r="5" spans="1:48" s="208" customFormat="1" ht="10.15" customHeight="1" x14ac:dyDescent="0.4">
      <c r="A5" s="209"/>
      <c r="B5" s="209" t="s">
        <v>32</v>
      </c>
      <c r="C5" s="209"/>
      <c r="D5" s="209"/>
      <c r="E5" s="209"/>
      <c r="F5" s="342" t="str">
        <f>IF(LEN(FormWaterSysName)=0,"",FormWaterSysName)</f>
        <v>Cary, Town of</v>
      </c>
      <c r="G5" s="343"/>
      <c r="H5" s="343"/>
      <c r="I5" s="343"/>
      <c r="J5" s="343"/>
      <c r="K5" s="343"/>
      <c r="L5" s="343"/>
      <c r="M5" s="343"/>
      <c r="N5" s="344"/>
      <c r="O5" s="197"/>
      <c r="P5" s="197"/>
      <c r="Q5" s="197"/>
      <c r="R5" s="197"/>
      <c r="S5" s="197"/>
      <c r="T5" s="197"/>
      <c r="U5" s="197"/>
      <c r="V5" s="197"/>
      <c r="W5" s="197"/>
      <c r="X5" s="219"/>
      <c r="Y5" s="219"/>
      <c r="Z5" s="219"/>
      <c r="AA5" s="219"/>
      <c r="AB5" s="197"/>
      <c r="AC5" s="197"/>
      <c r="AD5" s="197"/>
      <c r="AE5" s="197"/>
      <c r="AF5" s="197"/>
      <c r="AG5" s="197"/>
      <c r="AH5" s="197"/>
      <c r="AI5" s="197"/>
      <c r="AJ5" s="197"/>
      <c r="AK5" s="209" t="s">
        <v>33</v>
      </c>
      <c r="AL5" s="209"/>
      <c r="AM5" s="209"/>
      <c r="AN5" s="209"/>
      <c r="AO5" s="214" t="str">
        <f>IF(LEN(FormFacilityName)=0,"",FormFacilityName)</f>
        <v>Cary Apex WTP</v>
      </c>
      <c r="AP5" s="217"/>
      <c r="AQ5" s="217"/>
      <c r="AR5" s="217"/>
      <c r="AS5" s="217"/>
      <c r="AT5" s="217"/>
      <c r="AU5" s="217"/>
      <c r="AV5" s="218"/>
    </row>
    <row r="6" spans="1:48" s="208" customFormat="1" ht="6" customHeight="1" thickBot="1" x14ac:dyDescent="0.45">
      <c r="A6" s="197"/>
      <c r="B6" s="197"/>
      <c r="C6" s="197"/>
      <c r="D6" s="197"/>
      <c r="E6" s="197"/>
      <c r="F6" s="197"/>
      <c r="G6" s="197"/>
      <c r="H6" s="197"/>
      <c r="I6" s="197"/>
      <c r="J6" s="197"/>
      <c r="K6" s="197"/>
      <c r="L6" s="197"/>
      <c r="M6" s="197"/>
      <c r="N6" s="197"/>
      <c r="O6" s="197"/>
      <c r="P6" s="197"/>
      <c r="Q6" s="197"/>
      <c r="R6" s="197"/>
      <c r="S6" s="197"/>
      <c r="T6" s="197"/>
      <c r="U6" s="197"/>
      <c r="V6" s="197"/>
      <c r="W6" s="197"/>
      <c r="X6" s="197"/>
      <c r="Y6" s="197"/>
      <c r="Z6" s="197"/>
      <c r="AA6" s="345"/>
      <c r="AB6" s="197"/>
      <c r="AC6" s="197"/>
      <c r="AD6" s="197"/>
      <c r="AE6" s="197"/>
      <c r="AF6" s="197"/>
      <c r="AG6" s="197"/>
      <c r="AH6" s="197"/>
      <c r="AI6" s="197"/>
      <c r="AJ6" s="197"/>
      <c r="AK6" s="197"/>
      <c r="AL6" s="197"/>
      <c r="AM6" s="197"/>
      <c r="AN6" s="197"/>
      <c r="AO6" s="197"/>
      <c r="AP6" s="197"/>
      <c r="AQ6" s="197"/>
      <c r="AR6" s="197"/>
      <c r="AS6" s="197"/>
      <c r="AT6" s="197"/>
      <c r="AU6" s="197"/>
      <c r="AV6" s="197"/>
    </row>
    <row r="7" spans="1:48" s="208" customFormat="1" ht="10.199999999999999" x14ac:dyDescent="0.35">
      <c r="A7" s="348"/>
      <c r="B7" s="349"/>
      <c r="C7" s="350"/>
      <c r="D7" s="349"/>
      <c r="E7" s="351"/>
      <c r="F7" s="349"/>
      <c r="G7" s="349"/>
      <c r="H7" s="350"/>
      <c r="I7" s="349"/>
      <c r="J7" s="349"/>
      <c r="K7" s="349"/>
      <c r="L7" s="349"/>
      <c r="M7" s="349"/>
      <c r="N7" s="351"/>
      <c r="O7" s="352"/>
      <c r="P7" s="352"/>
      <c r="Q7" s="352"/>
      <c r="R7" s="353"/>
      <c r="S7" s="352"/>
      <c r="T7" s="354"/>
      <c r="U7" s="352" t="s">
        <v>74</v>
      </c>
      <c r="V7" s="352"/>
      <c r="W7" s="355"/>
      <c r="X7" s="349"/>
      <c r="Y7" s="349"/>
      <c r="Z7" s="353" t="s">
        <v>75</v>
      </c>
      <c r="AA7" s="354"/>
      <c r="AB7" s="349"/>
      <c r="AC7" s="353" t="s">
        <v>76</v>
      </c>
      <c r="AD7" s="354"/>
      <c r="AE7" s="349"/>
      <c r="AF7" s="353"/>
      <c r="AG7" s="352"/>
      <c r="AH7" s="356"/>
      <c r="AI7" s="349"/>
      <c r="AJ7" s="353" t="s">
        <v>77</v>
      </c>
      <c r="AK7" s="352"/>
      <c r="AL7" s="354"/>
      <c r="AM7" s="357"/>
      <c r="AN7" s="349"/>
      <c r="AO7" s="350"/>
      <c r="AP7" s="349"/>
      <c r="AQ7" s="350"/>
      <c r="AR7" s="349"/>
      <c r="AS7" s="349"/>
      <c r="AT7" s="349"/>
      <c r="AU7" s="349"/>
      <c r="AV7" s="351"/>
    </row>
    <row r="8" spans="1:48" s="208" customFormat="1" ht="11.4" x14ac:dyDescent="0.35">
      <c r="A8" s="358"/>
      <c r="B8" s="197"/>
      <c r="C8" s="359" t="s">
        <v>78</v>
      </c>
      <c r="D8" s="360"/>
      <c r="E8" s="361"/>
      <c r="F8" s="360" t="s">
        <v>79</v>
      </c>
      <c r="G8" s="362"/>
      <c r="H8" s="363" t="s">
        <v>80</v>
      </c>
      <c r="I8" s="362"/>
      <c r="J8" s="362"/>
      <c r="K8" s="362"/>
      <c r="L8" s="362"/>
      <c r="M8" s="362"/>
      <c r="N8" s="364"/>
      <c r="O8" s="362" t="s">
        <v>81</v>
      </c>
      <c r="P8" s="362"/>
      <c r="Q8" s="362"/>
      <c r="R8" s="363" t="s">
        <v>82</v>
      </c>
      <c r="S8" s="362"/>
      <c r="T8" s="364"/>
      <c r="U8" s="362" t="s">
        <v>83</v>
      </c>
      <c r="V8" s="362"/>
      <c r="W8" s="365"/>
      <c r="X8" s="362" t="s">
        <v>84</v>
      </c>
      <c r="Y8" s="362"/>
      <c r="Z8" s="363" t="s">
        <v>83</v>
      </c>
      <c r="AA8" s="364"/>
      <c r="AB8" s="197"/>
      <c r="AC8" s="363" t="s">
        <v>85</v>
      </c>
      <c r="AD8" s="364"/>
      <c r="AE8" s="366"/>
      <c r="AF8" s="363" t="s">
        <v>86</v>
      </c>
      <c r="AG8" s="362"/>
      <c r="AH8" s="364"/>
      <c r="AI8" s="197"/>
      <c r="AJ8" s="363" t="s">
        <v>87</v>
      </c>
      <c r="AK8" s="362"/>
      <c r="AL8" s="364"/>
      <c r="AM8" s="367"/>
      <c r="AN8" s="197"/>
      <c r="AO8" s="363" t="s">
        <v>88</v>
      </c>
      <c r="AP8" s="362"/>
      <c r="AQ8" s="363" t="s">
        <v>89</v>
      </c>
      <c r="AR8" s="363"/>
      <c r="AS8" s="362"/>
      <c r="AT8" s="362"/>
      <c r="AU8" s="362"/>
      <c r="AV8" s="361"/>
    </row>
    <row r="9" spans="1:48" s="370" customFormat="1" ht="69" customHeight="1" x14ac:dyDescent="0.4">
      <c r="A9" s="239" t="s">
        <v>38</v>
      </c>
      <c r="B9" s="255" t="s">
        <v>90</v>
      </c>
      <c r="C9" s="239" t="s">
        <v>91</v>
      </c>
      <c r="D9" s="241" t="s">
        <v>92</v>
      </c>
      <c r="E9" s="243" t="s">
        <v>93</v>
      </c>
      <c r="F9" s="241" t="s">
        <v>91</v>
      </c>
      <c r="G9" s="255" t="s">
        <v>94</v>
      </c>
      <c r="H9" s="239" t="s">
        <v>95</v>
      </c>
      <c r="I9" s="241" t="s">
        <v>96</v>
      </c>
      <c r="J9" s="241" t="s">
        <v>97</v>
      </c>
      <c r="K9" s="241" t="s">
        <v>98</v>
      </c>
      <c r="L9" s="241" t="s">
        <v>99</v>
      </c>
      <c r="M9" s="241" t="s">
        <v>100</v>
      </c>
      <c r="N9" s="243" t="s">
        <v>101</v>
      </c>
      <c r="O9" s="241" t="s">
        <v>102</v>
      </c>
      <c r="P9" s="241" t="s">
        <v>103</v>
      </c>
      <c r="Q9" s="255" t="s">
        <v>104</v>
      </c>
      <c r="R9" s="239" t="s">
        <v>102</v>
      </c>
      <c r="S9" s="241" t="s">
        <v>103</v>
      </c>
      <c r="T9" s="243" t="s">
        <v>105</v>
      </c>
      <c r="U9" s="241" t="s">
        <v>106</v>
      </c>
      <c r="V9" s="255" t="s">
        <v>107</v>
      </c>
      <c r="W9" s="700" t="s">
        <v>108</v>
      </c>
      <c r="X9" s="241" t="s">
        <v>91</v>
      </c>
      <c r="Y9" s="255" t="s">
        <v>109</v>
      </c>
      <c r="Z9" s="239" t="s">
        <v>91</v>
      </c>
      <c r="AA9" s="243" t="s">
        <v>109</v>
      </c>
      <c r="AB9" s="255" t="s">
        <v>110</v>
      </c>
      <c r="AC9" s="239" t="s">
        <v>91</v>
      </c>
      <c r="AD9" s="243" t="s">
        <v>105</v>
      </c>
      <c r="AE9" s="255" t="s">
        <v>111</v>
      </c>
      <c r="AF9" s="239" t="s">
        <v>112</v>
      </c>
      <c r="AG9" s="241" t="s">
        <v>113</v>
      </c>
      <c r="AH9" s="243" t="s">
        <v>114</v>
      </c>
      <c r="AI9" s="255" t="s">
        <v>115</v>
      </c>
      <c r="AJ9" s="239" t="s">
        <v>116</v>
      </c>
      <c r="AK9" s="241" t="s">
        <v>117</v>
      </c>
      <c r="AL9" s="243" t="s">
        <v>118</v>
      </c>
      <c r="AM9" s="241" t="s">
        <v>119</v>
      </c>
      <c r="AN9" s="255" t="s">
        <v>120</v>
      </c>
      <c r="AO9" s="239" t="s">
        <v>121</v>
      </c>
      <c r="AP9" s="255" t="s">
        <v>122</v>
      </c>
      <c r="AQ9" s="368"/>
      <c r="AR9" s="241" t="s">
        <v>123</v>
      </c>
      <c r="AS9" s="369"/>
      <c r="AT9" s="241" t="s">
        <v>124</v>
      </c>
      <c r="AU9" s="241" t="s">
        <v>125</v>
      </c>
      <c r="AV9" s="243" t="s">
        <v>126</v>
      </c>
    </row>
    <row r="10" spans="1:48" s="370" customFormat="1" ht="39.700000000000003" customHeight="1" x14ac:dyDescent="0.4">
      <c r="A10" s="371"/>
      <c r="B10" s="574"/>
      <c r="C10" s="373"/>
      <c r="D10" s="374"/>
      <c r="E10" s="375"/>
      <c r="F10" s="376"/>
      <c r="G10" s="244"/>
      <c r="H10" s="377"/>
      <c r="I10" s="374"/>
      <c r="J10" s="374"/>
      <c r="K10" s="374"/>
      <c r="L10" s="374"/>
      <c r="M10" s="374"/>
      <c r="N10" s="378"/>
      <c r="O10" s="1088"/>
      <c r="P10" s="374"/>
      <c r="Q10" s="372"/>
      <c r="R10" s="377"/>
      <c r="S10" s="374"/>
      <c r="T10" s="378"/>
      <c r="U10" s="374"/>
      <c r="V10" s="372"/>
      <c r="W10" s="692"/>
      <c r="X10" s="1088"/>
      <c r="Y10" s="372"/>
      <c r="Z10" s="373"/>
      <c r="AA10" s="1090"/>
      <c r="AB10" s="574"/>
      <c r="AC10" s="377"/>
      <c r="AD10" s="1090"/>
      <c r="AE10" s="1121" t="s">
        <v>361</v>
      </c>
      <c r="AF10" s="1088"/>
      <c r="AG10" s="1123" t="s">
        <v>384</v>
      </c>
      <c r="AH10" s="1090"/>
      <c r="AI10" s="574"/>
      <c r="AJ10" s="373"/>
      <c r="AK10" s="1088"/>
      <c r="AL10" s="1090"/>
      <c r="AM10" s="1099"/>
      <c r="AN10" s="1087"/>
      <c r="AO10" s="373"/>
      <c r="AP10" s="574"/>
      <c r="AQ10" s="379" t="str">
        <f>IF(LEN(AR10)=0, "","&lt;")</f>
        <v>&lt;</v>
      </c>
      <c r="AR10" s="1125" t="s">
        <v>361</v>
      </c>
      <c r="AS10" s="380" t="str">
        <f>IF(LEN(AT10)=0, "","&lt;")</f>
        <v>&lt;</v>
      </c>
      <c r="AT10" s="6" t="s">
        <v>361</v>
      </c>
      <c r="AU10" s="374"/>
      <c r="AV10" s="378"/>
    </row>
    <row r="11" spans="1:48" s="370" customFormat="1" ht="10.5" x14ac:dyDescent="0.4">
      <c r="A11" s="381"/>
      <c r="B11" s="382"/>
      <c r="C11" s="383"/>
      <c r="D11" s="384"/>
      <c r="E11" s="243"/>
      <c r="F11" s="241"/>
      <c r="G11" s="255"/>
      <c r="H11" s="383"/>
      <c r="I11" s="384"/>
      <c r="J11" s="384"/>
      <c r="K11" s="384"/>
      <c r="L11" s="384"/>
      <c r="M11" s="384"/>
      <c r="N11" s="385"/>
      <c r="O11" s="384"/>
      <c r="P11" s="384"/>
      <c r="Q11" s="382"/>
      <c r="R11" s="383"/>
      <c r="S11" s="384"/>
      <c r="T11" s="385"/>
      <c r="U11" s="384"/>
      <c r="V11" s="382"/>
      <c r="W11" s="386"/>
      <c r="X11" s="384"/>
      <c r="Y11" s="382"/>
      <c r="Z11" s="383"/>
      <c r="AA11" s="385"/>
      <c r="AB11" s="382"/>
      <c r="AC11" s="383"/>
      <c r="AD11" s="385"/>
      <c r="AE11" s="1122"/>
      <c r="AF11" s="384"/>
      <c r="AG11" s="1124"/>
      <c r="AH11" s="385"/>
      <c r="AI11" s="382"/>
      <c r="AJ11" s="383"/>
      <c r="AK11" s="384"/>
      <c r="AL11" s="385"/>
      <c r="AM11" s="241"/>
      <c r="AN11" s="255"/>
      <c r="AO11" s="383"/>
      <c r="AP11" s="382"/>
      <c r="AQ11" s="387"/>
      <c r="AR11" s="1126"/>
      <c r="AS11" s="388"/>
      <c r="AT11" s="25"/>
      <c r="AU11" s="252"/>
      <c r="AV11" s="385"/>
    </row>
    <row r="12" spans="1:48" s="395" customFormat="1" ht="10.199999999999999" hidden="1" x14ac:dyDescent="0.35">
      <c r="A12" s="289"/>
      <c r="B12" s="389" t="s">
        <v>127</v>
      </c>
      <c r="C12" s="390" t="s">
        <v>128</v>
      </c>
      <c r="D12" s="296" t="s">
        <v>129</v>
      </c>
      <c r="E12" s="391" t="s">
        <v>130</v>
      </c>
      <c r="F12" s="302" t="s">
        <v>55</v>
      </c>
      <c r="G12" s="301" t="s">
        <v>55</v>
      </c>
      <c r="H12" s="299" t="s">
        <v>127</v>
      </c>
      <c r="I12" s="295" t="s">
        <v>127</v>
      </c>
      <c r="J12" s="295" t="s">
        <v>127</v>
      </c>
      <c r="K12" s="295" t="s">
        <v>127</v>
      </c>
      <c r="L12" s="295" t="s">
        <v>127</v>
      </c>
      <c r="M12" s="295" t="s">
        <v>127</v>
      </c>
      <c r="N12" s="392" t="s">
        <v>127</v>
      </c>
      <c r="O12" s="295" t="s">
        <v>55</v>
      </c>
      <c r="P12" s="295" t="s">
        <v>55</v>
      </c>
      <c r="Q12" s="393" t="s">
        <v>55</v>
      </c>
      <c r="R12" s="390" t="s">
        <v>55</v>
      </c>
      <c r="S12" s="296" t="s">
        <v>55</v>
      </c>
      <c r="T12" s="297" t="s">
        <v>55</v>
      </c>
      <c r="U12" s="296" t="s">
        <v>55</v>
      </c>
      <c r="V12" s="389" t="s">
        <v>55</v>
      </c>
      <c r="W12" s="394" t="s">
        <v>55</v>
      </c>
      <c r="X12" s="295" t="s">
        <v>129</v>
      </c>
      <c r="Y12" s="393" t="s">
        <v>129</v>
      </c>
      <c r="Z12" s="299" t="s">
        <v>131</v>
      </c>
      <c r="AA12" s="392" t="s">
        <v>131</v>
      </c>
      <c r="AB12" s="393" t="s">
        <v>132</v>
      </c>
      <c r="AC12" s="390" t="s">
        <v>55</v>
      </c>
      <c r="AD12" s="297" t="s">
        <v>55</v>
      </c>
      <c r="AE12" s="389" t="s">
        <v>54</v>
      </c>
      <c r="AF12" s="299" t="s">
        <v>55</v>
      </c>
      <c r="AG12" s="295" t="s">
        <v>55</v>
      </c>
      <c r="AH12" s="392" t="s">
        <v>55</v>
      </c>
      <c r="AI12" s="288" t="s">
        <v>55</v>
      </c>
      <c r="AJ12" s="299" t="s">
        <v>133</v>
      </c>
      <c r="AK12" s="295" t="s">
        <v>133</v>
      </c>
      <c r="AL12" s="392" t="s">
        <v>132</v>
      </c>
      <c r="AM12" s="295" t="s">
        <v>132</v>
      </c>
      <c r="AN12" s="393" t="s">
        <v>132</v>
      </c>
      <c r="AO12" s="390" t="s">
        <v>59</v>
      </c>
      <c r="AP12" s="393" t="s">
        <v>55</v>
      </c>
      <c r="AQ12" s="289" t="s">
        <v>134</v>
      </c>
      <c r="AR12" s="289" t="s">
        <v>135</v>
      </c>
      <c r="AS12" s="287" t="s">
        <v>134</v>
      </c>
      <c r="AT12" s="287" t="s">
        <v>135</v>
      </c>
      <c r="AU12" s="287" t="s">
        <v>134</v>
      </c>
      <c r="AV12" s="290" t="s">
        <v>134</v>
      </c>
    </row>
    <row r="13" spans="1:48" s="208" customFormat="1" ht="10.5" customHeight="1" x14ac:dyDescent="0.35">
      <c r="A13" s="1103">
        <v>1</v>
      </c>
      <c r="B13" s="26">
        <f>'User Data'!X7</f>
        <v>13.02</v>
      </c>
      <c r="C13" s="27">
        <f>'User Data'!BR11</f>
        <v>21</v>
      </c>
      <c r="D13" s="28">
        <f>'User Data'!BS11</f>
        <v>0.77</v>
      </c>
      <c r="E13" s="1086">
        <f>'User Data'!BT11</f>
        <v>23</v>
      </c>
      <c r="F13" s="29">
        <f>'User Data'!CA11</f>
        <v>103</v>
      </c>
      <c r="G13" s="30">
        <f>'User Data'!CB11</f>
        <v>0</v>
      </c>
      <c r="H13" s="31">
        <f>'User Data'!AG7</f>
        <v>7.36</v>
      </c>
      <c r="I13" s="32">
        <f>'User Data'!AH7</f>
        <v>7.12</v>
      </c>
      <c r="J13" s="32">
        <f>'User Data'!AI7</f>
        <v>6.29</v>
      </c>
      <c r="K13" s="32">
        <f>'User Data'!AJ7</f>
        <v>6.14</v>
      </c>
      <c r="L13" s="32">
        <f>'User Data'!AQ7</f>
        <v>7.91</v>
      </c>
      <c r="M13" s="32">
        <f>'User Data'!AR7</f>
        <v>7.74</v>
      </c>
      <c r="N13" s="33">
        <f>'User Data'!AS7</f>
        <v>7.83</v>
      </c>
      <c r="O13" s="29">
        <f>'User Data'!BU11</f>
        <v>0.97</v>
      </c>
      <c r="P13" s="29">
        <f>'User Data'!BV11</f>
        <v>2.38</v>
      </c>
      <c r="Q13" s="30">
        <f>'User Data'!BW11</f>
        <v>0.98</v>
      </c>
      <c r="R13" s="34">
        <f>'User Data'!BX11</f>
        <v>25.58</v>
      </c>
      <c r="S13" s="29">
        <f>'User Data'!BY11</f>
        <v>13.25</v>
      </c>
      <c r="T13" s="35">
        <f>'User Data'!BZ11</f>
        <v>27.75</v>
      </c>
      <c r="U13" s="29">
        <f>'User Data'!CC11</f>
        <v>26.383362300000002</v>
      </c>
      <c r="V13" s="30">
        <f>'User Data'!CD11</f>
        <v>26.785938099999999</v>
      </c>
      <c r="W13" s="36">
        <f>'User Data'!CV11</f>
        <v>6.6955</v>
      </c>
      <c r="X13" s="28">
        <f>'User Data'!CF11</f>
        <v>0.94920000000000004</v>
      </c>
      <c r="Y13" s="28">
        <f>'User Data'!CG11</f>
        <v>0</v>
      </c>
      <c r="Z13" s="38">
        <v>0.108</v>
      </c>
      <c r="AA13" s="39">
        <v>1.4999999999999999E-2</v>
      </c>
      <c r="AB13" s="37">
        <f>'User Data'!CI11</f>
        <v>0.76500000000000001</v>
      </c>
      <c r="AC13" s="34">
        <f>'User Data'!CQ11</f>
        <v>103</v>
      </c>
      <c r="AD13" s="35">
        <f>'User Data'!CR11</f>
        <v>185</v>
      </c>
      <c r="AE13" s="30"/>
      <c r="AF13" s="34"/>
      <c r="AG13" s="29"/>
      <c r="AH13" s="35"/>
      <c r="AI13" s="30"/>
      <c r="AJ13" s="38">
        <f>'User Data'!Y7</f>
        <v>0.4</v>
      </c>
      <c r="AK13" s="40">
        <f>'User Data'!AB7</f>
        <v>1.8</v>
      </c>
      <c r="AL13" s="41"/>
      <c r="AM13" s="28"/>
      <c r="AN13" s="37"/>
      <c r="AO13" s="1084">
        <f>'User Data'!X101</f>
        <v>125.86747434872281</v>
      </c>
      <c r="AP13" s="1085">
        <f>'User Data'!Y101</f>
        <v>1.6782329913163041</v>
      </c>
      <c r="AQ13" s="42"/>
      <c r="AR13" s="43">
        <f>'User Data'!CZ11</f>
        <v>387.3</v>
      </c>
      <c r="AS13" s="43"/>
      <c r="AT13" s="43">
        <f>'User Data'!DB11</f>
        <v>47.3</v>
      </c>
      <c r="AU13" s="43" t="s">
        <v>363</v>
      </c>
      <c r="AV13" s="43" t="s">
        <v>363</v>
      </c>
    </row>
    <row r="14" spans="1:48" s="208" customFormat="1" ht="10.5" customHeight="1" x14ac:dyDescent="0.35">
      <c r="A14" s="1103">
        <v>2</v>
      </c>
      <c r="B14" s="26">
        <f>'User Data'!X8</f>
        <v>12.94</v>
      </c>
      <c r="C14" s="27">
        <f>'User Data'!BR12</f>
        <v>22.2</v>
      </c>
      <c r="D14" s="28">
        <f>'User Data'!BS12</f>
        <v>0.68</v>
      </c>
      <c r="E14" s="1086">
        <f>'User Data'!BT12</f>
        <v>24</v>
      </c>
      <c r="F14" s="29">
        <f>'User Data'!CA12</f>
        <v>99</v>
      </c>
      <c r="G14" s="30">
        <f>'User Data'!CB12</f>
        <v>0</v>
      </c>
      <c r="H14" s="31">
        <f>'User Data'!AG8</f>
        <v>7.27</v>
      </c>
      <c r="I14" s="32">
        <f>'User Data'!AH8</f>
        <v>7</v>
      </c>
      <c r="J14" s="32">
        <f>'User Data'!AI8</f>
        <v>6.31</v>
      </c>
      <c r="K14" s="32">
        <f>'User Data'!AJ8</f>
        <v>6.16</v>
      </c>
      <c r="L14" s="32">
        <f>'User Data'!AQ8</f>
        <v>7.92</v>
      </c>
      <c r="M14" s="32">
        <f>'User Data'!AR8</f>
        <v>7.72</v>
      </c>
      <c r="N14" s="33">
        <f>'User Data'!AS8</f>
        <v>7.81</v>
      </c>
      <c r="O14" s="29">
        <f>'User Data'!BU12</f>
        <v>1.24</v>
      </c>
      <c r="P14" s="29">
        <f>'User Data'!BV12</f>
        <v>2.31</v>
      </c>
      <c r="Q14" s="30">
        <f>'User Data'!BW12</f>
        <v>1.1000000000000001</v>
      </c>
      <c r="R14" s="34">
        <f>'User Data'!BX12</f>
        <v>24.17</v>
      </c>
      <c r="S14" s="29">
        <f>'User Data'!BY12</f>
        <v>15.33</v>
      </c>
      <c r="T14" s="35">
        <f>'User Data'!BZ12</f>
        <v>25</v>
      </c>
      <c r="U14" s="29">
        <f>'User Data'!CC12</f>
        <v>26.610054699999999</v>
      </c>
      <c r="V14" s="30">
        <f>'User Data'!CD12</f>
        <v>27.284466900000002</v>
      </c>
      <c r="W14" s="36">
        <f>'User Data'!CV12</f>
        <v>6.8371000000000004</v>
      </c>
      <c r="X14" s="28">
        <f>'User Data'!CF12</f>
        <v>0.86609999999999998</v>
      </c>
      <c r="Y14" s="28">
        <f>'User Data'!CG12</f>
        <v>0</v>
      </c>
      <c r="Z14" s="38">
        <v>9.5000000000000001E-2</v>
      </c>
      <c r="AA14" s="39">
        <v>2.1000000000000001E-2</v>
      </c>
      <c r="AB14" s="37">
        <f>'User Data'!CI12</f>
        <v>0.80400000000000005</v>
      </c>
      <c r="AC14" s="34">
        <f>'User Data'!CQ12</f>
        <v>101</v>
      </c>
      <c r="AD14" s="35">
        <f>'User Data'!CR12</f>
        <v>184</v>
      </c>
      <c r="AE14" s="30"/>
      <c r="AF14" s="34"/>
      <c r="AG14" s="29"/>
      <c r="AH14" s="35"/>
      <c r="AI14" s="30"/>
      <c r="AJ14" s="38">
        <f>'User Data'!Y8</f>
        <v>0.4</v>
      </c>
      <c r="AK14" s="40">
        <f>'User Data'!AB8</f>
        <v>1</v>
      </c>
      <c r="AL14" s="41"/>
      <c r="AM14" s="28"/>
      <c r="AN14" s="37"/>
      <c r="AO14" s="1084">
        <f>'User Data'!X102</f>
        <v>89.990337197178235</v>
      </c>
      <c r="AP14" s="1085">
        <f>'User Data'!Y102</f>
        <v>1.2327443451668252</v>
      </c>
      <c r="AQ14" s="42"/>
      <c r="AR14" s="43">
        <f>'User Data'!CZ12</f>
        <v>325.5</v>
      </c>
      <c r="AS14" s="43"/>
      <c r="AT14" s="43">
        <f>'User Data'!DB12</f>
        <v>9.6999999999999993</v>
      </c>
      <c r="AU14" s="43" t="s">
        <v>363</v>
      </c>
      <c r="AV14" s="43" t="s">
        <v>363</v>
      </c>
    </row>
    <row r="15" spans="1:48" s="208" customFormat="1" ht="10.5" customHeight="1" x14ac:dyDescent="0.35">
      <c r="A15" s="1103">
        <v>3</v>
      </c>
      <c r="B15" s="26">
        <f>'User Data'!X9</f>
        <v>12.8</v>
      </c>
      <c r="C15" s="27">
        <f>'User Data'!BR13</f>
        <v>22.3</v>
      </c>
      <c r="D15" s="28">
        <f>'User Data'!BS13</f>
        <v>0.78</v>
      </c>
      <c r="E15" s="1086">
        <f>'User Data'!BT13</f>
        <v>21</v>
      </c>
      <c r="F15" s="29">
        <f>'User Data'!CA13</f>
        <v>119</v>
      </c>
      <c r="G15" s="30">
        <f>'User Data'!CB13</f>
        <v>0</v>
      </c>
      <c r="H15" s="31">
        <f>'User Data'!AG9</f>
        <v>7.24</v>
      </c>
      <c r="I15" s="32">
        <f>'User Data'!AH9</f>
        <v>6.95</v>
      </c>
      <c r="J15" s="32">
        <f>'User Data'!AI9</f>
        <v>6.26</v>
      </c>
      <c r="K15" s="32">
        <f>'User Data'!AJ9</f>
        <v>6.14</v>
      </c>
      <c r="L15" s="32">
        <f>'User Data'!AQ9</f>
        <v>8.02</v>
      </c>
      <c r="M15" s="32">
        <f>'User Data'!AR9</f>
        <v>7.74</v>
      </c>
      <c r="N15" s="33">
        <f>'User Data'!AS9</f>
        <v>7.85</v>
      </c>
      <c r="O15" s="29">
        <f>'User Data'!BU13</f>
        <v>1.39</v>
      </c>
      <c r="P15" s="29">
        <f>'User Data'!BV13</f>
        <v>1.53</v>
      </c>
      <c r="Q15" s="30">
        <f>'User Data'!BW13</f>
        <v>1.7</v>
      </c>
      <c r="R15" s="34">
        <f>'User Data'!BX13</f>
        <v>26.9</v>
      </c>
      <c r="S15" s="29">
        <f>'User Data'!BY13</f>
        <v>13</v>
      </c>
      <c r="T15" s="35">
        <f>'User Data'!BZ13</f>
        <v>29.3</v>
      </c>
      <c r="U15" s="29">
        <f>'User Data'!CC13</f>
        <v>24.8111204</v>
      </c>
      <c r="V15" s="30">
        <f>'User Data'!CD13</f>
        <v>27.1185762</v>
      </c>
      <c r="W15" s="36">
        <f>'User Data'!CV13</f>
        <v>6.8490000000000002</v>
      </c>
      <c r="X15" s="28">
        <f>'User Data'!CF13</f>
        <v>1.1463000000000001</v>
      </c>
      <c r="Y15" s="28">
        <f>'User Data'!CG13</f>
        <v>0</v>
      </c>
      <c r="Z15" s="38">
        <v>9.7000000000000003E-2</v>
      </c>
      <c r="AA15" s="39">
        <v>2.1000000000000001E-2</v>
      </c>
      <c r="AB15" s="37">
        <f>'User Data'!CI13</f>
        <v>0.79200000000000004</v>
      </c>
      <c r="AC15" s="34">
        <f>'User Data'!CQ13</f>
        <v>93</v>
      </c>
      <c r="AD15" s="35">
        <f>'User Data'!CR13</f>
        <v>184</v>
      </c>
      <c r="AE15" s="30"/>
      <c r="AF15" s="34"/>
      <c r="AG15" s="29"/>
      <c r="AH15" s="35"/>
      <c r="AI15" s="30"/>
      <c r="AJ15" s="38">
        <f>'User Data'!Y9</f>
        <v>0.5</v>
      </c>
      <c r="AK15" s="40">
        <f>'User Data'!AB9</f>
        <v>1.3</v>
      </c>
      <c r="AL15" s="41"/>
      <c r="AM15" s="28"/>
      <c r="AN15" s="37"/>
      <c r="AO15" s="1084">
        <f>'User Data'!X103</f>
        <v>98.283148456635757</v>
      </c>
      <c r="AP15" s="1085">
        <f>'User Data'!Y103</f>
        <v>1.3463444994059692</v>
      </c>
      <c r="AQ15" s="42"/>
      <c r="AR15" s="43">
        <f>'User Data'!CZ13</f>
        <v>387.3</v>
      </c>
      <c r="AS15" s="43"/>
      <c r="AT15" s="43">
        <f>'User Data'!DB13</f>
        <v>21.6</v>
      </c>
      <c r="AU15" s="43" t="s">
        <v>363</v>
      </c>
      <c r="AV15" s="43" t="s">
        <v>363</v>
      </c>
    </row>
    <row r="16" spans="1:48" s="208" customFormat="1" ht="10.5" customHeight="1" x14ac:dyDescent="0.35">
      <c r="A16" s="1103">
        <v>4</v>
      </c>
      <c r="B16" s="26">
        <f>'User Data'!X10</f>
        <v>12.8</v>
      </c>
      <c r="C16" s="27">
        <f>'User Data'!BR14</f>
        <v>22.2</v>
      </c>
      <c r="D16" s="28">
        <f>'User Data'!BS14</f>
        <v>0.97</v>
      </c>
      <c r="E16" s="1086">
        <f>'User Data'!BT14</f>
        <v>23</v>
      </c>
      <c r="F16" s="29">
        <f>'User Data'!CA14</f>
        <v>104</v>
      </c>
      <c r="G16" s="30">
        <f>'User Data'!CB14</f>
        <v>0</v>
      </c>
      <c r="H16" s="31">
        <f>'User Data'!AG10</f>
        <v>7.29</v>
      </c>
      <c r="I16" s="32">
        <f>'User Data'!AH10</f>
        <v>7.13</v>
      </c>
      <c r="J16" s="32">
        <f>'User Data'!AI10</f>
        <v>6.39</v>
      </c>
      <c r="K16" s="32">
        <f>'User Data'!AJ10</f>
        <v>6.1</v>
      </c>
      <c r="L16" s="32">
        <f>'User Data'!AQ10</f>
        <v>8.11</v>
      </c>
      <c r="M16" s="32">
        <f>'User Data'!AR10</f>
        <v>7.53</v>
      </c>
      <c r="N16" s="33">
        <f>'User Data'!AS10</f>
        <v>7.87</v>
      </c>
      <c r="O16" s="29">
        <f>'User Data'!BU14</f>
        <v>0.9</v>
      </c>
      <c r="P16" s="29">
        <f>'User Data'!BV14</f>
        <v>2.62</v>
      </c>
      <c r="Q16" s="30">
        <f>'User Data'!BW14</f>
        <v>1.29</v>
      </c>
      <c r="R16" s="34">
        <f>'User Data'!BX14</f>
        <v>25.5</v>
      </c>
      <c r="S16" s="29">
        <f>'User Data'!BY14</f>
        <v>13.5</v>
      </c>
      <c r="T16" s="35">
        <f>'User Data'!BZ14</f>
        <v>28.7</v>
      </c>
      <c r="U16" s="29">
        <f>'User Data'!CC14</f>
        <v>25.313717400000002</v>
      </c>
      <c r="V16" s="30">
        <f>'User Data'!CD14</f>
        <v>26.1546533</v>
      </c>
      <c r="W16" s="36">
        <f>'User Data'!CV14</f>
        <v>6.5385</v>
      </c>
      <c r="X16" s="28">
        <f>'User Data'!CF14</f>
        <v>0.95279999999999998</v>
      </c>
      <c r="Y16" s="28">
        <f>'User Data'!CG14</f>
        <v>0</v>
      </c>
      <c r="Z16" s="38">
        <v>0.11</v>
      </c>
      <c r="AA16" s="39">
        <v>1.9E-2</v>
      </c>
      <c r="AB16" s="37">
        <f>'User Data'!CI14</f>
        <v>0.745</v>
      </c>
      <c r="AC16" s="34">
        <f>'User Data'!CQ14</f>
        <v>97</v>
      </c>
      <c r="AD16" s="35">
        <f>'User Data'!CR14</f>
        <v>180</v>
      </c>
      <c r="AE16" s="30"/>
      <c r="AF16" s="34"/>
      <c r="AG16" s="29"/>
      <c r="AH16" s="35"/>
      <c r="AI16" s="30"/>
      <c r="AJ16" s="38">
        <f>'User Data'!Y10</f>
        <v>0.6</v>
      </c>
      <c r="AK16" s="40">
        <f>'User Data'!AB10</f>
        <v>1.6</v>
      </c>
      <c r="AL16" s="41"/>
      <c r="AM16" s="28"/>
      <c r="AN16" s="37"/>
      <c r="AO16" s="1084">
        <f>'User Data'!X104</f>
        <v>108.88431608782642</v>
      </c>
      <c r="AP16" s="1085">
        <f>'User Data'!Y104</f>
        <v>1.451790881171019</v>
      </c>
      <c r="AQ16" s="42"/>
      <c r="AR16" s="43">
        <f>'User Data'!CZ14</f>
        <v>203.5</v>
      </c>
      <c r="AS16" s="43"/>
      <c r="AT16" s="43">
        <f>'User Data'!DB14</f>
        <v>24.6</v>
      </c>
      <c r="AU16" s="43" t="s">
        <v>363</v>
      </c>
      <c r="AV16" s="43" t="s">
        <v>363</v>
      </c>
    </row>
    <row r="17" spans="1:48" s="208" customFormat="1" ht="10.5" customHeight="1" x14ac:dyDescent="0.35">
      <c r="A17" s="1103">
        <v>5</v>
      </c>
      <c r="B17" s="26">
        <f>'User Data'!X11</f>
        <v>12.84</v>
      </c>
      <c r="C17" s="27">
        <f>'User Data'!BR15</f>
        <v>22.3</v>
      </c>
      <c r="D17" s="28">
        <f>'User Data'!BS15</f>
        <v>0.88</v>
      </c>
      <c r="E17" s="1086">
        <f>'User Data'!BT15</f>
        <v>22</v>
      </c>
      <c r="F17" s="29">
        <f>'User Data'!CA15</f>
        <v>118</v>
      </c>
      <c r="G17" s="30">
        <f>'User Data'!CB15</f>
        <v>0</v>
      </c>
      <c r="H17" s="31">
        <f>'User Data'!AG11</f>
        <v>7.27</v>
      </c>
      <c r="I17" s="32">
        <f>'User Data'!AH11</f>
        <v>7.04</v>
      </c>
      <c r="J17" s="32">
        <f>'User Data'!AI11</f>
        <v>6.33</v>
      </c>
      <c r="K17" s="32">
        <f>'User Data'!AJ11</f>
        <v>6.19</v>
      </c>
      <c r="L17" s="32">
        <f>'User Data'!AQ11</f>
        <v>8.11</v>
      </c>
      <c r="M17" s="32">
        <f>'User Data'!AR11</f>
        <v>7.81</v>
      </c>
      <c r="N17" s="33">
        <f>'User Data'!AS11</f>
        <v>7.94</v>
      </c>
      <c r="O17" s="29">
        <f>'User Data'!BU15</f>
        <v>1.74</v>
      </c>
      <c r="P17" s="29">
        <f>'User Data'!BV15</f>
        <v>3.96</v>
      </c>
      <c r="Q17" s="30">
        <f>'User Data'!BW15</f>
        <v>1.92</v>
      </c>
      <c r="R17" s="34">
        <f>'User Data'!BX15</f>
        <v>28.81</v>
      </c>
      <c r="S17" s="29">
        <f>'User Data'!BY15</f>
        <v>12.6</v>
      </c>
      <c r="T17" s="35">
        <f>'User Data'!BZ15</f>
        <v>28.8</v>
      </c>
      <c r="U17" s="29">
        <f>'User Data'!CC15</f>
        <v>24.1623214</v>
      </c>
      <c r="V17" s="30">
        <f>'User Data'!CD15</f>
        <v>26.252169799999997</v>
      </c>
      <c r="W17" s="36">
        <f>'User Data'!CV15</f>
        <v>6.6045999999999996</v>
      </c>
      <c r="X17" s="28">
        <f>'User Data'!CF15</f>
        <v>1.2061999999999999</v>
      </c>
      <c r="Y17" s="28">
        <f>'User Data'!CG15</f>
        <v>0</v>
      </c>
      <c r="Z17" s="38">
        <v>9.7000000000000003E-2</v>
      </c>
      <c r="AA17" s="39">
        <v>1.7999999999999999E-2</v>
      </c>
      <c r="AB17" s="37">
        <f>'User Data'!CI15</f>
        <v>0.79300000000000004</v>
      </c>
      <c r="AC17" s="34">
        <f>'User Data'!CQ15</f>
        <v>92</v>
      </c>
      <c r="AD17" s="35">
        <f>'User Data'!CR15</f>
        <v>182</v>
      </c>
      <c r="AE17" s="30"/>
      <c r="AF17" s="34"/>
      <c r="AG17" s="29"/>
      <c r="AH17" s="35"/>
      <c r="AI17" s="30"/>
      <c r="AJ17" s="38">
        <f>'User Data'!Y11</f>
        <v>0.6</v>
      </c>
      <c r="AK17" s="40">
        <f>'User Data'!AB11</f>
        <v>1.3</v>
      </c>
      <c r="AL17" s="41"/>
      <c r="AM17" s="28"/>
      <c r="AN17" s="37"/>
      <c r="AO17" s="1084">
        <f>'User Data'!X105</f>
        <v>96.553697479983668</v>
      </c>
      <c r="AP17" s="1085">
        <f>'User Data'!Y105</f>
        <v>1.2873826330664488</v>
      </c>
      <c r="AQ17" s="42"/>
      <c r="AR17" s="43">
        <f>'User Data'!CZ15</f>
        <v>209.8</v>
      </c>
      <c r="AS17" s="43"/>
      <c r="AT17" s="43">
        <f>'User Data'!DB15</f>
        <v>13.4</v>
      </c>
      <c r="AU17" s="43" t="s">
        <v>363</v>
      </c>
      <c r="AV17" s="43" t="s">
        <v>363</v>
      </c>
    </row>
    <row r="18" spans="1:48" s="208" customFormat="1" ht="10.5" customHeight="1" x14ac:dyDescent="0.35">
      <c r="A18" s="1103">
        <v>6</v>
      </c>
      <c r="B18" s="26">
        <f>'User Data'!X12</f>
        <v>12.56</v>
      </c>
      <c r="C18" s="27">
        <f>'User Data'!BR16</f>
        <v>21</v>
      </c>
      <c r="D18" s="28">
        <f>'User Data'!BS16</f>
        <v>0.96</v>
      </c>
      <c r="E18" s="1086">
        <f>'User Data'!BT16</f>
        <v>23</v>
      </c>
      <c r="F18" s="29">
        <f>'User Data'!CA16</f>
        <v>99</v>
      </c>
      <c r="G18" s="30">
        <f>'User Data'!CB16</f>
        <v>0</v>
      </c>
      <c r="H18" s="31">
        <f>'User Data'!AG12</f>
        <v>7.32</v>
      </c>
      <c r="I18" s="32">
        <f>'User Data'!AH12</f>
        <v>7.08</v>
      </c>
      <c r="J18" s="32">
        <f>'User Data'!AI12</f>
        <v>6.38</v>
      </c>
      <c r="K18" s="32">
        <f>'User Data'!AJ12</f>
        <v>6.19</v>
      </c>
      <c r="L18" s="32">
        <f>'User Data'!AQ12</f>
        <v>7.85</v>
      </c>
      <c r="M18" s="32">
        <f>'User Data'!AR12</f>
        <v>7.6</v>
      </c>
      <c r="N18" s="33">
        <f>'User Data'!AS12</f>
        <v>7.69</v>
      </c>
      <c r="O18" s="29">
        <f>'User Data'!BU16</f>
        <v>0.97</v>
      </c>
      <c r="P18" s="29">
        <f>'User Data'!BV16</f>
        <v>1.64</v>
      </c>
      <c r="Q18" s="30">
        <f>'User Data'!BW16</f>
        <v>0.93</v>
      </c>
      <c r="R18" s="34">
        <f>'User Data'!BX16</f>
        <v>24.55</v>
      </c>
      <c r="S18" s="29">
        <f>'User Data'!BY16</f>
        <v>14</v>
      </c>
      <c r="T18" s="35">
        <f>'User Data'!BZ16</f>
        <v>29.75</v>
      </c>
      <c r="U18" s="29">
        <f>'User Data'!CC16</f>
        <v>25.845624100000002</v>
      </c>
      <c r="V18" s="30">
        <f>'User Data'!CD16</f>
        <v>25.572814000000001</v>
      </c>
      <c r="W18" s="36">
        <f>'User Data'!CV16</f>
        <v>6.3952</v>
      </c>
      <c r="X18" s="28">
        <f>'User Data'!CF16</f>
        <v>0.98060000000000003</v>
      </c>
      <c r="Y18" s="28">
        <f>'User Data'!CG16</f>
        <v>0</v>
      </c>
      <c r="Z18" s="38">
        <v>8.5999999999999993E-2</v>
      </c>
      <c r="AA18" s="39">
        <v>0.02</v>
      </c>
      <c r="AB18" s="37">
        <f>'User Data'!CI16</f>
        <v>0.79300000000000004</v>
      </c>
      <c r="AC18" s="34">
        <f>'User Data'!CQ16</f>
        <v>95</v>
      </c>
      <c r="AD18" s="35">
        <f>'User Data'!CR16</f>
        <v>175</v>
      </c>
      <c r="AE18" s="30">
        <v>0</v>
      </c>
      <c r="AF18" s="34"/>
      <c r="AG18" s="29"/>
      <c r="AH18" s="35"/>
      <c r="AI18" s="30"/>
      <c r="AJ18" s="38">
        <f>'User Data'!Y12</f>
        <v>0.5</v>
      </c>
      <c r="AK18" s="40">
        <f>'User Data'!AB12</f>
        <v>1.7</v>
      </c>
      <c r="AL18" s="41"/>
      <c r="AM18" s="28"/>
      <c r="AN18" s="37"/>
      <c r="AO18" s="1084">
        <f>'User Data'!X106</f>
        <v>140.18728817194125</v>
      </c>
      <c r="AP18" s="1085">
        <f>'User Data'!Y106</f>
        <v>1.8691638422925501</v>
      </c>
      <c r="AQ18" s="42"/>
      <c r="AR18" s="43">
        <f>'User Data'!CZ16</f>
        <v>166.4</v>
      </c>
      <c r="AS18" s="43"/>
      <c r="AT18" s="43">
        <f>'User Data'!DB16</f>
        <v>6.3</v>
      </c>
      <c r="AU18" s="43" t="s">
        <v>363</v>
      </c>
      <c r="AV18" s="43" t="s">
        <v>363</v>
      </c>
    </row>
    <row r="19" spans="1:48" s="208" customFormat="1" ht="10.5" customHeight="1" x14ac:dyDescent="0.35">
      <c r="A19" s="1103">
        <v>7</v>
      </c>
      <c r="B19" s="26">
        <f>'User Data'!X13</f>
        <v>12.1</v>
      </c>
      <c r="C19" s="27">
        <f>'User Data'!BR17</f>
        <v>20.8</v>
      </c>
      <c r="D19" s="28">
        <f>'User Data'!BS17</f>
        <v>0.98</v>
      </c>
      <c r="E19" s="1086">
        <f>'User Data'!BT17</f>
        <v>24</v>
      </c>
      <c r="F19" s="29">
        <f>'User Data'!CA17</f>
        <v>103</v>
      </c>
      <c r="G19" s="30">
        <f>'User Data'!CB17</f>
        <v>0</v>
      </c>
      <c r="H19" s="31">
        <f>'User Data'!AG13</f>
        <v>7.28</v>
      </c>
      <c r="I19" s="32">
        <f>'User Data'!AH13</f>
        <v>7.1</v>
      </c>
      <c r="J19" s="32">
        <f>'User Data'!AI13</f>
        <v>6.32</v>
      </c>
      <c r="K19" s="32">
        <f>'User Data'!AJ13</f>
        <v>6.21</v>
      </c>
      <c r="L19" s="32">
        <f>'User Data'!AQ13</f>
        <v>8.06</v>
      </c>
      <c r="M19" s="32">
        <f>'User Data'!AR13</f>
        <v>7.77</v>
      </c>
      <c r="N19" s="33">
        <f>'User Data'!AS13</f>
        <v>7.94</v>
      </c>
      <c r="O19" s="29">
        <f>'User Data'!BU17</f>
        <v>2.08</v>
      </c>
      <c r="P19" s="29">
        <f>'User Data'!BV17</f>
        <v>2.39</v>
      </c>
      <c r="Q19" s="30">
        <f>'User Data'!BW17</f>
        <v>1.02</v>
      </c>
      <c r="R19" s="34">
        <f>'User Data'!BX17</f>
        <v>24.8</v>
      </c>
      <c r="S19" s="29">
        <f>'User Data'!BY17</f>
        <v>14</v>
      </c>
      <c r="T19" s="35">
        <f>'User Data'!BZ17</f>
        <v>28.7</v>
      </c>
      <c r="U19" s="29">
        <f>'User Data'!CC17</f>
        <v>24.9121442</v>
      </c>
      <c r="V19" s="30">
        <f>'User Data'!CD17</f>
        <v>25.820477099999998</v>
      </c>
      <c r="W19" s="36">
        <f>'User Data'!CV17</f>
        <v>6.4928999999999997</v>
      </c>
      <c r="X19" s="28">
        <f>'User Data'!CF17</f>
        <v>1.0286999999999999</v>
      </c>
      <c r="Y19" s="28">
        <f>'User Data'!CG17</f>
        <v>0</v>
      </c>
      <c r="Z19" s="38">
        <v>0.109</v>
      </c>
      <c r="AA19" s="39">
        <v>8.9999999999999993E-3</v>
      </c>
      <c r="AB19" s="37">
        <f>'User Data'!CI17</f>
        <v>0.72599999999999998</v>
      </c>
      <c r="AC19" s="34">
        <f>'User Data'!CQ17</f>
        <v>94</v>
      </c>
      <c r="AD19" s="35">
        <f>'User Data'!CR17</f>
        <v>180</v>
      </c>
      <c r="AE19" s="30">
        <v>0</v>
      </c>
      <c r="AF19" s="34">
        <f>'User Data'!CM17</f>
        <v>0</v>
      </c>
      <c r="AG19" s="29">
        <f>'User Data'!CN17</f>
        <v>0.251</v>
      </c>
      <c r="AH19" s="35">
        <f>'User Data'!CO17</f>
        <v>0.64259999999999995</v>
      </c>
      <c r="AI19" s="30"/>
      <c r="AJ19" s="38">
        <f>'User Data'!Y13</f>
        <v>0.5</v>
      </c>
      <c r="AK19" s="40">
        <f>'User Data'!AB13</f>
        <v>1.3</v>
      </c>
      <c r="AL19" s="41"/>
      <c r="AM19" s="28"/>
      <c r="AN19" s="37"/>
      <c r="AO19" s="1084">
        <f>'User Data'!X107</f>
        <v>104.6024550587457</v>
      </c>
      <c r="AP19" s="1085">
        <f>'User Data'!Y107</f>
        <v>1.4329103432704891</v>
      </c>
      <c r="AQ19" s="42"/>
      <c r="AR19" s="43">
        <f>'User Data'!CZ17</f>
        <v>325.5</v>
      </c>
      <c r="AS19" s="43"/>
      <c r="AT19" s="43">
        <f>'User Data'!DB17</f>
        <v>8.5</v>
      </c>
      <c r="AU19" s="43" t="s">
        <v>363</v>
      </c>
      <c r="AV19" s="43" t="s">
        <v>363</v>
      </c>
    </row>
    <row r="20" spans="1:48" s="208" customFormat="1" ht="10.5" customHeight="1" x14ac:dyDescent="0.35">
      <c r="A20" s="1103">
        <v>8</v>
      </c>
      <c r="B20" s="26">
        <f>'User Data'!X14</f>
        <v>12.1</v>
      </c>
      <c r="C20" s="27">
        <f>'User Data'!BR18</f>
        <v>19.600000000000001</v>
      </c>
      <c r="D20" s="28">
        <f>'User Data'!BS18</f>
        <v>0.73</v>
      </c>
      <c r="E20" s="1086">
        <f>'User Data'!BT18</f>
        <v>24</v>
      </c>
      <c r="F20" s="29">
        <f>'User Data'!CA18</f>
        <v>95</v>
      </c>
      <c r="G20" s="30">
        <f>'User Data'!CB18</f>
        <v>0</v>
      </c>
      <c r="H20" s="31">
        <f>'User Data'!AG14</f>
        <v>7.44</v>
      </c>
      <c r="I20" s="32">
        <f>'User Data'!AH14</f>
        <v>7.15</v>
      </c>
      <c r="J20" s="32">
        <f>'User Data'!AI14</f>
        <v>6.67</v>
      </c>
      <c r="K20" s="32">
        <f>'User Data'!AJ14</f>
        <v>6.27</v>
      </c>
      <c r="L20" s="32">
        <f>'User Data'!AQ14</f>
        <v>8.02</v>
      </c>
      <c r="M20" s="32">
        <f>'User Data'!AR14</f>
        <v>7.78</v>
      </c>
      <c r="N20" s="33">
        <f>'User Data'!AS14</f>
        <v>7.92</v>
      </c>
      <c r="O20" s="29">
        <f>'User Data'!BU18</f>
        <v>0.8</v>
      </c>
      <c r="P20" s="29">
        <f>'User Data'!BV18</f>
        <v>1.41</v>
      </c>
      <c r="Q20" s="30">
        <f>'User Data'!BW18</f>
        <v>0.79</v>
      </c>
      <c r="R20" s="34">
        <f>'User Data'!BX18</f>
        <v>24.9</v>
      </c>
      <c r="S20" s="29">
        <f>'User Data'!BY18</f>
        <v>11.7</v>
      </c>
      <c r="T20" s="35">
        <f>'User Data'!BZ18</f>
        <v>21.7</v>
      </c>
      <c r="U20" s="29">
        <f>'User Data'!CC18</f>
        <v>25.205355000000001</v>
      </c>
      <c r="V20" s="30">
        <f>'User Data'!CD18</f>
        <v>25.911535700000002</v>
      </c>
      <c r="W20" s="36">
        <f>'User Data'!CV18</f>
        <v>6.5137</v>
      </c>
      <c r="X20" s="28">
        <f>'User Data'!CF18</f>
        <v>1.0156000000000001</v>
      </c>
      <c r="Y20" s="28">
        <f>'User Data'!CG18</f>
        <v>0</v>
      </c>
      <c r="Z20" s="38">
        <v>0.13200000000000001</v>
      </c>
      <c r="AA20" s="39">
        <v>1.6E-2</v>
      </c>
      <c r="AB20" s="37">
        <f>'User Data'!CI18</f>
        <v>0.82099999999999995</v>
      </c>
      <c r="AC20" s="34">
        <f>'User Data'!CQ18</f>
        <v>96</v>
      </c>
      <c r="AD20" s="35">
        <f>'User Data'!CR18</f>
        <v>180</v>
      </c>
      <c r="AE20" s="30"/>
      <c r="AF20" s="34"/>
      <c r="AG20" s="29"/>
      <c r="AH20" s="35"/>
      <c r="AI20" s="30"/>
      <c r="AJ20" s="38">
        <f>'User Data'!Y14</f>
        <v>0.6</v>
      </c>
      <c r="AK20" s="40">
        <f>'User Data'!AB14</f>
        <v>1.6</v>
      </c>
      <c r="AL20" s="41"/>
      <c r="AM20" s="28"/>
      <c r="AN20" s="37"/>
      <c r="AO20" s="1084">
        <f>'User Data'!X108</f>
        <v>141.36016090648548</v>
      </c>
      <c r="AP20" s="1085">
        <f>'User Data'!Y108</f>
        <v>1.8848021454198063</v>
      </c>
      <c r="AQ20" s="42"/>
      <c r="AR20" s="43">
        <f>'User Data'!CZ18</f>
        <v>248.1</v>
      </c>
      <c r="AS20" s="43"/>
      <c r="AT20" s="43">
        <f>'User Data'!DB18</f>
        <v>5.2</v>
      </c>
      <c r="AU20" s="43" t="s">
        <v>363</v>
      </c>
      <c r="AV20" s="43" t="s">
        <v>363</v>
      </c>
    </row>
    <row r="21" spans="1:48" s="208" customFormat="1" ht="10.5" customHeight="1" x14ac:dyDescent="0.35">
      <c r="A21" s="1103">
        <v>9</v>
      </c>
      <c r="B21" s="26">
        <f>'User Data'!X15</f>
        <v>12.11</v>
      </c>
      <c r="C21" s="27">
        <f>'User Data'!BR19</f>
        <v>19.2</v>
      </c>
      <c r="D21" s="28">
        <f>'User Data'!BS19</f>
        <v>0.59</v>
      </c>
      <c r="E21" s="1086">
        <f>'User Data'!BT19</f>
        <v>24</v>
      </c>
      <c r="F21" s="29">
        <f>'User Data'!CA19</f>
        <v>90</v>
      </c>
      <c r="G21" s="30">
        <f>'User Data'!CB19</f>
        <v>0</v>
      </c>
      <c r="H21" s="31">
        <f>'User Data'!AG15</f>
        <v>7.36</v>
      </c>
      <c r="I21" s="32">
        <f>'User Data'!AH15</f>
        <v>7.09</v>
      </c>
      <c r="J21" s="32">
        <f>'User Data'!AI15</f>
        <v>6.38</v>
      </c>
      <c r="K21" s="32">
        <f>'User Data'!AJ15</f>
        <v>6.2</v>
      </c>
      <c r="L21" s="32">
        <f>'User Data'!AQ15</f>
        <v>7.88</v>
      </c>
      <c r="M21" s="32">
        <f>'User Data'!AR15</f>
        <v>7.65</v>
      </c>
      <c r="N21" s="33">
        <f>'User Data'!AS15</f>
        <v>7.76</v>
      </c>
      <c r="O21" s="29">
        <f>'User Data'!BU19</f>
        <v>0.69</v>
      </c>
      <c r="P21" s="29">
        <f>'User Data'!BV19</f>
        <v>1.79</v>
      </c>
      <c r="Q21" s="30">
        <f>'User Data'!BW19</f>
        <v>0.99</v>
      </c>
      <c r="R21" s="34">
        <f>'User Data'!BX19</f>
        <v>27.2</v>
      </c>
      <c r="S21" s="29">
        <f>'User Data'!BY19</f>
        <v>15</v>
      </c>
      <c r="T21" s="35">
        <f>'User Data'!BZ19</f>
        <v>29.8</v>
      </c>
      <c r="U21" s="29">
        <f>'User Data'!CC19</f>
        <v>25.964812100000003</v>
      </c>
      <c r="V21" s="30">
        <f>'User Data'!CD19</f>
        <v>26.374181399999998</v>
      </c>
      <c r="W21" s="36">
        <f>'User Data'!CV19</f>
        <v>6.65</v>
      </c>
      <c r="X21" s="28">
        <f>'User Data'!CF19</f>
        <v>0.83760000000000001</v>
      </c>
      <c r="Y21" s="28">
        <f>'User Data'!CG19</f>
        <v>0</v>
      </c>
      <c r="Z21" s="38">
        <v>9.0999999999999998E-2</v>
      </c>
      <c r="AA21" s="39">
        <v>1.0999999999999999E-2</v>
      </c>
      <c r="AB21" s="37">
        <f>'User Data'!CI19</f>
        <v>0.79600000000000004</v>
      </c>
      <c r="AC21" s="34">
        <f>'User Data'!CQ19</f>
        <v>97</v>
      </c>
      <c r="AD21" s="35">
        <f>'User Data'!CR19</f>
        <v>179</v>
      </c>
      <c r="AE21" s="30"/>
      <c r="AF21" s="34"/>
      <c r="AG21" s="29"/>
      <c r="AH21" s="35"/>
      <c r="AI21" s="30"/>
      <c r="AJ21" s="38">
        <f>'User Data'!Y15</f>
        <v>0.6</v>
      </c>
      <c r="AK21" s="40">
        <f>'User Data'!AB15</f>
        <v>1.3</v>
      </c>
      <c r="AL21" s="41"/>
      <c r="AM21" s="28"/>
      <c r="AN21" s="37"/>
      <c r="AO21" s="1084">
        <f>'User Data'!X109</f>
        <v>107.52849119216174</v>
      </c>
      <c r="AP21" s="1085">
        <f>'User Data'!Y109</f>
        <v>1.4337132158954899</v>
      </c>
      <c r="AQ21" s="42"/>
      <c r="AR21" s="43">
        <f>'User Data'!CZ19</f>
        <v>128.1</v>
      </c>
      <c r="AS21" s="43"/>
      <c r="AT21" s="43">
        <f>'User Data'!DB19</f>
        <v>4.0999999999999996</v>
      </c>
      <c r="AU21" s="43" t="s">
        <v>363</v>
      </c>
      <c r="AV21" s="43" t="s">
        <v>363</v>
      </c>
    </row>
    <row r="22" spans="1:48" s="208" customFormat="1" ht="10.5" customHeight="1" x14ac:dyDescent="0.35">
      <c r="A22" s="1103">
        <v>10</v>
      </c>
      <c r="B22" s="26">
        <f>'User Data'!X16</f>
        <v>12.39</v>
      </c>
      <c r="C22" s="27">
        <f>'User Data'!BR20</f>
        <v>18.7</v>
      </c>
      <c r="D22" s="28">
        <f>'User Data'!BS20</f>
        <v>0.81</v>
      </c>
      <c r="E22" s="1086">
        <f>'User Data'!BT20</f>
        <v>23</v>
      </c>
      <c r="F22" s="29">
        <f>'User Data'!CA20</f>
        <v>85</v>
      </c>
      <c r="G22" s="30">
        <f>'User Data'!CB20</f>
        <v>0</v>
      </c>
      <c r="H22" s="31">
        <f>'User Data'!AG16</f>
        <v>7.41</v>
      </c>
      <c r="I22" s="32">
        <f>'User Data'!AH16</f>
        <v>7.1</v>
      </c>
      <c r="J22" s="32">
        <f>'User Data'!AI16</f>
        <v>6.4</v>
      </c>
      <c r="K22" s="32">
        <f>'User Data'!AJ16</f>
        <v>6.13</v>
      </c>
      <c r="L22" s="32">
        <f>'User Data'!AQ16</f>
        <v>7.88</v>
      </c>
      <c r="M22" s="32">
        <f>'User Data'!AR16</f>
        <v>7.61</v>
      </c>
      <c r="N22" s="33">
        <f>'User Data'!AS16</f>
        <v>7.72</v>
      </c>
      <c r="O22" s="29">
        <f>'User Data'!BU20</f>
        <v>0.86</v>
      </c>
      <c r="P22" s="29">
        <f>'User Data'!BV20</f>
        <v>2.0499999999999998</v>
      </c>
      <c r="Q22" s="30">
        <f>'User Data'!BW20</f>
        <v>1.01</v>
      </c>
      <c r="R22" s="34">
        <f>'User Data'!BX20</f>
        <v>26.18</v>
      </c>
      <c r="S22" s="29">
        <f>'User Data'!BY20</f>
        <v>14.25</v>
      </c>
      <c r="T22" s="35">
        <f>'User Data'!BZ20</f>
        <v>29.25</v>
      </c>
      <c r="U22" s="29">
        <f>'User Data'!CC20</f>
        <v>25.811430899999998</v>
      </c>
      <c r="V22" s="30">
        <f>'User Data'!CD20</f>
        <v>26.776226999999999</v>
      </c>
      <c r="W22" s="36">
        <f>'User Data'!CV20</f>
        <v>6.7838000000000003</v>
      </c>
      <c r="X22" s="28">
        <f>'User Data'!CF20</f>
        <v>0.80110000000000003</v>
      </c>
      <c r="Y22" s="28">
        <f>'User Data'!CG20</f>
        <v>0</v>
      </c>
      <c r="Z22" s="38">
        <v>8.4000000000000005E-2</v>
      </c>
      <c r="AA22" s="39">
        <v>1.2E-2</v>
      </c>
      <c r="AB22" s="37">
        <f>'User Data'!CI20</f>
        <v>0.81899999999999995</v>
      </c>
      <c r="AC22" s="34">
        <f>'User Data'!CQ20</f>
        <v>97</v>
      </c>
      <c r="AD22" s="35">
        <f>'User Data'!CR20</f>
        <v>178</v>
      </c>
      <c r="AE22" s="30"/>
      <c r="AF22" s="34"/>
      <c r="AG22" s="29"/>
      <c r="AH22" s="35"/>
      <c r="AI22" s="30"/>
      <c r="AJ22" s="38">
        <f>'User Data'!Y16</f>
        <v>0.4</v>
      </c>
      <c r="AK22" s="40">
        <f>'User Data'!AB16</f>
        <v>1.6</v>
      </c>
      <c r="AL22" s="41"/>
      <c r="AM22" s="28"/>
      <c r="AN22" s="37"/>
      <c r="AO22" s="1084">
        <f>'User Data'!X110</f>
        <v>128.21350552409302</v>
      </c>
      <c r="AP22" s="1085">
        <f>'User Data'!Y110</f>
        <v>1.709513406987907</v>
      </c>
      <c r="AQ22" s="42"/>
      <c r="AR22" s="43">
        <f>'User Data'!CZ20</f>
        <v>238.2</v>
      </c>
      <c r="AS22" s="43" t="s">
        <v>367</v>
      </c>
      <c r="AT22" s="43">
        <f>'User Data'!DB20</f>
        <v>1</v>
      </c>
      <c r="AU22" s="43" t="s">
        <v>363</v>
      </c>
      <c r="AV22" s="43" t="s">
        <v>363</v>
      </c>
    </row>
    <row r="23" spans="1:48" s="208" customFormat="1" ht="10.5" customHeight="1" x14ac:dyDescent="0.35">
      <c r="A23" s="1103">
        <v>11</v>
      </c>
      <c r="B23" s="26">
        <f>'User Data'!X17</f>
        <v>12.97</v>
      </c>
      <c r="C23" s="27">
        <f>'User Data'!BR21</f>
        <v>17.399999999999999</v>
      </c>
      <c r="D23" s="28">
        <f>'User Data'!BS21</f>
        <v>0.63</v>
      </c>
      <c r="E23" s="1086">
        <f>'User Data'!BT21</f>
        <v>23</v>
      </c>
      <c r="F23" s="29">
        <f>'User Data'!CA21</f>
        <v>82</v>
      </c>
      <c r="G23" s="30">
        <f>'User Data'!CB21</f>
        <v>0</v>
      </c>
      <c r="H23" s="31">
        <f>'User Data'!AG17</f>
        <v>7.45</v>
      </c>
      <c r="I23" s="32">
        <f>'User Data'!AH17</f>
        <v>7.02</v>
      </c>
      <c r="J23" s="32">
        <f>'User Data'!AI17</f>
        <v>6.3</v>
      </c>
      <c r="K23" s="32">
        <f>'User Data'!AJ17</f>
        <v>6.13</v>
      </c>
      <c r="L23" s="32">
        <f>'User Data'!AQ17</f>
        <v>7.74</v>
      </c>
      <c r="M23" s="32">
        <f>'User Data'!AR17</f>
        <v>7.6</v>
      </c>
      <c r="N23" s="33">
        <f>'User Data'!AS17</f>
        <v>7.66</v>
      </c>
      <c r="O23" s="29">
        <f>'User Data'!BU21</f>
        <v>1.53</v>
      </c>
      <c r="P23" s="29">
        <f>'User Data'!BV21</f>
        <v>1.48</v>
      </c>
      <c r="Q23" s="30">
        <f>'User Data'!BW21</f>
        <v>1.27</v>
      </c>
      <c r="R23" s="34">
        <f>'User Data'!BX21</f>
        <v>25.58</v>
      </c>
      <c r="S23" s="29">
        <f>'User Data'!BY21</f>
        <v>14.25</v>
      </c>
      <c r="T23" s="35">
        <f>'User Data'!BZ21</f>
        <v>29.75</v>
      </c>
      <c r="U23" s="29">
        <f>'User Data'!CC21</f>
        <v>26.744946800000001</v>
      </c>
      <c r="V23" s="30">
        <f>'User Data'!CD21</f>
        <v>26.654098300000001</v>
      </c>
      <c r="W23" s="36">
        <f>'User Data'!CV21</f>
        <v>6.7244999999999999</v>
      </c>
      <c r="X23" s="28">
        <f>'User Data'!CF21</f>
        <v>0.72430000000000005</v>
      </c>
      <c r="Y23" s="28">
        <f>'User Data'!CG21</f>
        <v>0</v>
      </c>
      <c r="Z23" s="38">
        <v>0.11700000000000001</v>
      </c>
      <c r="AA23" s="39">
        <v>0.01</v>
      </c>
      <c r="AB23" s="37">
        <f>'User Data'!CI21</f>
        <v>0.83599999999999997</v>
      </c>
      <c r="AC23" s="34">
        <f>'User Data'!CQ21</f>
        <v>100</v>
      </c>
      <c r="AD23" s="35">
        <f>'User Data'!CR21</f>
        <v>181</v>
      </c>
      <c r="AE23" s="30"/>
      <c r="AF23" s="34"/>
      <c r="AG23" s="29"/>
      <c r="AH23" s="35"/>
      <c r="AI23" s="30"/>
      <c r="AJ23" s="38">
        <f>'User Data'!Y17</f>
        <v>0.4</v>
      </c>
      <c r="AK23" s="40">
        <f>'User Data'!AB17</f>
        <v>1.3</v>
      </c>
      <c r="AL23" s="41"/>
      <c r="AM23" s="28"/>
      <c r="AN23" s="37"/>
      <c r="AO23" s="1084">
        <f>'User Data'!X111</f>
        <v>99.685438735583475</v>
      </c>
      <c r="AP23" s="1085">
        <f>'User Data'!Y111</f>
        <v>1.3655539552819653</v>
      </c>
      <c r="AQ23" s="42"/>
      <c r="AR23" s="43">
        <f>'User Data'!CZ21</f>
        <v>155.30000000000001</v>
      </c>
      <c r="AS23" s="43"/>
      <c r="AT23" s="43">
        <f>'User Data'!DB21</f>
        <v>5.2</v>
      </c>
      <c r="AU23" s="43" t="s">
        <v>363</v>
      </c>
      <c r="AV23" s="43" t="s">
        <v>363</v>
      </c>
    </row>
    <row r="24" spans="1:48" s="208" customFormat="1" ht="10.5" customHeight="1" x14ac:dyDescent="0.35">
      <c r="A24" s="1103">
        <v>12</v>
      </c>
      <c r="B24" s="26">
        <f>'User Data'!X18</f>
        <v>13.13</v>
      </c>
      <c r="C24" s="27">
        <f>'User Data'!BR22</f>
        <v>16.100000000000001</v>
      </c>
      <c r="D24" s="28">
        <f>'User Data'!BS22</f>
        <v>0.65</v>
      </c>
      <c r="E24" s="1086">
        <f>'User Data'!BT22</f>
        <v>24</v>
      </c>
      <c r="F24" s="29">
        <f>'User Data'!CA22</f>
        <v>79</v>
      </c>
      <c r="G24" s="30">
        <f>'User Data'!CB22</f>
        <v>0</v>
      </c>
      <c r="H24" s="31">
        <f>'User Data'!AG18</f>
        <v>7.24</v>
      </c>
      <c r="I24" s="32">
        <f>'User Data'!AH18</f>
        <v>7</v>
      </c>
      <c r="J24" s="32">
        <f>'User Data'!AI18</f>
        <v>6.38</v>
      </c>
      <c r="K24" s="32">
        <f>'User Data'!AJ18</f>
        <v>6.28</v>
      </c>
      <c r="L24" s="32">
        <f>'User Data'!AQ18</f>
        <v>8.1</v>
      </c>
      <c r="M24" s="32">
        <f>'User Data'!AR18</f>
        <v>7.69</v>
      </c>
      <c r="N24" s="33">
        <f>'User Data'!AS18</f>
        <v>7.85</v>
      </c>
      <c r="O24" s="29">
        <f>'User Data'!BU22</f>
        <v>0.69</v>
      </c>
      <c r="P24" s="29">
        <f>'User Data'!BV22</f>
        <v>1.53</v>
      </c>
      <c r="Q24" s="30">
        <f>'User Data'!BW22</f>
        <v>0.84</v>
      </c>
      <c r="R24" s="34">
        <f>'User Data'!BX22</f>
        <v>23.5</v>
      </c>
      <c r="S24" s="29">
        <f>'User Data'!BY22</f>
        <v>14.75</v>
      </c>
      <c r="T24" s="35">
        <f>'User Data'!BZ22</f>
        <v>27</v>
      </c>
      <c r="U24" s="29">
        <f>'User Data'!CC22</f>
        <v>26.395684599999999</v>
      </c>
      <c r="V24" s="30">
        <f>'User Data'!CD22</f>
        <v>26.627242000000003</v>
      </c>
      <c r="W24" s="36">
        <f>'User Data'!CV22</f>
        <v>6.6928000000000001</v>
      </c>
      <c r="X24" s="28">
        <f>'User Data'!CF22</f>
        <v>0.6573</v>
      </c>
      <c r="Y24" s="28">
        <f>'User Data'!CG22</f>
        <v>0</v>
      </c>
      <c r="Z24" s="38">
        <v>9.5000000000000001E-2</v>
      </c>
      <c r="AA24" s="39">
        <v>6.0000000000000001E-3</v>
      </c>
      <c r="AB24" s="37">
        <f>'User Data'!CI22</f>
        <v>0.75600000000000001</v>
      </c>
      <c r="AC24" s="34">
        <f>'User Data'!CQ22</f>
        <v>100</v>
      </c>
      <c r="AD24" s="35">
        <f>'User Data'!CR22</f>
        <v>184</v>
      </c>
      <c r="AE24" s="30"/>
      <c r="AF24" s="34"/>
      <c r="AG24" s="29"/>
      <c r="AH24" s="35"/>
      <c r="AI24" s="30"/>
      <c r="AJ24" s="38">
        <f>'User Data'!Y18</f>
        <v>0.4</v>
      </c>
      <c r="AK24" s="40">
        <f>'User Data'!AB18</f>
        <v>1.6</v>
      </c>
      <c r="AL24" s="41"/>
      <c r="AM24" s="28">
        <f>'User Data'!DE22</f>
        <v>4.8000000000000001E-2</v>
      </c>
      <c r="AN24" s="37">
        <v>0</v>
      </c>
      <c r="AO24" s="1084">
        <f>'User Data'!X112</f>
        <v>121.59766617088127</v>
      </c>
      <c r="AP24" s="1085">
        <f>'User Data'!Y112</f>
        <v>1.6213022156117503</v>
      </c>
      <c r="AQ24" s="42"/>
      <c r="AR24" s="43">
        <f>'User Data'!CZ22</f>
        <v>178.9</v>
      </c>
      <c r="AS24" s="43"/>
      <c r="AT24" s="43">
        <f>'User Data'!DB22</f>
        <v>2</v>
      </c>
      <c r="AU24" s="43" t="s">
        <v>363</v>
      </c>
      <c r="AV24" s="43" t="s">
        <v>363</v>
      </c>
    </row>
    <row r="25" spans="1:48" s="208" customFormat="1" ht="10.5" customHeight="1" x14ac:dyDescent="0.35">
      <c r="A25" s="1103">
        <v>13</v>
      </c>
      <c r="B25" s="26">
        <f>'User Data'!X19</f>
        <v>13.4</v>
      </c>
      <c r="C25" s="27">
        <f>'User Data'!BR23</f>
        <v>12.7</v>
      </c>
      <c r="D25" s="28">
        <f>'User Data'!BS23</f>
        <v>0.77</v>
      </c>
      <c r="E25" s="1086">
        <f>'User Data'!BT23</f>
        <v>24</v>
      </c>
      <c r="F25" s="29">
        <f>'User Data'!CA23</f>
        <v>76</v>
      </c>
      <c r="G25" s="30">
        <f>'User Data'!CB23</f>
        <v>0</v>
      </c>
      <c r="H25" s="31">
        <f>'User Data'!AG19</f>
        <v>7.49</v>
      </c>
      <c r="I25" s="32">
        <f>'User Data'!AH19</f>
        <v>7.1</v>
      </c>
      <c r="J25" s="32">
        <f>'User Data'!AI19</f>
        <v>6.53</v>
      </c>
      <c r="K25" s="32">
        <f>'User Data'!AJ19</f>
        <v>6.32</v>
      </c>
      <c r="L25" s="32">
        <f>'User Data'!AQ19</f>
        <v>8.17</v>
      </c>
      <c r="M25" s="32">
        <f>'User Data'!AR19</f>
        <v>7.72</v>
      </c>
      <c r="N25" s="33">
        <f>'User Data'!AS19</f>
        <v>7.9</v>
      </c>
      <c r="O25" s="29">
        <f>'User Data'!BU23</f>
        <v>1</v>
      </c>
      <c r="P25" s="29">
        <f>'User Data'!BV23</f>
        <v>1.0900000000000001</v>
      </c>
      <c r="Q25" s="30">
        <f>'User Data'!BW23</f>
        <v>0.94</v>
      </c>
      <c r="R25" s="34">
        <f>'User Data'!BX23</f>
        <v>27.1</v>
      </c>
      <c r="S25" s="29">
        <f>'User Data'!BY23</f>
        <v>14.2</v>
      </c>
      <c r="T25" s="35">
        <f>'User Data'!BZ23</f>
        <v>29.2</v>
      </c>
      <c r="U25" s="29">
        <f>'User Data'!CC23</f>
        <v>28.001242999999995</v>
      </c>
      <c r="V25" s="30">
        <f>'User Data'!CD23</f>
        <v>27.310856700000002</v>
      </c>
      <c r="W25" s="36">
        <f>'User Data'!CV23</f>
        <v>6.9452999999999996</v>
      </c>
      <c r="X25" s="28">
        <f>'User Data'!CF23</f>
        <v>0.60440000000000005</v>
      </c>
      <c r="Y25" s="28">
        <f>'User Data'!CG23</f>
        <v>0</v>
      </c>
      <c r="Z25" s="38">
        <v>7.3999999999999996E-2</v>
      </c>
      <c r="AA25" s="39">
        <v>1.4E-2</v>
      </c>
      <c r="AB25" s="37">
        <f>'User Data'!CI23</f>
        <v>0.82199999999999995</v>
      </c>
      <c r="AC25" s="34">
        <f>'User Data'!CQ23</f>
        <v>107</v>
      </c>
      <c r="AD25" s="35">
        <f>'User Data'!CR23</f>
        <v>184</v>
      </c>
      <c r="AE25" s="30">
        <f>'User Data'!CL23</f>
        <v>0</v>
      </c>
      <c r="AF25" s="34"/>
      <c r="AG25" s="29"/>
      <c r="AH25" s="35"/>
      <c r="AI25" s="30"/>
      <c r="AJ25" s="38">
        <f>'User Data'!Y19</f>
        <v>0.3</v>
      </c>
      <c r="AK25" s="40">
        <f>'User Data'!AB19</f>
        <v>1.2</v>
      </c>
      <c r="AL25" s="41"/>
      <c r="AM25" s="28"/>
      <c r="AN25" s="37"/>
      <c r="AO25" s="1084">
        <f>'User Data'!X113</f>
        <v>92.99350992390724</v>
      </c>
      <c r="AP25" s="1085">
        <f>'User Data'!Y113</f>
        <v>1.2738836975877703</v>
      </c>
      <c r="AQ25" s="42"/>
      <c r="AR25" s="43">
        <f>'User Data'!CZ23</f>
        <v>88.2</v>
      </c>
      <c r="AS25" s="43"/>
      <c r="AT25" s="43">
        <f>'User Data'!DB23</f>
        <v>1</v>
      </c>
      <c r="AU25" s="43" t="s">
        <v>363</v>
      </c>
      <c r="AV25" s="43" t="s">
        <v>363</v>
      </c>
    </row>
    <row r="26" spans="1:48" s="208" customFormat="1" ht="10.5" customHeight="1" x14ac:dyDescent="0.35">
      <c r="A26" s="1103">
        <v>14</v>
      </c>
      <c r="B26" s="26">
        <f>'User Data'!X20</f>
        <v>13.73</v>
      </c>
      <c r="C26" s="27">
        <f>'User Data'!BR24</f>
        <v>14.5</v>
      </c>
      <c r="D26" s="28">
        <f>'User Data'!BS24</f>
        <v>0.85</v>
      </c>
      <c r="E26" s="1086">
        <f>'User Data'!BT24</f>
        <v>23</v>
      </c>
      <c r="F26" s="29">
        <f>'User Data'!CA24</f>
        <v>79</v>
      </c>
      <c r="G26" s="30">
        <f>'User Data'!CB24</f>
        <v>0</v>
      </c>
      <c r="H26" s="31">
        <f>'User Data'!AG20</f>
        <v>7.29</v>
      </c>
      <c r="I26" s="32">
        <f>'User Data'!AH20</f>
        <v>7.05</v>
      </c>
      <c r="J26" s="32">
        <f>'User Data'!AI20</f>
        <v>6.34</v>
      </c>
      <c r="K26" s="32">
        <f>'User Data'!AJ20</f>
        <v>6.04</v>
      </c>
      <c r="L26" s="32">
        <f>'User Data'!AQ20</f>
        <v>7.9</v>
      </c>
      <c r="M26" s="32">
        <f>'User Data'!AR20</f>
        <v>7.44</v>
      </c>
      <c r="N26" s="33">
        <f>'User Data'!AS20</f>
        <v>7.64</v>
      </c>
      <c r="O26" s="29">
        <f>'User Data'!BU24</f>
        <v>0.86</v>
      </c>
      <c r="P26" s="29">
        <f>'User Data'!BV24</f>
        <v>1.74</v>
      </c>
      <c r="Q26" s="30">
        <f>'User Data'!BW24</f>
        <v>1.0900000000000001</v>
      </c>
      <c r="R26" s="34">
        <f>'User Data'!BX24</f>
        <v>28.5</v>
      </c>
      <c r="S26" s="29">
        <f>'User Data'!BY24</f>
        <v>14.6</v>
      </c>
      <c r="T26" s="35">
        <f>'User Data'!BZ24</f>
        <v>29.6</v>
      </c>
      <c r="U26" s="29">
        <f>'User Data'!CC24</f>
        <v>26.371941899999999</v>
      </c>
      <c r="V26" s="30">
        <f>'User Data'!CD24</f>
        <v>28.439267999999998</v>
      </c>
      <c r="W26" s="36">
        <f>'User Data'!CV24</f>
        <v>7.3003999999999998</v>
      </c>
      <c r="X26" s="28">
        <f>'User Data'!CF24</f>
        <v>0.65049999999999997</v>
      </c>
      <c r="Y26" s="28">
        <f>'User Data'!CG24</f>
        <v>0</v>
      </c>
      <c r="Z26" s="38">
        <v>0.82</v>
      </c>
      <c r="AA26" s="39">
        <v>1.2999999999999999E-2</v>
      </c>
      <c r="AB26" s="37">
        <f>'User Data'!CI24</f>
        <v>0.72299999999999998</v>
      </c>
      <c r="AC26" s="34">
        <f>'User Data'!CQ24</f>
        <v>106</v>
      </c>
      <c r="AD26" s="35">
        <f>'User Data'!CR24</f>
        <v>186</v>
      </c>
      <c r="AE26" s="30">
        <f>'User Data'!CL24</f>
        <v>0</v>
      </c>
      <c r="AF26" s="34">
        <f>'User Data'!CM24</f>
        <v>0</v>
      </c>
      <c r="AG26" s="29">
        <f>'User Data'!CN24</f>
        <v>0.25700000000000001</v>
      </c>
      <c r="AH26" s="35">
        <f>'User Data'!CO24</f>
        <v>0.65483999999999998</v>
      </c>
      <c r="AI26" s="30"/>
      <c r="AJ26" s="38">
        <f>'User Data'!Y20</f>
        <v>0.4</v>
      </c>
      <c r="AK26" s="40">
        <f>'User Data'!AB20</f>
        <v>1.6</v>
      </c>
      <c r="AL26" s="41"/>
      <c r="AM26" s="28"/>
      <c r="AN26" s="37"/>
      <c r="AO26" s="1084">
        <f>'User Data'!X114</f>
        <v>108.74468269590976</v>
      </c>
      <c r="AP26" s="1085">
        <f>'User Data'!Y114</f>
        <v>1.4499291026121301</v>
      </c>
      <c r="AQ26" s="42"/>
      <c r="AR26" s="43">
        <f>'User Data'!CZ24</f>
        <v>93.3</v>
      </c>
      <c r="AS26" s="43"/>
      <c r="AT26" s="43">
        <f>'User Data'!DB24</f>
        <v>1</v>
      </c>
      <c r="AU26" s="43" t="s">
        <v>363</v>
      </c>
      <c r="AV26" s="43" t="s">
        <v>363</v>
      </c>
    </row>
    <row r="27" spans="1:48" s="208" customFormat="1" ht="10.5" customHeight="1" x14ac:dyDescent="0.35">
      <c r="A27" s="1103">
        <v>15</v>
      </c>
      <c r="B27" s="26">
        <f>'User Data'!X21</f>
        <v>13.87</v>
      </c>
      <c r="C27" s="27">
        <f>'User Data'!BR25</f>
        <v>17.100000000000001</v>
      </c>
      <c r="D27" s="28">
        <f>'User Data'!BS25</f>
        <v>0.6</v>
      </c>
      <c r="E27" s="1086">
        <f>'User Data'!BT25</f>
        <v>23</v>
      </c>
      <c r="F27" s="29">
        <f>'User Data'!CA25</f>
        <v>90</v>
      </c>
      <c r="G27" s="30">
        <f>'User Data'!CB25</f>
        <v>0</v>
      </c>
      <c r="H27" s="31">
        <f>'User Data'!AG21</f>
        <v>7.21</v>
      </c>
      <c r="I27" s="32">
        <f>'User Data'!AH21</f>
        <v>7</v>
      </c>
      <c r="J27" s="32">
        <f>'User Data'!AI21</f>
        <v>6.27</v>
      </c>
      <c r="K27" s="32">
        <f>'User Data'!AJ21</f>
        <v>6.12</v>
      </c>
      <c r="L27" s="32">
        <f>'User Data'!AQ21</f>
        <v>7.99</v>
      </c>
      <c r="M27" s="32">
        <f>'User Data'!AR21</f>
        <v>7.74</v>
      </c>
      <c r="N27" s="33">
        <f>'User Data'!AS21</f>
        <v>7.92</v>
      </c>
      <c r="O27" s="29">
        <f>'User Data'!BU25</f>
        <v>1.07</v>
      </c>
      <c r="P27" s="29">
        <f>'User Data'!BV25</f>
        <v>1.04</v>
      </c>
      <c r="Q27" s="30">
        <f>'User Data'!BW25</f>
        <v>0.55000000000000004</v>
      </c>
      <c r="R27" s="34">
        <f>'User Data'!BX25</f>
        <v>26.08</v>
      </c>
      <c r="S27" s="29">
        <f>'User Data'!BY25</f>
        <v>14.5</v>
      </c>
      <c r="T27" s="35">
        <f>'User Data'!BZ25</f>
        <v>29.5</v>
      </c>
      <c r="U27" s="29">
        <f>'User Data'!CC25</f>
        <v>26.453995800000001</v>
      </c>
      <c r="V27" s="30">
        <f>'User Data'!CD25</f>
        <v>27.463565899999999</v>
      </c>
      <c r="W27" s="36">
        <f>'User Data'!CV25</f>
        <v>7.0307000000000004</v>
      </c>
      <c r="X27" s="28">
        <f>'User Data'!CF25</f>
        <v>0.69550000000000001</v>
      </c>
      <c r="Y27" s="28">
        <f>'User Data'!CG25</f>
        <v>0</v>
      </c>
      <c r="Z27" s="38">
        <v>0.08</v>
      </c>
      <c r="AA27" s="39">
        <v>1.7999999999999999E-2</v>
      </c>
      <c r="AB27" s="37">
        <f>'User Data'!CI25</f>
        <v>0.749</v>
      </c>
      <c r="AC27" s="34">
        <f>'User Data'!CQ25</f>
        <v>108</v>
      </c>
      <c r="AD27" s="35">
        <f>'User Data'!CR25</f>
        <v>191</v>
      </c>
      <c r="AE27" s="30"/>
      <c r="AF27" s="34"/>
      <c r="AG27" s="29"/>
      <c r="AH27" s="35"/>
      <c r="AI27" s="30"/>
      <c r="AJ27" s="38">
        <f>'User Data'!Y21</f>
        <v>0.5</v>
      </c>
      <c r="AK27" s="40">
        <f>'User Data'!AB21</f>
        <v>1.7</v>
      </c>
      <c r="AL27" s="41"/>
      <c r="AM27" s="28"/>
      <c r="AN27" s="37"/>
      <c r="AO27" s="1084">
        <f>'User Data'!X115</f>
        <v>133.31985515649902</v>
      </c>
      <c r="AP27" s="1085">
        <f>'User Data'!Y115</f>
        <v>1.7775980687533202</v>
      </c>
      <c r="AQ27" s="42"/>
      <c r="AR27" s="43">
        <f>'User Data'!CZ25</f>
        <v>105</v>
      </c>
      <c r="AS27" s="43" t="s">
        <v>367</v>
      </c>
      <c r="AT27" s="43">
        <f>'User Data'!DB25</f>
        <v>1</v>
      </c>
      <c r="AU27" s="43" t="s">
        <v>363</v>
      </c>
      <c r="AV27" s="43" t="s">
        <v>363</v>
      </c>
    </row>
    <row r="28" spans="1:48" s="208" customFormat="1" ht="10.5" customHeight="1" x14ac:dyDescent="0.35">
      <c r="A28" s="1103">
        <v>16</v>
      </c>
      <c r="B28" s="26">
        <f>'User Data'!X22</f>
        <v>14.06</v>
      </c>
      <c r="C28" s="27">
        <f>'User Data'!BR26</f>
        <v>12.3</v>
      </c>
      <c r="D28" s="28">
        <f>'User Data'!BS26</f>
        <v>0.68</v>
      </c>
      <c r="E28" s="1086">
        <f>'User Data'!BT26</f>
        <v>24</v>
      </c>
      <c r="F28" s="29">
        <f>'User Data'!CA26</f>
        <v>70</v>
      </c>
      <c r="G28" s="30">
        <f>'User Data'!CB26</f>
        <v>0</v>
      </c>
      <c r="H28" s="31">
        <f>'User Data'!AG22</f>
        <v>7.19</v>
      </c>
      <c r="I28" s="32">
        <f>'User Data'!AH22</f>
        <v>6.9</v>
      </c>
      <c r="J28" s="32">
        <f>'User Data'!AI22</f>
        <v>6.3</v>
      </c>
      <c r="K28" s="32">
        <f>'User Data'!AJ22</f>
        <v>6.17</v>
      </c>
      <c r="L28" s="32">
        <f>'User Data'!AQ22</f>
        <v>7.93</v>
      </c>
      <c r="M28" s="32">
        <f>'User Data'!AR22</f>
        <v>7.65</v>
      </c>
      <c r="N28" s="33">
        <f>'User Data'!AS22</f>
        <v>7.83</v>
      </c>
      <c r="O28" s="29">
        <f>'User Data'!BU26</f>
        <v>0.92</v>
      </c>
      <c r="P28" s="29">
        <f>'User Data'!BV26</f>
        <v>1.37</v>
      </c>
      <c r="Q28" s="30">
        <f>'User Data'!BW26</f>
        <v>0.9</v>
      </c>
      <c r="R28" s="34">
        <f>'User Data'!BX26</f>
        <v>24.75</v>
      </c>
      <c r="S28" s="29">
        <f>'User Data'!BY26</f>
        <v>14.75</v>
      </c>
      <c r="T28" s="35">
        <f>'User Data'!BZ26</f>
        <v>34.25</v>
      </c>
      <c r="U28" s="29">
        <f>'User Data'!CC26</f>
        <v>27.660458999999999</v>
      </c>
      <c r="V28" s="30">
        <f>'User Data'!CD26</f>
        <v>27.896835199999998</v>
      </c>
      <c r="W28" s="36">
        <f>'User Data'!CV26</f>
        <v>7.0453999999999999</v>
      </c>
      <c r="X28" s="28">
        <f>'User Data'!CF26</f>
        <v>0.60070000000000001</v>
      </c>
      <c r="Y28" s="28">
        <f>'User Data'!CG26</f>
        <v>0</v>
      </c>
      <c r="Z28" s="38">
        <v>7.0999999999999994E-2</v>
      </c>
      <c r="AA28" s="39">
        <v>3.0000000000000001E-3</v>
      </c>
      <c r="AB28" s="37">
        <f>'User Data'!CI26</f>
        <v>0.77100000000000002</v>
      </c>
      <c r="AC28" s="34">
        <f>'User Data'!CQ26</f>
        <v>111</v>
      </c>
      <c r="AD28" s="35">
        <f>'User Data'!CR26</f>
        <v>195</v>
      </c>
      <c r="AE28" s="30"/>
      <c r="AF28" s="34"/>
      <c r="AG28" s="29"/>
      <c r="AH28" s="35"/>
      <c r="AI28" s="30"/>
      <c r="AJ28" s="38">
        <f>'User Data'!Y22</f>
        <v>0.4</v>
      </c>
      <c r="AK28" s="40">
        <f>'User Data'!AB22</f>
        <v>1.4</v>
      </c>
      <c r="AL28" s="41"/>
      <c r="AM28" s="28"/>
      <c r="AN28" s="37"/>
      <c r="AO28" s="1084">
        <f>'User Data'!X116</f>
        <v>111.26971990371165</v>
      </c>
      <c r="AP28" s="1085">
        <f>'User Data'!Y116</f>
        <v>1.5242427384070087</v>
      </c>
      <c r="AQ28" s="42"/>
      <c r="AR28" s="43">
        <f>'User Data'!CZ26</f>
        <v>93.2</v>
      </c>
      <c r="AS28" s="43"/>
      <c r="AT28" s="43">
        <f>'User Data'!DB26</f>
        <v>1</v>
      </c>
      <c r="AU28" s="43" t="s">
        <v>363</v>
      </c>
      <c r="AV28" s="43" t="s">
        <v>363</v>
      </c>
    </row>
    <row r="29" spans="1:48" s="208" customFormat="1" ht="10.5" customHeight="1" x14ac:dyDescent="0.35">
      <c r="A29" s="1103">
        <v>17</v>
      </c>
      <c r="B29" s="26">
        <f>'User Data'!X23</f>
        <v>14.2</v>
      </c>
      <c r="C29" s="27">
        <f>'User Data'!BR27</f>
        <v>11.9</v>
      </c>
      <c r="D29" s="28">
        <f>'User Data'!BS27</f>
        <v>0.62</v>
      </c>
      <c r="E29" s="1086">
        <f>'User Data'!BT27</f>
        <v>24</v>
      </c>
      <c r="F29" s="29">
        <f>'User Data'!CA27</f>
        <v>65</v>
      </c>
      <c r="G29" s="30">
        <f>'User Data'!CB27</f>
        <v>0</v>
      </c>
      <c r="H29" s="31">
        <f>'User Data'!AG23</f>
        <v>7.19</v>
      </c>
      <c r="I29" s="32">
        <f>'User Data'!AH23</f>
        <v>7.03</v>
      </c>
      <c r="J29" s="32">
        <f>'User Data'!AI23</f>
        <v>6.38</v>
      </c>
      <c r="K29" s="32">
        <f>'User Data'!AJ23</f>
        <v>6.28</v>
      </c>
      <c r="L29" s="32">
        <f>'User Data'!AQ23</f>
        <v>8.18</v>
      </c>
      <c r="M29" s="32">
        <f>'User Data'!AR23</f>
        <v>7.89</v>
      </c>
      <c r="N29" s="33">
        <f>'User Data'!AS23</f>
        <v>8.02</v>
      </c>
      <c r="O29" s="29">
        <f>'User Data'!BU27</f>
        <v>0.97</v>
      </c>
      <c r="P29" s="29">
        <f>'User Data'!BV27</f>
        <v>1.32</v>
      </c>
      <c r="Q29" s="30">
        <f>'User Data'!BW27</f>
        <v>0.99</v>
      </c>
      <c r="R29" s="34">
        <f>'User Data'!BX27</f>
        <v>26.2</v>
      </c>
      <c r="S29" s="29">
        <f>'User Data'!BY27</f>
        <v>15</v>
      </c>
      <c r="T29" s="35">
        <f>'User Data'!BZ27</f>
        <v>30.7</v>
      </c>
      <c r="U29" s="29">
        <f>'User Data'!CC27</f>
        <v>28.4432413</v>
      </c>
      <c r="V29" s="30">
        <f>'User Data'!CD27</f>
        <v>28.232089800000001</v>
      </c>
      <c r="W29" s="36">
        <f>'User Data'!CV27</f>
        <v>7.1856</v>
      </c>
      <c r="X29" s="28">
        <f>'User Data'!CF27</f>
        <v>0.52739999999999998</v>
      </c>
      <c r="Y29" s="28">
        <f>'User Data'!CG27</f>
        <v>0</v>
      </c>
      <c r="Z29" s="38">
        <v>7.4999999999999997E-2</v>
      </c>
      <c r="AA29" s="39">
        <v>1.4999999999999999E-2</v>
      </c>
      <c r="AB29" s="37">
        <f>'User Data'!CI27</f>
        <v>0.76800000000000002</v>
      </c>
      <c r="AC29" s="34">
        <f>'User Data'!CQ27</f>
        <v>113</v>
      </c>
      <c r="AD29" s="35">
        <f>'User Data'!CR27</f>
        <v>196</v>
      </c>
      <c r="AE29" s="30"/>
      <c r="AF29" s="34"/>
      <c r="AG29" s="29"/>
      <c r="AH29" s="35"/>
      <c r="AI29" s="30"/>
      <c r="AJ29" s="38">
        <f>'User Data'!Y23</f>
        <v>0.5</v>
      </c>
      <c r="AK29" s="40">
        <f>'User Data'!AB23</f>
        <v>2</v>
      </c>
      <c r="AL29" s="41"/>
      <c r="AM29" s="28"/>
      <c r="AN29" s="37"/>
      <c r="AO29" s="1084">
        <f>'User Data'!X117</f>
        <v>159.5400053653992</v>
      </c>
      <c r="AP29" s="1085">
        <f>'User Data'!Y117</f>
        <v>2.0992105969131472</v>
      </c>
      <c r="AQ29" s="42"/>
      <c r="AR29" s="43">
        <f>'User Data'!CZ27</f>
        <v>125</v>
      </c>
      <c r="AS29" s="43"/>
      <c r="AT29" s="43">
        <f>'User Data'!DB27</f>
        <v>1</v>
      </c>
      <c r="AU29" s="43" t="s">
        <v>363</v>
      </c>
      <c r="AV29" s="43" t="s">
        <v>363</v>
      </c>
    </row>
    <row r="30" spans="1:48" s="208" customFormat="1" ht="10.5" customHeight="1" x14ac:dyDescent="0.35">
      <c r="A30" s="1103">
        <v>18</v>
      </c>
      <c r="B30" s="26">
        <f>'User Data'!X24</f>
        <v>14.3</v>
      </c>
      <c r="C30" s="27">
        <f>'User Data'!BR28</f>
        <v>9.9499999999999993</v>
      </c>
      <c r="D30" s="28">
        <f>'User Data'!BS28</f>
        <v>0.82</v>
      </c>
      <c r="E30" s="1086">
        <f>'User Data'!BT28</f>
        <v>23</v>
      </c>
      <c r="F30" s="29">
        <f>'User Data'!CA28</f>
        <v>58</v>
      </c>
      <c r="G30" s="30">
        <f>'User Data'!CB28</f>
        <v>0</v>
      </c>
      <c r="H30" s="31">
        <f>'User Data'!AG24</f>
        <v>7.28</v>
      </c>
      <c r="I30" s="32">
        <f>'User Data'!AH24</f>
        <v>7.03</v>
      </c>
      <c r="J30" s="32">
        <f>'User Data'!AI24</f>
        <v>6.39</v>
      </c>
      <c r="K30" s="32">
        <f>'User Data'!AJ24</f>
        <v>6.29</v>
      </c>
      <c r="L30" s="32">
        <f>'User Data'!AQ24</f>
        <v>7.95</v>
      </c>
      <c r="M30" s="32">
        <f>'User Data'!AR24</f>
        <v>7.71</v>
      </c>
      <c r="N30" s="33">
        <f>'User Data'!AS24</f>
        <v>7.8</v>
      </c>
      <c r="O30" s="29">
        <f>'User Data'!BU28</f>
        <v>0.81</v>
      </c>
      <c r="P30" s="29">
        <f>'User Data'!BV28</f>
        <v>1.71</v>
      </c>
      <c r="Q30" s="30">
        <f>'User Data'!BW28</f>
        <v>0.94</v>
      </c>
      <c r="R30" s="34">
        <f>'User Data'!BX28</f>
        <v>27.7</v>
      </c>
      <c r="S30" s="29">
        <f>'User Data'!BY28</f>
        <v>16</v>
      </c>
      <c r="T30" s="35">
        <f>'User Data'!BZ28</f>
        <v>31</v>
      </c>
      <c r="U30" s="29">
        <f>'User Data'!CC28</f>
        <v>27.658337799999998</v>
      </c>
      <c r="V30" s="30">
        <f>'User Data'!CD28</f>
        <v>29.439493000000002</v>
      </c>
      <c r="W30" s="36">
        <f>'User Data'!CV28</f>
        <v>7.5316000000000001</v>
      </c>
      <c r="X30" s="28">
        <f>'User Data'!CF28</f>
        <v>0.48799999999999999</v>
      </c>
      <c r="Y30" s="28">
        <f>'User Data'!CG28</f>
        <v>0</v>
      </c>
      <c r="Z30" s="38">
        <v>7.5999999999999998E-2</v>
      </c>
      <c r="AA30" s="39">
        <v>1.2999999999999999E-2</v>
      </c>
      <c r="AB30" s="37">
        <f>'User Data'!CI28</f>
        <v>0.76800000000000002</v>
      </c>
      <c r="AC30" s="34">
        <f>'User Data'!CQ28</f>
        <v>111</v>
      </c>
      <c r="AD30" s="35">
        <f>'User Data'!CR28</f>
        <v>200</v>
      </c>
      <c r="AE30" s="30"/>
      <c r="AF30" s="34"/>
      <c r="AG30" s="29"/>
      <c r="AH30" s="35"/>
      <c r="AI30" s="30"/>
      <c r="AJ30" s="38">
        <f>'User Data'!Y24</f>
        <v>0.7</v>
      </c>
      <c r="AK30" s="40">
        <f>'User Data'!AB24</f>
        <v>1.5</v>
      </c>
      <c r="AL30" s="41"/>
      <c r="AM30" s="28"/>
      <c r="AN30" s="37"/>
      <c r="AO30" s="1084">
        <f>'User Data'!X118</f>
        <v>124.28446335306467</v>
      </c>
      <c r="AP30" s="1085">
        <f>'User Data'!Y118</f>
        <v>1.6571261780408622</v>
      </c>
      <c r="AQ30" s="42"/>
      <c r="AR30" s="43">
        <f>'User Data'!CZ28</f>
        <v>178.9</v>
      </c>
      <c r="AS30" s="43" t="s">
        <v>367</v>
      </c>
      <c r="AT30" s="43">
        <f>'User Data'!DB28</f>
        <v>1</v>
      </c>
      <c r="AU30" s="43" t="s">
        <v>363</v>
      </c>
      <c r="AV30" s="43" t="s">
        <v>363</v>
      </c>
    </row>
    <row r="31" spans="1:48" s="208" customFormat="1" ht="10.5" customHeight="1" x14ac:dyDescent="0.35">
      <c r="A31" s="1103">
        <v>19</v>
      </c>
      <c r="B31" s="26">
        <f>'User Data'!X25</f>
        <v>14.44</v>
      </c>
      <c r="C31" s="27">
        <f>'User Data'!BR29</f>
        <v>11.5</v>
      </c>
      <c r="D31" s="28">
        <f>'User Data'!BS29</f>
        <v>0.68</v>
      </c>
      <c r="E31" s="1086">
        <f>'User Data'!BT29</f>
        <v>22</v>
      </c>
      <c r="F31" s="29">
        <f>'User Data'!CA29</f>
        <v>70</v>
      </c>
      <c r="G31" s="30">
        <f>'User Data'!CB29</f>
        <v>0</v>
      </c>
      <c r="H31" s="31">
        <f>'User Data'!AG25</f>
        <v>7.31</v>
      </c>
      <c r="I31" s="32">
        <f>'User Data'!AH25</f>
        <v>7.1</v>
      </c>
      <c r="J31" s="32">
        <f>'User Data'!AI25</f>
        <v>6.34</v>
      </c>
      <c r="K31" s="32">
        <f>'User Data'!AJ25</f>
        <v>6.2</v>
      </c>
      <c r="L31" s="32">
        <f>'User Data'!AQ25</f>
        <v>7.88</v>
      </c>
      <c r="M31" s="32">
        <f>'User Data'!AR25</f>
        <v>7.6</v>
      </c>
      <c r="N31" s="33">
        <f>'User Data'!AS25</f>
        <v>7.7</v>
      </c>
      <c r="O31" s="29">
        <f>'User Data'!BU29</f>
        <v>1.01</v>
      </c>
      <c r="P31" s="29">
        <f>'User Data'!BV29</f>
        <v>2.42</v>
      </c>
      <c r="Q31" s="30">
        <f>'User Data'!BW29</f>
        <v>1.18</v>
      </c>
      <c r="R31" s="34">
        <f>'User Data'!BX29</f>
        <v>28</v>
      </c>
      <c r="S31" s="29">
        <f>'User Data'!BY29</f>
        <v>14.6</v>
      </c>
      <c r="T31" s="35">
        <f>'User Data'!BZ29</f>
        <v>28.8</v>
      </c>
      <c r="U31" s="29">
        <f>'User Data'!CC29</f>
        <v>28.478438500000003</v>
      </c>
      <c r="V31" s="30">
        <f>'User Data'!CD29</f>
        <v>28.777377200000004</v>
      </c>
      <c r="W31" s="36">
        <f>'User Data'!CV29</f>
        <v>7.3578000000000001</v>
      </c>
      <c r="X31" s="28">
        <f>'User Data'!CF29</f>
        <v>0.52580000000000005</v>
      </c>
      <c r="Y31" s="28">
        <f>'User Data'!CG29</f>
        <v>0</v>
      </c>
      <c r="Z31" s="38">
        <v>6.2E-2</v>
      </c>
      <c r="AA31" s="39">
        <v>8.9999999999999993E-3</v>
      </c>
      <c r="AB31" s="37">
        <f>'User Data'!CI29</f>
        <v>0.74299999999999999</v>
      </c>
      <c r="AC31" s="34">
        <f>'User Data'!CQ29</f>
        <v>115</v>
      </c>
      <c r="AD31" s="35">
        <f>'User Data'!CR29</f>
        <v>194</v>
      </c>
      <c r="AE31" s="30"/>
      <c r="AF31" s="34">
        <f>'User Data'!CM29</f>
        <v>0</v>
      </c>
      <c r="AG31" s="29">
        <f>'User Data'!CN29</f>
        <v>0.24299999999999999</v>
      </c>
      <c r="AH31" s="35">
        <f>'User Data'!CO29</f>
        <v>0.63341999999999998</v>
      </c>
      <c r="AI31" s="30"/>
      <c r="AJ31" s="38">
        <f>'User Data'!Y25</f>
        <v>0.7</v>
      </c>
      <c r="AK31" s="40">
        <f>'User Data'!AB25</f>
        <v>1.7</v>
      </c>
      <c r="AL31" s="41"/>
      <c r="AM31" s="28"/>
      <c r="AN31" s="37"/>
      <c r="AO31" s="1084">
        <f>'User Data'!X119</f>
        <v>134.43262756875504</v>
      </c>
      <c r="AP31" s="1085">
        <f>'User Data'!Y119</f>
        <v>1.7924350342500672</v>
      </c>
      <c r="AQ31" s="42"/>
      <c r="AR31" s="43">
        <f>'User Data'!CZ29</f>
        <v>151.5</v>
      </c>
      <c r="AS31" s="43" t="s">
        <v>367</v>
      </c>
      <c r="AT31" s="43">
        <f>'User Data'!DB29</f>
        <v>1</v>
      </c>
      <c r="AU31" s="43" t="s">
        <v>363</v>
      </c>
      <c r="AV31" s="43" t="s">
        <v>363</v>
      </c>
    </row>
    <row r="32" spans="1:48" s="208" customFormat="1" ht="10.5" customHeight="1" x14ac:dyDescent="0.35">
      <c r="A32" s="1103">
        <v>20</v>
      </c>
      <c r="B32" s="26">
        <f>'User Data'!X26</f>
        <v>14.38</v>
      </c>
      <c r="C32" s="27">
        <f>'User Data'!BR30</f>
        <v>12.9</v>
      </c>
      <c r="D32" s="28">
        <f>'User Data'!BS30</f>
        <v>0.73</v>
      </c>
      <c r="E32" s="1086">
        <f>'User Data'!BT30</f>
        <v>24</v>
      </c>
      <c r="F32" s="29">
        <f>'User Data'!CA30</f>
        <v>85</v>
      </c>
      <c r="G32" s="30">
        <f>'User Data'!CB30</f>
        <v>0</v>
      </c>
      <c r="H32" s="31">
        <f>'User Data'!AG26</f>
        <v>7.19</v>
      </c>
      <c r="I32" s="32">
        <f>'User Data'!AH26</f>
        <v>7.06</v>
      </c>
      <c r="J32" s="32">
        <f>'User Data'!AI26</f>
        <v>6.33</v>
      </c>
      <c r="K32" s="32">
        <f>'User Data'!AJ26</f>
        <v>6.15</v>
      </c>
      <c r="L32" s="32">
        <f>'User Data'!AQ26</f>
        <v>7.81</v>
      </c>
      <c r="M32" s="32">
        <f>'User Data'!AR26</f>
        <v>7.55</v>
      </c>
      <c r="N32" s="33">
        <f>'User Data'!AS26</f>
        <v>7.74</v>
      </c>
      <c r="O32" s="29">
        <f>'User Data'!BU30</f>
        <v>0.89</v>
      </c>
      <c r="P32" s="29">
        <f>'User Data'!BV30</f>
        <v>1.1299999999999999</v>
      </c>
      <c r="Q32" s="30">
        <f>'User Data'!BW30</f>
        <v>1.04</v>
      </c>
      <c r="R32" s="34">
        <f>'User Data'!BX30</f>
        <v>26.5</v>
      </c>
      <c r="S32" s="29">
        <f>'User Data'!BY30</f>
        <v>14</v>
      </c>
      <c r="T32" s="35">
        <f>'User Data'!BZ30</f>
        <v>28.2</v>
      </c>
      <c r="U32" s="29">
        <f>'User Data'!CC30</f>
        <v>27.551040800000003</v>
      </c>
      <c r="V32" s="30">
        <f>'User Data'!CD30</f>
        <v>29.662941799999999</v>
      </c>
      <c r="W32" s="36">
        <f>'User Data'!CV30</f>
        <v>7.6449999999999996</v>
      </c>
      <c r="X32" s="28">
        <f>'User Data'!CF30</f>
        <v>0.60880000000000001</v>
      </c>
      <c r="Y32" s="28">
        <f>'User Data'!CG30</f>
        <v>0</v>
      </c>
      <c r="Z32" s="38">
        <v>6.7000000000000004E-2</v>
      </c>
      <c r="AA32" s="39">
        <v>0.01</v>
      </c>
      <c r="AB32" s="37">
        <f>'User Data'!CI30</f>
        <v>0.749</v>
      </c>
      <c r="AC32" s="34">
        <f>'User Data'!CQ30</f>
        <v>111</v>
      </c>
      <c r="AD32" s="35">
        <f>'User Data'!CR30</f>
        <v>197</v>
      </c>
      <c r="AE32" s="30">
        <f>'User Data'!CL30</f>
        <v>0</v>
      </c>
      <c r="AF32" s="34"/>
      <c r="AG32" s="29"/>
      <c r="AH32" s="35"/>
      <c r="AI32" s="30"/>
      <c r="AJ32" s="38">
        <f>'User Data'!Y26</f>
        <v>0.5</v>
      </c>
      <c r="AK32" s="40">
        <f>'User Data'!AB26</f>
        <v>1.5</v>
      </c>
      <c r="AL32" s="41"/>
      <c r="AM32" s="28"/>
      <c r="AN32" s="37"/>
      <c r="AO32" s="1084">
        <f>'User Data'!X120</f>
        <v>124.51781842953945</v>
      </c>
      <c r="AP32" s="1085">
        <f>'User Data'!Y120</f>
        <v>1.6602375790605259</v>
      </c>
      <c r="AQ32" s="42"/>
      <c r="AR32" s="43">
        <f>'User Data'!CZ30</f>
        <v>95.9</v>
      </c>
      <c r="AS32" s="43" t="s">
        <v>367</v>
      </c>
      <c r="AT32" s="43">
        <f>'User Data'!DB30</f>
        <v>1</v>
      </c>
      <c r="AU32" s="43" t="s">
        <v>363</v>
      </c>
      <c r="AV32" s="43" t="s">
        <v>363</v>
      </c>
    </row>
    <row r="33" spans="1:48" s="208" customFormat="1" ht="10.5" customHeight="1" x14ac:dyDescent="0.35">
      <c r="A33" s="1103">
        <v>21</v>
      </c>
      <c r="B33" s="26">
        <f>'User Data'!X27</f>
        <v>14</v>
      </c>
      <c r="C33" s="27">
        <f>'User Data'!BR31</f>
        <v>19.7</v>
      </c>
      <c r="D33" s="28">
        <f>'User Data'!BS31</f>
        <v>0.43</v>
      </c>
      <c r="E33" s="1086">
        <f>'User Data'!BT31</f>
        <v>24</v>
      </c>
      <c r="F33" s="29">
        <f>'User Data'!CA31</f>
        <v>80</v>
      </c>
      <c r="G33" s="30">
        <f>'User Data'!CB31</f>
        <v>0</v>
      </c>
      <c r="H33" s="31">
        <f>'User Data'!AG27</f>
        <v>7.23</v>
      </c>
      <c r="I33" s="32">
        <f>'User Data'!AH27</f>
        <v>7.01</v>
      </c>
      <c r="J33" s="32">
        <f>'User Data'!AI27</f>
        <v>6.37</v>
      </c>
      <c r="K33" s="32">
        <f>'User Data'!AJ27</f>
        <v>6.24</v>
      </c>
      <c r="L33" s="32">
        <f>'User Data'!AQ27</f>
        <v>8.08</v>
      </c>
      <c r="M33" s="32">
        <f>'User Data'!AR27</f>
        <v>7.75</v>
      </c>
      <c r="N33" s="33">
        <f>'User Data'!AS27</f>
        <v>7.91</v>
      </c>
      <c r="O33" s="29">
        <f>'User Data'!BU31</f>
        <v>0.97</v>
      </c>
      <c r="P33" s="29">
        <f>'User Data'!BV31</f>
        <v>2</v>
      </c>
      <c r="Q33" s="30">
        <f>'User Data'!BW31</f>
        <v>1.01</v>
      </c>
      <c r="R33" s="34">
        <f>'User Data'!BX31</f>
        <v>25.9</v>
      </c>
      <c r="S33" s="29">
        <f>'User Data'!BY31</f>
        <v>15.5</v>
      </c>
      <c r="T33" s="35">
        <f>'User Data'!BZ31</f>
        <v>31</v>
      </c>
      <c r="U33" s="29">
        <f>'User Data'!CC31</f>
        <v>28.386455499999997</v>
      </c>
      <c r="V33" s="30">
        <f>'User Data'!CD31</f>
        <v>28.680217599999999</v>
      </c>
      <c r="W33" s="36">
        <f>'User Data'!CV31</f>
        <v>7.2675999999999998</v>
      </c>
      <c r="X33" s="28">
        <f>'User Data'!CF31</f>
        <v>0.68279999999999996</v>
      </c>
      <c r="Y33" s="28">
        <f>'User Data'!CG31</f>
        <v>0</v>
      </c>
      <c r="Z33" s="38">
        <v>8.4000000000000005E-2</v>
      </c>
      <c r="AA33" s="39">
        <v>1.2E-2</v>
      </c>
      <c r="AB33" s="37">
        <f>'User Data'!CI31</f>
        <v>0.69499999999999995</v>
      </c>
      <c r="AC33" s="34">
        <f>'User Data'!CQ31</f>
        <v>113</v>
      </c>
      <c r="AD33" s="35">
        <f>'User Data'!CR31</f>
        <v>199</v>
      </c>
      <c r="AE33" s="30">
        <f>'User Data'!CL31</f>
        <v>0</v>
      </c>
      <c r="AF33" s="34"/>
      <c r="AG33" s="29"/>
      <c r="AH33" s="35"/>
      <c r="AI33" s="30"/>
      <c r="AJ33" s="38">
        <f>'User Data'!Y27</f>
        <v>0.7</v>
      </c>
      <c r="AK33" s="40">
        <f>'User Data'!AB27</f>
        <v>1.5</v>
      </c>
      <c r="AL33" s="41"/>
      <c r="AM33" s="28"/>
      <c r="AN33" s="37"/>
      <c r="AO33" s="1084">
        <f>'User Data'!X121</f>
        <v>145.53795424215008</v>
      </c>
      <c r="AP33" s="1085">
        <f>'User Data'!Y121</f>
        <v>1.9405060565620011</v>
      </c>
      <c r="AQ33" s="42"/>
      <c r="AR33" s="43">
        <f>'User Data'!CZ31</f>
        <v>185</v>
      </c>
      <c r="AS33" s="43"/>
      <c r="AT33" s="43">
        <f>'User Data'!DB31</f>
        <v>1</v>
      </c>
      <c r="AU33" s="43" t="s">
        <v>363</v>
      </c>
      <c r="AV33" s="43" t="s">
        <v>363</v>
      </c>
    </row>
    <row r="34" spans="1:48" s="208" customFormat="1" ht="10.5" customHeight="1" x14ac:dyDescent="0.35">
      <c r="A34" s="1103">
        <v>22</v>
      </c>
      <c r="B34" s="26">
        <f>'User Data'!X28</f>
        <v>14.1</v>
      </c>
      <c r="C34" s="27">
        <f>'User Data'!BR32</f>
        <v>12.7</v>
      </c>
      <c r="D34" s="28">
        <f>'User Data'!BS32</f>
        <v>0.85</v>
      </c>
      <c r="E34" s="1086">
        <f>'User Data'!BT32</f>
        <v>24</v>
      </c>
      <c r="F34" s="29">
        <f>'User Data'!CA32</f>
        <v>70</v>
      </c>
      <c r="G34" s="30">
        <f>'User Data'!CB32</f>
        <v>0</v>
      </c>
      <c r="H34" s="31">
        <f>'User Data'!AG28</f>
        <v>7.3</v>
      </c>
      <c r="I34" s="32">
        <f>'User Data'!AH28</f>
        <v>7.09</v>
      </c>
      <c r="J34" s="32">
        <f>'User Data'!AI28</f>
        <v>6.45</v>
      </c>
      <c r="K34" s="32">
        <f>'User Data'!AJ28</f>
        <v>6.29</v>
      </c>
      <c r="L34" s="32">
        <f>'User Data'!AQ28</f>
        <v>8.09</v>
      </c>
      <c r="M34" s="32">
        <f>'User Data'!AR28</f>
        <v>7.83</v>
      </c>
      <c r="N34" s="33">
        <f>'User Data'!AS28</f>
        <v>7.94</v>
      </c>
      <c r="O34" s="29">
        <f>'User Data'!BU32</f>
        <v>1.04</v>
      </c>
      <c r="P34" s="29">
        <f>'User Data'!BV32</f>
        <v>1.89</v>
      </c>
      <c r="Q34" s="30">
        <f>'User Data'!BW32</f>
        <v>1.05</v>
      </c>
      <c r="R34" s="34">
        <f>'User Data'!BX32</f>
        <v>25.6</v>
      </c>
      <c r="S34" s="29">
        <f>'User Data'!BY32</f>
        <v>15.2</v>
      </c>
      <c r="T34" s="35">
        <f>'User Data'!BZ32</f>
        <v>25.7</v>
      </c>
      <c r="U34" s="29">
        <f>'User Data'!CC32</f>
        <v>27.915818600000001</v>
      </c>
      <c r="V34" s="30">
        <f>'User Data'!CD32</f>
        <v>30.058959400000003</v>
      </c>
      <c r="W34" s="36">
        <f>'User Data'!CV32</f>
        <v>7.7782</v>
      </c>
      <c r="X34" s="28">
        <f>'User Data'!CF32</f>
        <v>0.56530000000000002</v>
      </c>
      <c r="Y34" s="28">
        <f>'User Data'!CG32</f>
        <v>0</v>
      </c>
      <c r="Z34" s="38">
        <v>0.08</v>
      </c>
      <c r="AA34" s="39">
        <v>8.0000000000000002E-3</v>
      </c>
      <c r="AB34" s="37">
        <f>'User Data'!CI32</f>
        <v>0.746</v>
      </c>
      <c r="AC34" s="34">
        <f>'User Data'!CQ32</f>
        <v>110</v>
      </c>
      <c r="AD34" s="35">
        <f>'User Data'!CR32</f>
        <v>198</v>
      </c>
      <c r="AE34" s="30"/>
      <c r="AF34" s="34"/>
      <c r="AG34" s="29"/>
      <c r="AH34" s="35"/>
      <c r="AI34" s="30"/>
      <c r="AJ34" s="38">
        <f>'User Data'!Y28</f>
        <v>0.7</v>
      </c>
      <c r="AK34" s="40">
        <f>'User Data'!AB28</f>
        <v>1.6</v>
      </c>
      <c r="AL34" s="41"/>
      <c r="AM34" s="28"/>
      <c r="AN34" s="37"/>
      <c r="AO34" s="1084">
        <f>'User Data'!X122</f>
        <v>123.7704668630027</v>
      </c>
      <c r="AP34" s="1085">
        <f>'User Data'!Y122</f>
        <v>1.6502728915067026</v>
      </c>
      <c r="AQ34" s="42"/>
      <c r="AR34" s="43">
        <f>'User Data'!CZ32</f>
        <v>60.2</v>
      </c>
      <c r="AS34" s="43" t="s">
        <v>367</v>
      </c>
      <c r="AT34" s="43">
        <f>'User Data'!DB32</f>
        <v>1</v>
      </c>
      <c r="AU34" s="43" t="s">
        <v>363</v>
      </c>
      <c r="AV34" s="43" t="s">
        <v>363</v>
      </c>
    </row>
    <row r="35" spans="1:48" s="208" customFormat="1" ht="10.5" customHeight="1" x14ac:dyDescent="0.35">
      <c r="A35" s="1103">
        <v>23</v>
      </c>
      <c r="B35" s="26">
        <f>'User Data'!X29</f>
        <v>14.5</v>
      </c>
      <c r="C35" s="27">
        <f>'User Data'!BR33</f>
        <v>12.2</v>
      </c>
      <c r="D35" s="28">
        <f>'User Data'!BS33</f>
        <v>0.69</v>
      </c>
      <c r="E35" s="1086">
        <f>'User Data'!BT33</f>
        <v>24</v>
      </c>
      <c r="F35" s="29">
        <f>'User Data'!CA33</f>
        <v>81</v>
      </c>
      <c r="G35" s="30">
        <f>'User Data'!CB33</f>
        <v>0</v>
      </c>
      <c r="H35" s="31">
        <f>'User Data'!AG29</f>
        <v>7.23</v>
      </c>
      <c r="I35" s="32">
        <f>'User Data'!AH29</f>
        <v>7.03</v>
      </c>
      <c r="J35" s="32">
        <f>'User Data'!AI29</f>
        <v>6.36</v>
      </c>
      <c r="K35" s="32">
        <f>'User Data'!AJ29</f>
        <v>6.21</v>
      </c>
      <c r="L35" s="32">
        <f>'User Data'!AQ29</f>
        <v>7.83</v>
      </c>
      <c r="M35" s="32">
        <f>'User Data'!AR29</f>
        <v>7.6</v>
      </c>
      <c r="N35" s="33">
        <f>'User Data'!AS29</f>
        <v>7.71</v>
      </c>
      <c r="O35" s="29">
        <f>'User Data'!BU33</f>
        <v>1.53</v>
      </c>
      <c r="P35" s="29">
        <f>'User Data'!BV33</f>
        <v>2.54</v>
      </c>
      <c r="Q35" s="30">
        <f>'User Data'!BW33</f>
        <v>1.863</v>
      </c>
      <c r="R35" s="34">
        <f>'User Data'!BX33</f>
        <v>27.2</v>
      </c>
      <c r="S35" s="29">
        <f>'User Data'!BY33</f>
        <v>13.3</v>
      </c>
      <c r="T35" s="35">
        <f>'User Data'!BZ33</f>
        <v>26</v>
      </c>
      <c r="U35" s="29">
        <f>'User Data'!CC33</f>
        <v>27.8191618</v>
      </c>
      <c r="V35" s="30">
        <f>'User Data'!CD33</f>
        <v>29.367911899999999</v>
      </c>
      <c r="W35" s="36">
        <f>'User Data'!CV33</f>
        <v>7.5594999999999999</v>
      </c>
      <c r="X35" s="28">
        <f>'User Data'!CF33</f>
        <v>0.505</v>
      </c>
      <c r="Y35" s="28">
        <f>'User Data'!CG33</f>
        <v>0</v>
      </c>
      <c r="Z35" s="38">
        <v>8.6999999999999994E-2</v>
      </c>
      <c r="AA35" s="39">
        <v>1.4E-2</v>
      </c>
      <c r="AB35" s="37">
        <f>'User Data'!CI33</f>
        <v>0.77300000000000002</v>
      </c>
      <c r="AC35" s="34">
        <f>'User Data'!CQ33</f>
        <v>109</v>
      </c>
      <c r="AD35" s="35">
        <f>'User Data'!CR33</f>
        <v>194</v>
      </c>
      <c r="AE35" s="30"/>
      <c r="AF35" s="34"/>
      <c r="AG35" s="29"/>
      <c r="AH35" s="35"/>
      <c r="AI35" s="30"/>
      <c r="AJ35" s="38">
        <f>'User Data'!Y29</f>
        <v>0.7</v>
      </c>
      <c r="AK35" s="40">
        <f>'User Data'!AB29</f>
        <v>1.6</v>
      </c>
      <c r="AL35" s="41"/>
      <c r="AM35" s="28"/>
      <c r="AN35" s="37"/>
      <c r="AO35" s="1084">
        <f>'User Data'!X123</f>
        <v>122.76088735768597</v>
      </c>
      <c r="AP35" s="1085">
        <f>'User Data'!Y123</f>
        <v>1.6368118314358129</v>
      </c>
      <c r="AQ35" s="42"/>
      <c r="AR35" s="43">
        <f>'User Data'!CZ33</f>
        <v>209.8</v>
      </c>
      <c r="AS35" s="43"/>
      <c r="AT35" s="43">
        <f>'User Data'!DB33</f>
        <v>1</v>
      </c>
      <c r="AU35" s="43" t="s">
        <v>363</v>
      </c>
      <c r="AV35" s="43" t="s">
        <v>363</v>
      </c>
    </row>
    <row r="36" spans="1:48" s="208" customFormat="1" ht="10.5" customHeight="1" x14ac:dyDescent="0.35">
      <c r="A36" s="1103">
        <v>24</v>
      </c>
      <c r="B36" s="26">
        <f>'User Data'!X30</f>
        <v>14.94</v>
      </c>
      <c r="C36" s="27">
        <f>'User Data'!BR34</f>
        <v>11.8</v>
      </c>
      <c r="D36" s="28">
        <f>'User Data'!BS34</f>
        <v>0.78</v>
      </c>
      <c r="E36" s="1086">
        <f>'User Data'!BT34</f>
        <v>24</v>
      </c>
      <c r="F36" s="29">
        <f>'User Data'!CA34</f>
        <v>109</v>
      </c>
      <c r="G36" s="30">
        <f>'User Data'!CB34</f>
        <v>0</v>
      </c>
      <c r="H36" s="31">
        <f>'User Data'!AG30</f>
        <v>7.44</v>
      </c>
      <c r="I36" s="32">
        <f>'User Data'!AH30</f>
        <v>7.16</v>
      </c>
      <c r="J36" s="32">
        <f>'User Data'!AI30</f>
        <v>6.51</v>
      </c>
      <c r="K36" s="32">
        <f>'User Data'!AJ30</f>
        <v>6.26</v>
      </c>
      <c r="L36" s="32">
        <f>'User Data'!AQ30</f>
        <v>8.0500000000000007</v>
      </c>
      <c r="M36" s="32">
        <f>'User Data'!AR30</f>
        <v>7.73</v>
      </c>
      <c r="N36" s="33">
        <f>'User Data'!AS30</f>
        <v>7.85</v>
      </c>
      <c r="O36" s="29">
        <f>'User Data'!BU34</f>
        <v>1.49</v>
      </c>
      <c r="P36" s="29">
        <f>'User Data'!BV34</f>
        <v>3.21</v>
      </c>
      <c r="Q36" s="30">
        <f>'User Data'!BW34</f>
        <v>1.83</v>
      </c>
      <c r="R36" s="34">
        <f>'User Data'!BX34</f>
        <v>26.29</v>
      </c>
      <c r="S36" s="29">
        <f>'User Data'!BY34</f>
        <v>13.5</v>
      </c>
      <c r="T36" s="35">
        <f>'User Data'!BZ34</f>
        <v>27.75</v>
      </c>
      <c r="U36" s="29">
        <f>'User Data'!CC34</f>
        <v>27.698441299999999</v>
      </c>
      <c r="V36" s="30">
        <f>'User Data'!CD34</f>
        <v>29.047896399999999</v>
      </c>
      <c r="W36" s="36">
        <f>'User Data'!CV34</f>
        <v>7.4413999999999998</v>
      </c>
      <c r="X36" s="28">
        <f>'User Data'!CF34</f>
        <v>0.55449999999999999</v>
      </c>
      <c r="Y36" s="28">
        <f>'User Data'!CG34</f>
        <v>5.91E-2</v>
      </c>
      <c r="Z36" s="38">
        <v>0.109</v>
      </c>
      <c r="AA36" s="39">
        <v>2.1000000000000001E-2</v>
      </c>
      <c r="AB36" s="37">
        <f>'User Data'!CI34</f>
        <v>0.78800000000000003</v>
      </c>
      <c r="AC36" s="34">
        <f>'User Data'!CQ34</f>
        <v>109</v>
      </c>
      <c r="AD36" s="35">
        <f>'User Data'!CR34</f>
        <v>193</v>
      </c>
      <c r="AE36" s="30"/>
      <c r="AF36" s="34"/>
      <c r="AG36" s="29"/>
      <c r="AH36" s="35"/>
      <c r="AI36" s="30"/>
      <c r="AJ36" s="38">
        <f>'User Data'!Y30</f>
        <v>0.6</v>
      </c>
      <c r="AK36" s="40">
        <f>'User Data'!AB30</f>
        <v>1.6</v>
      </c>
      <c r="AL36" s="41"/>
      <c r="AM36" s="28"/>
      <c r="AN36" s="37"/>
      <c r="AO36" s="1084">
        <f>'User Data'!X124</f>
        <v>120.77838156601727</v>
      </c>
      <c r="AP36" s="1085">
        <f>'User Data'!Y124</f>
        <v>1.6103784208802303</v>
      </c>
      <c r="AQ36" s="42"/>
      <c r="AR36" s="43">
        <f>'User Data'!CZ34</f>
        <v>165.8</v>
      </c>
      <c r="AS36" s="43" t="s">
        <v>367</v>
      </c>
      <c r="AT36" s="43">
        <f>'User Data'!DB34</f>
        <v>1</v>
      </c>
      <c r="AU36" s="43" t="s">
        <v>363</v>
      </c>
      <c r="AV36" s="43" t="s">
        <v>363</v>
      </c>
    </row>
    <row r="37" spans="1:48" s="208" customFormat="1" ht="10.5" customHeight="1" x14ac:dyDescent="0.35">
      <c r="A37" s="1103">
        <v>25</v>
      </c>
      <c r="B37" s="26">
        <f>'User Data'!X31</f>
        <v>15.39</v>
      </c>
      <c r="C37" s="27">
        <f>'User Data'!BR35</f>
        <v>11.8</v>
      </c>
      <c r="D37" s="28">
        <f>'User Data'!BS35</f>
        <v>0.52</v>
      </c>
      <c r="E37" s="1086">
        <f>'User Data'!BT35</f>
        <v>24</v>
      </c>
      <c r="F37" s="29">
        <f>'User Data'!CA35</f>
        <v>89</v>
      </c>
      <c r="G37" s="30">
        <f>'User Data'!CB35</f>
        <v>0</v>
      </c>
      <c r="H37" s="31">
        <f>'User Data'!AG31</f>
        <v>7.22</v>
      </c>
      <c r="I37" s="32">
        <f>'User Data'!AH31</f>
        <v>7</v>
      </c>
      <c r="J37" s="32">
        <f>'User Data'!AI31</f>
        <v>6.39</v>
      </c>
      <c r="K37" s="32">
        <f>'User Data'!AJ31</f>
        <v>6.17</v>
      </c>
      <c r="L37" s="32">
        <f>'User Data'!AQ31</f>
        <v>7.73</v>
      </c>
      <c r="M37" s="32">
        <f>'User Data'!AR31</f>
        <v>7.54</v>
      </c>
      <c r="N37" s="33">
        <f>'User Data'!AS31</f>
        <v>7.6</v>
      </c>
      <c r="O37" s="29">
        <f>'User Data'!BU35</f>
        <v>1.3</v>
      </c>
      <c r="P37" s="29">
        <f>'User Data'!BV35</f>
        <v>2.4700000000000002</v>
      </c>
      <c r="Q37" s="30">
        <f>'User Data'!BW35</f>
        <v>0.95499999999999996</v>
      </c>
      <c r="R37" s="34">
        <f>'User Data'!BX35</f>
        <v>27.27</v>
      </c>
      <c r="S37" s="29">
        <f>'User Data'!BY35</f>
        <v>15.75</v>
      </c>
      <c r="T37" s="35">
        <f>'User Data'!BZ35</f>
        <v>31</v>
      </c>
      <c r="U37" s="29">
        <f>'User Data'!CC35</f>
        <v>27.3827347</v>
      </c>
      <c r="V37" s="30">
        <f>'User Data'!CD35</f>
        <v>29.083365300000001</v>
      </c>
      <c r="W37" s="36">
        <f>'User Data'!CV35</f>
        <v>7.4748999999999999</v>
      </c>
      <c r="X37" s="28">
        <f>'User Data'!CF35</f>
        <v>0.40210000000000001</v>
      </c>
      <c r="Y37" s="28">
        <f>'User Data'!CG35</f>
        <v>0</v>
      </c>
      <c r="Z37" s="38">
        <v>7.2999999999999995E-2</v>
      </c>
      <c r="AA37" s="39">
        <v>8.0000000000000002E-3</v>
      </c>
      <c r="AB37" s="37">
        <f>'User Data'!CI35</f>
        <v>0.77900000000000003</v>
      </c>
      <c r="AC37" s="34">
        <f>'User Data'!CQ35</f>
        <v>109</v>
      </c>
      <c r="AD37" s="35">
        <f>'User Data'!CR35</f>
        <v>194</v>
      </c>
      <c r="AE37" s="30"/>
      <c r="AF37" s="34"/>
      <c r="AG37" s="29"/>
      <c r="AH37" s="35"/>
      <c r="AI37" s="30"/>
      <c r="AJ37" s="38">
        <f>'User Data'!Y31</f>
        <v>0.4</v>
      </c>
      <c r="AK37" s="40">
        <f>'User Data'!AB31</f>
        <v>1.6</v>
      </c>
      <c r="AL37" s="41"/>
      <c r="AM37" s="28"/>
      <c r="AN37" s="37"/>
      <c r="AO37" s="1084">
        <f>'User Data'!X125</f>
        <v>130.18755920134424</v>
      </c>
      <c r="AP37" s="1085">
        <f>'User Data'!Y125</f>
        <v>2.3247778428811472</v>
      </c>
      <c r="AQ37" s="42"/>
      <c r="AR37" s="43">
        <f>'User Data'!CZ35</f>
        <v>159.69999999999999</v>
      </c>
      <c r="AS37" s="43" t="s">
        <v>367</v>
      </c>
      <c r="AT37" s="43">
        <f>'User Data'!DB35</f>
        <v>1</v>
      </c>
      <c r="AU37" s="43" t="s">
        <v>363</v>
      </c>
      <c r="AV37" s="43" t="s">
        <v>363</v>
      </c>
    </row>
    <row r="38" spans="1:48" s="208" customFormat="1" ht="10.5" customHeight="1" x14ac:dyDescent="0.35">
      <c r="A38" s="1103">
        <v>26</v>
      </c>
      <c r="B38" s="26">
        <f>'User Data'!X32</f>
        <v>15.7</v>
      </c>
      <c r="C38" s="27">
        <f>'User Data'!BR36</f>
        <v>10.3</v>
      </c>
      <c r="D38" s="28">
        <f>'User Data'!BS36</f>
        <v>0.56000000000000005</v>
      </c>
      <c r="E38" s="1086">
        <f>'User Data'!BT36</f>
        <v>24</v>
      </c>
      <c r="F38" s="29">
        <f>'User Data'!CA36</f>
        <v>74</v>
      </c>
      <c r="G38" s="30">
        <f>'User Data'!CB36</f>
        <v>0</v>
      </c>
      <c r="H38" s="31">
        <f>'User Data'!AG32</f>
        <v>7.23</v>
      </c>
      <c r="I38" s="32">
        <f>'User Data'!AH32</f>
        <v>6.97</v>
      </c>
      <c r="J38" s="32">
        <f>'User Data'!AI32</f>
        <v>6.37</v>
      </c>
      <c r="K38" s="32">
        <f>'User Data'!AJ32</f>
        <v>6.24</v>
      </c>
      <c r="L38" s="32">
        <f>'User Data'!AQ32</f>
        <v>8</v>
      </c>
      <c r="M38" s="32">
        <f>'User Data'!AR32</f>
        <v>7.54</v>
      </c>
      <c r="N38" s="33">
        <f>'User Data'!AS32</f>
        <v>7.78</v>
      </c>
      <c r="O38" s="29">
        <f>'User Data'!BU36</f>
        <v>1.04</v>
      </c>
      <c r="P38" s="29">
        <f>'User Data'!BV36</f>
        <v>2.92</v>
      </c>
      <c r="Q38" s="30">
        <f>'User Data'!BW36</f>
        <v>1.62</v>
      </c>
      <c r="R38" s="34">
        <f>'User Data'!BX36</f>
        <v>25.2</v>
      </c>
      <c r="S38" s="29">
        <f>'User Data'!BY36</f>
        <v>14.5</v>
      </c>
      <c r="T38" s="35">
        <f>'User Data'!BZ36</f>
        <v>29</v>
      </c>
      <c r="U38" s="29">
        <f>'User Data'!CC36</f>
        <v>27.875435200000002</v>
      </c>
      <c r="V38" s="30">
        <f>'User Data'!CD36</f>
        <v>28.767102700000002</v>
      </c>
      <c r="W38" s="36">
        <f>'User Data'!CV36</f>
        <v>7.3742999999999999</v>
      </c>
      <c r="X38" s="28">
        <f>'User Data'!CF36</f>
        <v>0.51300000000000001</v>
      </c>
      <c r="Y38" s="28">
        <f>'User Data'!CG36</f>
        <v>0</v>
      </c>
      <c r="Z38" s="38">
        <v>7.1999999999999995E-2</v>
      </c>
      <c r="AA38" s="39">
        <v>1.4E-2</v>
      </c>
      <c r="AB38" s="37">
        <f>'User Data'!CI36</f>
        <v>0.745</v>
      </c>
      <c r="AC38" s="34">
        <f>'User Data'!CQ36</f>
        <v>109</v>
      </c>
      <c r="AD38" s="35">
        <f>'User Data'!CR36</f>
        <v>191</v>
      </c>
      <c r="AE38" s="30"/>
      <c r="AF38" s="34">
        <f>'User Data'!CM36</f>
        <v>0</v>
      </c>
      <c r="AG38" s="29">
        <f>'User Data'!CN36</f>
        <v>0.27700000000000002</v>
      </c>
      <c r="AH38" s="35">
        <f>'User Data'!CO36</f>
        <v>0.71297999999999995</v>
      </c>
      <c r="AI38" s="30"/>
      <c r="AJ38" s="38">
        <f>'User Data'!Y32</f>
        <v>0.6</v>
      </c>
      <c r="AK38" s="40">
        <f>'User Data'!AB32</f>
        <v>1.2</v>
      </c>
      <c r="AL38" s="41"/>
      <c r="AM38" s="28"/>
      <c r="AN38" s="37"/>
      <c r="AO38" s="1084">
        <f>'User Data'!X126</f>
        <v>89.994837194011168</v>
      </c>
      <c r="AP38" s="1085">
        <f>'User Data'!Y126</f>
        <v>1.6362697671638393</v>
      </c>
      <c r="AQ38" s="42"/>
      <c r="AR38" s="43">
        <f>'User Data'!CZ36</f>
        <v>133.30000000000001</v>
      </c>
      <c r="AS38" s="43" t="s">
        <v>367</v>
      </c>
      <c r="AT38" s="43">
        <f>'User Data'!DB36</f>
        <v>1</v>
      </c>
      <c r="AU38" s="43" t="s">
        <v>363</v>
      </c>
      <c r="AV38" s="43" t="s">
        <v>363</v>
      </c>
    </row>
    <row r="39" spans="1:48" s="208" customFormat="1" ht="10.5" customHeight="1" x14ac:dyDescent="0.35">
      <c r="A39" s="1103">
        <v>27</v>
      </c>
      <c r="B39" s="26">
        <f>'User Data'!X33</f>
        <v>15.7</v>
      </c>
      <c r="C39" s="27">
        <f>'User Data'!BR37</f>
        <v>12.1</v>
      </c>
      <c r="D39" s="28">
        <f>'User Data'!BS37</f>
        <v>0.77</v>
      </c>
      <c r="E39" s="1086">
        <f>'User Data'!BT37</f>
        <v>24</v>
      </c>
      <c r="F39" s="29">
        <f>'User Data'!CA37</f>
        <v>70</v>
      </c>
      <c r="G39" s="30">
        <f>'User Data'!CB37</f>
        <v>0</v>
      </c>
      <c r="H39" s="31">
        <f>'User Data'!AG33</f>
        <v>7.28</v>
      </c>
      <c r="I39" s="32">
        <f>'User Data'!AH33</f>
        <v>7.04</v>
      </c>
      <c r="J39" s="32">
        <f>'User Data'!AI33</f>
        <v>6.43</v>
      </c>
      <c r="K39" s="32">
        <f>'User Data'!AJ33</f>
        <v>6.29</v>
      </c>
      <c r="L39" s="32">
        <f>'User Data'!AQ33</f>
        <v>8.09</v>
      </c>
      <c r="M39" s="32">
        <f>'User Data'!AR33</f>
        <v>7.78</v>
      </c>
      <c r="N39" s="33">
        <f>'User Data'!AS33</f>
        <v>7.96</v>
      </c>
      <c r="O39" s="29">
        <f>'User Data'!BU37</f>
        <v>1.04</v>
      </c>
      <c r="P39" s="29">
        <f>'User Data'!BV37</f>
        <v>1.74</v>
      </c>
      <c r="Q39" s="30">
        <f>'User Data'!BW37</f>
        <v>1.99</v>
      </c>
      <c r="R39" s="34">
        <f>'User Data'!BX37</f>
        <v>27.6</v>
      </c>
      <c r="S39" s="29">
        <f>'User Data'!BY37</f>
        <v>13.3</v>
      </c>
      <c r="T39" s="35">
        <f>'User Data'!BZ37</f>
        <v>26.7</v>
      </c>
      <c r="U39" s="29">
        <f>'User Data'!CC37</f>
        <v>27.8022068</v>
      </c>
      <c r="V39" s="30">
        <f>'User Data'!CD37</f>
        <v>28.441564400000004</v>
      </c>
      <c r="W39" s="36">
        <f>'User Data'!CV37</f>
        <v>7.2906000000000004</v>
      </c>
      <c r="X39" s="28">
        <f>'User Data'!CF37</f>
        <v>0.47839999999999999</v>
      </c>
      <c r="Y39" s="28">
        <f>'User Data'!CG37</f>
        <v>0</v>
      </c>
      <c r="Z39" s="38">
        <v>9.9000000000000005E-2</v>
      </c>
      <c r="AA39" s="39">
        <v>2.5000000000000001E-2</v>
      </c>
      <c r="AB39" s="37">
        <f>'User Data'!CI37</f>
        <v>0.76</v>
      </c>
      <c r="AC39" s="34">
        <f>'User Data'!CQ37</f>
        <v>110</v>
      </c>
      <c r="AD39" s="35">
        <f>'User Data'!CR37</f>
        <v>192</v>
      </c>
      <c r="AE39" s="30"/>
      <c r="AF39" s="34"/>
      <c r="AG39" s="29"/>
      <c r="AH39" s="35"/>
      <c r="AI39" s="30"/>
      <c r="AJ39" s="38">
        <f>'User Data'!Y33</f>
        <v>0.6</v>
      </c>
      <c r="AK39" s="40">
        <f>'User Data'!AB33</f>
        <v>1.3</v>
      </c>
      <c r="AL39" s="41"/>
      <c r="AM39" s="28"/>
      <c r="AN39" s="37"/>
      <c r="AO39" s="1084">
        <f>'User Data'!X127</f>
        <v>102.09883299906053</v>
      </c>
      <c r="AP39" s="1085">
        <f>'User Data'!Y127</f>
        <v>1.8231934464117951</v>
      </c>
      <c r="AQ39" s="42"/>
      <c r="AR39" s="43">
        <f>'User Data'!CZ37</f>
        <v>235.9</v>
      </c>
      <c r="AS39" s="43"/>
      <c r="AT39" s="43">
        <f>'User Data'!DB37</f>
        <v>1</v>
      </c>
      <c r="AU39" s="43" t="s">
        <v>363</v>
      </c>
      <c r="AV39" s="43" t="s">
        <v>363</v>
      </c>
    </row>
    <row r="40" spans="1:48" s="208" customFormat="1" ht="10.5" customHeight="1" x14ac:dyDescent="0.35">
      <c r="A40" s="1103">
        <v>28</v>
      </c>
      <c r="B40" s="26">
        <f>'User Data'!X34</f>
        <v>15.76</v>
      </c>
      <c r="C40" s="27">
        <f>'User Data'!BR38</f>
        <v>11.1</v>
      </c>
      <c r="D40" s="28">
        <f>'User Data'!BS38</f>
        <v>0.76</v>
      </c>
      <c r="E40" s="1086">
        <f>'User Data'!BT38</f>
        <v>24</v>
      </c>
      <c r="F40" s="29">
        <f>'User Data'!CA38</f>
        <v>74</v>
      </c>
      <c r="G40" s="30">
        <f>'User Data'!CB38</f>
        <v>0</v>
      </c>
      <c r="H40" s="31">
        <f>'User Data'!AG34</f>
        <v>7.19</v>
      </c>
      <c r="I40" s="32">
        <f>'User Data'!AH34</f>
        <v>7.08</v>
      </c>
      <c r="J40" s="32">
        <f>'User Data'!AI34</f>
        <v>6.39</v>
      </c>
      <c r="K40" s="32">
        <f>'User Data'!AJ34</f>
        <v>6.28</v>
      </c>
      <c r="L40" s="32">
        <f>'User Data'!AQ34</f>
        <v>7.83</v>
      </c>
      <c r="M40" s="32">
        <f>'User Data'!AR34</f>
        <v>7.69</v>
      </c>
      <c r="N40" s="33">
        <f>'User Data'!AS34</f>
        <v>7.76</v>
      </c>
      <c r="O40" s="29">
        <f>'User Data'!BU38</f>
        <v>1.68</v>
      </c>
      <c r="P40" s="29">
        <f>'User Data'!BV38</f>
        <v>2.125</v>
      </c>
      <c r="Q40" s="30">
        <f>'User Data'!BW38</f>
        <v>1.53</v>
      </c>
      <c r="R40" s="34">
        <f>'User Data'!BX38</f>
        <v>26.41</v>
      </c>
      <c r="S40" s="29">
        <f>'User Data'!BY38</f>
        <v>14</v>
      </c>
      <c r="T40" s="35">
        <f>'User Data'!BZ38</f>
        <v>28.3</v>
      </c>
      <c r="U40" s="29">
        <f>'User Data'!CC38</f>
        <v>27.3506143</v>
      </c>
      <c r="V40" s="30">
        <f>'User Data'!CD38</f>
        <v>28.96096</v>
      </c>
      <c r="W40" s="36">
        <f>'User Data'!CV38</f>
        <v>7.4741999999999997</v>
      </c>
      <c r="X40" s="28">
        <f>'User Data'!CF38</f>
        <v>0.46760000000000002</v>
      </c>
      <c r="Y40" s="28">
        <f>'User Data'!CG38</f>
        <v>0</v>
      </c>
      <c r="Z40" s="38">
        <v>0.1</v>
      </c>
      <c r="AA40" s="39">
        <v>2.7E-2</v>
      </c>
      <c r="AB40" s="37">
        <f>'User Data'!CI38</f>
        <v>0.78600000000000003</v>
      </c>
      <c r="AC40" s="34">
        <f>'User Data'!CQ38</f>
        <v>112</v>
      </c>
      <c r="AD40" s="35">
        <f>'User Data'!CR38</f>
        <v>192</v>
      </c>
      <c r="AE40" s="30">
        <f>'User Data'!CL38</f>
        <v>0</v>
      </c>
      <c r="AF40" s="34"/>
      <c r="AG40" s="29"/>
      <c r="AH40" s="35"/>
      <c r="AI40" s="30"/>
      <c r="AJ40" s="38">
        <f>'User Data'!Y34</f>
        <v>0.6</v>
      </c>
      <c r="AK40" s="40">
        <f>'User Data'!AB34</f>
        <v>1.4</v>
      </c>
      <c r="AL40" s="41"/>
      <c r="AM40" s="28"/>
      <c r="AN40" s="37"/>
      <c r="AO40" s="1084">
        <f>'User Data'!X128</f>
        <v>102.35599641071364</v>
      </c>
      <c r="AP40" s="1085">
        <f>'User Data'!Y128</f>
        <v>1.827785650191315</v>
      </c>
      <c r="AQ40" s="42"/>
      <c r="AR40" s="43">
        <f>'User Data'!CZ38</f>
        <v>118.7</v>
      </c>
      <c r="AS40" s="43"/>
      <c r="AT40" s="43">
        <f>'User Data'!DB38</f>
        <v>1</v>
      </c>
      <c r="AU40" s="43" t="s">
        <v>363</v>
      </c>
      <c r="AV40" s="43" t="s">
        <v>363</v>
      </c>
    </row>
    <row r="41" spans="1:48" s="208" customFormat="1" ht="10.5" customHeight="1" x14ac:dyDescent="0.35">
      <c r="A41" s="1103">
        <v>29</v>
      </c>
      <c r="B41" s="26">
        <f>'User Data'!X35</f>
        <v>16.11</v>
      </c>
      <c r="C41" s="27">
        <f>'User Data'!BR39</f>
        <v>10.6</v>
      </c>
      <c r="D41" s="28">
        <f>'User Data'!BS39</f>
        <v>0.55000000000000004</v>
      </c>
      <c r="E41" s="1086">
        <f>'User Data'!BT39</f>
        <v>24</v>
      </c>
      <c r="F41" s="29">
        <f>'User Data'!CA39</f>
        <v>70</v>
      </c>
      <c r="G41" s="30">
        <f>'User Data'!CB39</f>
        <v>0</v>
      </c>
      <c r="H41" s="31">
        <f>'User Data'!AG35</f>
        <v>7.17</v>
      </c>
      <c r="I41" s="32">
        <f>'User Data'!AH35</f>
        <v>7</v>
      </c>
      <c r="J41" s="32">
        <f>'User Data'!AI35</f>
        <v>6.43</v>
      </c>
      <c r="K41" s="32">
        <f>'User Data'!AJ35</f>
        <v>6.22</v>
      </c>
      <c r="L41" s="32">
        <f>'User Data'!AQ35</f>
        <v>8.01</v>
      </c>
      <c r="M41" s="32">
        <f>'User Data'!AR35</f>
        <v>7.76</v>
      </c>
      <c r="N41" s="33">
        <f>'User Data'!AS35</f>
        <v>7.85</v>
      </c>
      <c r="O41" s="29">
        <f>'User Data'!BU39</f>
        <v>1.42</v>
      </c>
      <c r="P41" s="29">
        <f>'User Data'!BV39</f>
        <v>2.77</v>
      </c>
      <c r="Q41" s="30">
        <f>'User Data'!BW39</f>
        <v>1.69</v>
      </c>
      <c r="R41" s="34">
        <f>'User Data'!BX39</f>
        <v>27.27</v>
      </c>
      <c r="S41" s="29">
        <f>'User Data'!BY39</f>
        <v>15.75</v>
      </c>
      <c r="T41" s="35">
        <f>'User Data'!BZ39</f>
        <v>31.75</v>
      </c>
      <c r="U41" s="29">
        <f>'User Data'!CC39</f>
        <v>27.698688699999998</v>
      </c>
      <c r="V41" s="30">
        <f>'User Data'!CD39</f>
        <v>28.8153349</v>
      </c>
      <c r="W41" s="36">
        <f>'User Data'!CV39</f>
        <v>7.3856999999999999</v>
      </c>
      <c r="X41" s="28">
        <f>'User Data'!CF39</f>
        <v>0.3458</v>
      </c>
      <c r="Y41" s="28">
        <f>'User Data'!CG39</f>
        <v>0</v>
      </c>
      <c r="Z41" s="38">
        <v>0.107</v>
      </c>
      <c r="AA41" s="39">
        <v>2.4E-2</v>
      </c>
      <c r="AB41" s="37">
        <f>'User Data'!CI39</f>
        <v>0.78900000000000003</v>
      </c>
      <c r="AC41" s="34">
        <f>'User Data'!CQ39</f>
        <v>110</v>
      </c>
      <c r="AD41" s="35">
        <f>'User Data'!CR39</f>
        <v>195</v>
      </c>
      <c r="AE41" s="30">
        <f>'User Data'!CL39</f>
        <v>0</v>
      </c>
      <c r="AF41" s="34"/>
      <c r="AG41" s="29"/>
      <c r="AH41" s="35"/>
      <c r="AI41" s="30"/>
      <c r="AJ41" s="38">
        <f>'User Data'!Y35</f>
        <v>0.6</v>
      </c>
      <c r="AK41" s="40">
        <f>'User Data'!AB35</f>
        <v>1.6</v>
      </c>
      <c r="AL41" s="41"/>
      <c r="AM41" s="28"/>
      <c r="AN41" s="37"/>
      <c r="AO41" s="1084">
        <f>'User Data'!X129</f>
        <v>130.37523777324125</v>
      </c>
      <c r="AP41" s="1085">
        <f>'User Data'!Y129</f>
        <v>2.3281292459507368</v>
      </c>
      <c r="AQ41" s="42"/>
      <c r="AR41" s="43">
        <f>'User Data'!CZ39</f>
        <v>209.8</v>
      </c>
      <c r="AS41" s="43"/>
      <c r="AT41" s="43">
        <f>'User Data'!DB39</f>
        <v>1</v>
      </c>
      <c r="AU41" s="43" t="s">
        <v>363</v>
      </c>
      <c r="AV41" s="43" t="s">
        <v>363</v>
      </c>
    </row>
    <row r="42" spans="1:48" s="208" customFormat="1" ht="10.5" customHeight="1" x14ac:dyDescent="0.35">
      <c r="A42" s="1103">
        <v>30</v>
      </c>
      <c r="B42" s="26">
        <f>'User Data'!X36</f>
        <v>16.2</v>
      </c>
      <c r="C42" s="27">
        <f>'User Data'!BR40</f>
        <v>13.1</v>
      </c>
      <c r="D42" s="28">
        <f>'User Data'!BS40</f>
        <v>0.64</v>
      </c>
      <c r="E42" s="1086">
        <f>'User Data'!BT40</f>
        <v>24</v>
      </c>
      <c r="F42" s="29">
        <f>'User Data'!CA40</f>
        <v>60</v>
      </c>
      <c r="G42" s="30">
        <f>'User Data'!CB40</f>
        <v>0</v>
      </c>
      <c r="H42" s="31">
        <f>'User Data'!AG36</f>
        <v>7.21</v>
      </c>
      <c r="I42" s="32">
        <f>'User Data'!AH36</f>
        <v>7.01</v>
      </c>
      <c r="J42" s="32">
        <f>'User Data'!AI36</f>
        <v>6.32</v>
      </c>
      <c r="K42" s="32">
        <f>'User Data'!AJ36</f>
        <v>6.22</v>
      </c>
      <c r="L42" s="32">
        <f>'User Data'!AQ36</f>
        <v>7.95</v>
      </c>
      <c r="M42" s="32">
        <f>'User Data'!AR36</f>
        <v>7.75</v>
      </c>
      <c r="N42" s="33">
        <f>'User Data'!AS36</f>
        <v>7.84</v>
      </c>
      <c r="O42" s="29">
        <f>'User Data'!BU40</f>
        <v>0.78</v>
      </c>
      <c r="P42" s="29">
        <f>'User Data'!BV40</f>
        <v>1.29</v>
      </c>
      <c r="Q42" s="30">
        <f>'User Data'!BW40</f>
        <v>0.66</v>
      </c>
      <c r="R42" s="34">
        <f>'User Data'!BX40</f>
        <v>24.5</v>
      </c>
      <c r="S42" s="29">
        <f>'User Data'!BY40</f>
        <v>15.5</v>
      </c>
      <c r="T42" s="35">
        <f>'User Data'!BZ40</f>
        <v>28.5</v>
      </c>
      <c r="U42" s="29">
        <f>'User Data'!CC40</f>
        <v>27.157294100000001</v>
      </c>
      <c r="V42" s="30">
        <f>'User Data'!CD40</f>
        <v>28.475457299999999</v>
      </c>
      <c r="W42" s="36">
        <f>'User Data'!CV40</f>
        <v>7.3110999999999997</v>
      </c>
      <c r="X42" s="28">
        <f>'User Data'!CF40</f>
        <v>0.496</v>
      </c>
      <c r="Y42" s="28">
        <f>'User Data'!CG40</f>
        <v>0</v>
      </c>
      <c r="Z42" s="38">
        <v>0.09</v>
      </c>
      <c r="AA42" s="39">
        <v>1.0999999999999999E-2</v>
      </c>
      <c r="AB42" s="37">
        <f>'User Data'!CI40</f>
        <v>0.77400000000000002</v>
      </c>
      <c r="AC42" s="34">
        <f>'User Data'!CQ40</f>
        <v>108</v>
      </c>
      <c r="AD42" s="35">
        <f>'User Data'!CR40</f>
        <v>193</v>
      </c>
      <c r="AE42" s="30"/>
      <c r="AF42" s="34"/>
      <c r="AG42" s="29"/>
      <c r="AH42" s="35"/>
      <c r="AI42" s="30"/>
      <c r="AJ42" s="38">
        <f>'User Data'!Y36</f>
        <v>0.4</v>
      </c>
      <c r="AK42" s="40">
        <f>'User Data'!AB36</f>
        <v>1.6</v>
      </c>
      <c r="AL42" s="41"/>
      <c r="AM42" s="28"/>
      <c r="AN42" s="37"/>
      <c r="AO42" s="1084">
        <f>'User Data'!X130</f>
        <v>123.20910071631208</v>
      </c>
      <c r="AP42" s="1085">
        <f>'User Data'!Y130</f>
        <v>2.2401654675693106</v>
      </c>
      <c r="AQ42" s="42"/>
      <c r="AR42" s="43">
        <f>'User Data'!CZ40</f>
        <v>866.4</v>
      </c>
      <c r="AS42" s="43"/>
      <c r="AT42" s="43">
        <f>'User Data'!DB40</f>
        <v>1</v>
      </c>
      <c r="AU42" s="43" t="s">
        <v>363</v>
      </c>
      <c r="AV42" s="43" t="s">
        <v>363</v>
      </c>
    </row>
    <row r="43" spans="1:48" s="208" customFormat="1" ht="10.5" customHeight="1" thickBot="1" x14ac:dyDescent="0.4">
      <c r="A43" s="1104">
        <v>31</v>
      </c>
      <c r="B43" s="26">
        <f>'User Data'!X37</f>
        <v>16.23</v>
      </c>
      <c r="C43" s="27">
        <f>'User Data'!BR41</f>
        <v>11.9</v>
      </c>
      <c r="D43" s="28">
        <f>'User Data'!BS41</f>
        <v>0.55000000000000004</v>
      </c>
      <c r="E43" s="1086">
        <f>'User Data'!BT41</f>
        <v>24</v>
      </c>
      <c r="F43" s="29">
        <f>'User Data'!CA41</f>
        <v>62</v>
      </c>
      <c r="G43" s="30">
        <f>'User Data'!CB41</f>
        <v>0</v>
      </c>
      <c r="H43" s="31">
        <f>'User Data'!AG37</f>
        <v>7.16</v>
      </c>
      <c r="I43" s="32">
        <f>'User Data'!AH37</f>
        <v>7.01</v>
      </c>
      <c r="J43" s="32">
        <f>'User Data'!AI37</f>
        <v>6.37</v>
      </c>
      <c r="K43" s="32">
        <f>'User Data'!AJ37</f>
        <v>6.21</v>
      </c>
      <c r="L43" s="32">
        <f>'User Data'!AQ37</f>
        <v>7.83</v>
      </c>
      <c r="M43" s="32">
        <f>'User Data'!AR37</f>
        <v>7.73</v>
      </c>
      <c r="N43" s="33">
        <f>'User Data'!AS37</f>
        <v>7.77</v>
      </c>
      <c r="O43" s="29">
        <f>'User Data'!BU41</f>
        <v>0.99</v>
      </c>
      <c r="P43" s="29">
        <f>'User Data'!BV41</f>
        <v>1.36</v>
      </c>
      <c r="Q43" s="30">
        <f>'User Data'!BW41</f>
        <v>0.68</v>
      </c>
      <c r="R43" s="34">
        <f>'User Data'!BX41</f>
        <v>26.5</v>
      </c>
      <c r="S43" s="29">
        <f>'User Data'!BY41</f>
        <v>15.5</v>
      </c>
      <c r="T43" s="35">
        <f>'User Data'!BZ41</f>
        <v>31.25</v>
      </c>
      <c r="U43" s="29">
        <f>'User Data'!CC41</f>
        <v>27.355619699999998</v>
      </c>
      <c r="V43" s="30">
        <f>'User Data'!CD41</f>
        <v>29.254015199999998</v>
      </c>
      <c r="W43" s="36">
        <f>'User Data'!CV41</f>
        <v>7.5472000000000001</v>
      </c>
      <c r="X43" s="28">
        <f>'User Data'!CF41</f>
        <v>0.54139999999999999</v>
      </c>
      <c r="Y43" s="28">
        <f>'User Data'!CG41</f>
        <v>0</v>
      </c>
      <c r="Z43" s="47">
        <v>9.5000000000000001E-2</v>
      </c>
      <c r="AA43" s="48">
        <v>0.01</v>
      </c>
      <c r="AB43" s="37">
        <f>'User Data'!CI41</f>
        <v>0.78600000000000003</v>
      </c>
      <c r="AC43" s="34">
        <f>'User Data'!CQ41</f>
        <v>108</v>
      </c>
      <c r="AD43" s="35">
        <f>'User Data'!CR41</f>
        <v>193</v>
      </c>
      <c r="AE43" s="30"/>
      <c r="AF43" s="34"/>
      <c r="AG43" s="29"/>
      <c r="AH43" s="35"/>
      <c r="AI43" s="45"/>
      <c r="AJ43" s="38">
        <f>'User Data'!Y37</f>
        <v>0.5</v>
      </c>
      <c r="AK43" s="40">
        <f>'User Data'!AB37</f>
        <v>1.5</v>
      </c>
      <c r="AL43" s="49"/>
      <c r="AM43" s="44"/>
      <c r="AN43" s="46"/>
      <c r="AO43" s="1084">
        <f>'User Data'!X131</f>
        <v>109.96969962167861</v>
      </c>
      <c r="AP43" s="1085">
        <f>'User Data'!Y131</f>
        <v>1.9637446361014039</v>
      </c>
      <c r="AQ43" s="50"/>
      <c r="AR43" s="43">
        <f>'User Data'!CZ41</f>
        <v>410.6</v>
      </c>
      <c r="AS43" s="43"/>
      <c r="AT43" s="43">
        <f>'User Data'!DB41</f>
        <v>1</v>
      </c>
      <c r="AU43" s="43" t="s">
        <v>363</v>
      </c>
      <c r="AV43" s="43" t="s">
        <v>363</v>
      </c>
    </row>
    <row r="44" spans="1:48" s="418" customFormat="1" ht="10.15" customHeight="1" thickTop="1" x14ac:dyDescent="0.4">
      <c r="A44" s="303" t="s">
        <v>60</v>
      </c>
      <c r="B44" s="393" t="s">
        <v>136</v>
      </c>
      <c r="C44" s="400">
        <f t="array" ref="C44">IF(COUNT(C$13:C$43)=0,"",SUM(IF(ISERROR(C$13:C$43),"",C$13:C$43)))</f>
        <v>482.95000000000005</v>
      </c>
      <c r="D44" s="401">
        <f t="array" ref="D44">IF(COUNT(D$13:D$43)=0,"",SUM(IF(ISERROR(D$13:D$43),"",D$13:D$43)))</f>
        <v>22.280000000000005</v>
      </c>
      <c r="E44" s="397">
        <f t="array" ref="E44">IF(COUNT(E$13:E$43)=0,"",SUM(IF(ISERROR(E$13:E$43),"",E$13:E$43)))</f>
        <v>729</v>
      </c>
      <c r="F44" s="402">
        <f t="array" ref="F44">IF(COUNT(F$13:F$43)=0,"",SUM(IF(ISERROR(F$13:F$43),"",F$13:F$43)))</f>
        <v>2608</v>
      </c>
      <c r="G44" s="403">
        <f t="array" ref="G44">IF(COUNT(G$13:G$43)=0,"",SUM(IF(ISERROR(G$13:G$43),"",G$13:G$43)))</f>
        <v>0</v>
      </c>
      <c r="H44" s="398">
        <f t="array" ref="H44">IF(COUNT(H$13:H$43)=0,"",SUM(IF(ISERROR(H$13:H$43),"",H$13:H$43)))</f>
        <v>225.73999999999995</v>
      </c>
      <c r="I44" s="399">
        <f t="array" ref="I44">IF(COUNT(I$13:I$43)=0,"",SUM(IF(ISERROR(I$13:I$43),"",I$13:I$43)))</f>
        <v>218.44999999999996</v>
      </c>
      <c r="J44" s="396">
        <f t="array" ref="J44">IF(COUNT(J$13:J$43)=0,"",SUM(IF(ISERROR(J$13:J$43),"",J$13:J$43)))</f>
        <v>197.67999999999998</v>
      </c>
      <c r="K44" s="404">
        <f t="array" ref="K44">IF(COUNT(K$13:K$43)=0,"",SUM(IF(ISERROR(K$13:K$43),"",K$13:K$43)))</f>
        <v>192.34000000000003</v>
      </c>
      <c r="L44" s="399">
        <f t="array" ref="L44">IF(COUNT(L$13:L$43)=0,"",SUM(IF(ISERROR(L$13:L$43),"",L$13:L$43)))</f>
        <v>246.9</v>
      </c>
      <c r="M44" s="399">
        <f t="array" ref="M44">IF(COUNT(M$13:M$43)=0,"",SUM(IF(ISERROR(M$13:M$43),"",M$13:M$43)))</f>
        <v>238.23999999999998</v>
      </c>
      <c r="N44" s="405">
        <f t="array" ref="N44">IF(COUNT(N$13:N$43)=0,"",SUM(IF(ISERROR(N$13:N$43),"",N$13:N$43)))</f>
        <v>242.36</v>
      </c>
      <c r="O44" s="402">
        <f t="array" ref="O44">IF(COUNT(O$13:O$43)=0,"",SUM(IF(ISERROR(O$13:O$43),"",O$13:O$43)))</f>
        <v>34.669999999999995</v>
      </c>
      <c r="P44" s="402">
        <f t="array" ref="P44">IF(COUNT(P$13:P$43)=0,"",SUM(IF(ISERROR(P$13:P$43),"",P$13:P$43)))</f>
        <v>61.225000000000009</v>
      </c>
      <c r="Q44" s="403">
        <f t="array" ref="Q44">IF(COUNT(Q$13:Q$43)=0,"",SUM(IF(ISERROR(Q$13:Q$43),"",Q$13:Q$43)))</f>
        <v>36.347999999999992</v>
      </c>
      <c r="R44" s="406">
        <f t="array" ref="R44">IF(COUNT(R$13:R$43)=0,"",SUM(IF(ISERROR(R$13:R$43),"",R$13:R$43)))</f>
        <v>812.24</v>
      </c>
      <c r="S44" s="402">
        <f t="array" ref="S44">IF(COUNT(S$13:S$43)=0,"",SUM(IF(ISERROR(S$13:S$43),"",S$13:S$43)))</f>
        <v>445.08</v>
      </c>
      <c r="T44" s="405">
        <f t="array" ref="T44">IF(COUNT(T$13:T$43)=0,"",SUM(IF(ISERROR(T$13:T$43),"",T$13:T$43)))</f>
        <v>893.7</v>
      </c>
      <c r="U44" s="402">
        <f t="array" ref="U44">IF(COUNT(U$13:U$43)=0,"",SUM(IF(ISERROR(U$13:U$43),"",U$13:U$43)))</f>
        <v>833.22174270000005</v>
      </c>
      <c r="V44" s="403">
        <f t="array" ref="V44">IF(COUNT(V$13:V$43)=0,"",SUM(IF(ISERROR(V$13:V$43),"",V$13:V$43)))</f>
        <v>863.50759250000021</v>
      </c>
      <c r="W44" s="407">
        <f t="array" ref="W44">IF(COUNT(W$13:W$43)=0,"",SUM(IF(ISERROR(W$13:W$43),"",W$13:W$43)))</f>
        <v>219.72409999999999</v>
      </c>
      <c r="X44" s="401">
        <f t="array" ref="X44">IF(COUNT(X$13:X$43)=0,"",SUM(IF(ISERROR(X$13:X$43),"",X$13:X$43)))</f>
        <v>21.418799999999997</v>
      </c>
      <c r="Y44" s="408">
        <f t="array" ref="Y44">IF(COUNT(Y$13:Y$43)=0,"",SUM(IF(ISERROR(Y$13:Y$43),"",Y$13:Y$43)))</f>
        <v>5.91E-2</v>
      </c>
      <c r="Z44" s="409">
        <f t="array" ref="Z44">IF(COUNT(Z$13:Z$43)=0,"",SUM(IF(ISERROR(Z$13:Z$43),"",Z$13:Z$43)))</f>
        <v>3.5420000000000011</v>
      </c>
      <c r="AA44" s="410">
        <f t="array" ref="AA44">IF(COUNT(AA$13:AA$43)=0,"",SUM(IF(ISERROR(AA$13:AA$43),"",AA$13:AA$43)))</f>
        <v>0.44700000000000023</v>
      </c>
      <c r="AB44" s="408">
        <f t="array" ref="AB44">IF(COUNT(AB$13:AB$43)=0,"",SUM(IF(ISERROR(AB$13:AB$43),"",AB$13:AB$43)))</f>
        <v>23.960000000000008</v>
      </c>
      <c r="AC44" s="406">
        <f t="array" ref="AC44">IF(COUNT(AC$13:AC$43)=0,"",SUM(IF(ISERROR(AC$13:AC$43),"",AC$13:AC$43)))</f>
        <v>3254</v>
      </c>
      <c r="AD44" s="405">
        <f t="array" ref="AD44">IF(COUNT(AD$13:AD$43)=0,"",SUM(IF(ISERROR(AD$13:AD$43),"",AD$13:AD$43)))</f>
        <v>5849</v>
      </c>
      <c r="AE44" s="403">
        <f t="array" ref="AE44">IF(COUNT(AE$13:AE$43)=0,"",SUM(IF(ISERROR(AE$13:AE$43),"",AE$13:AE$43)))</f>
        <v>0</v>
      </c>
      <c r="AF44" s="406">
        <f t="array" ref="AF44">IF(COUNT(AF$13:AF$43)=0,"",SUM(IF(ISERROR(AF$13:AF$43),"",AF$13:AF$43)))</f>
        <v>0</v>
      </c>
      <c r="AG44" s="402">
        <f t="array" ref="AG44">IF(COUNT(AG$13:AG$43)=0,"",SUM(IF(ISERROR(AG$13:AG$43),"",AG$13:AG$43)))</f>
        <v>1.028</v>
      </c>
      <c r="AH44" s="405">
        <f t="array" ref="AH44">IF(COUNT(AH$13:AH$43)=0,"",SUM(IF(ISERROR(AH$13:AH$43),"",AH$13:AH$43)))</f>
        <v>2.64384</v>
      </c>
      <c r="AI44" s="403" t="str">
        <f t="array" ref="AI44">IF(COUNT(AI$13:AI$43)=0,"",SUM(IF(ISERROR(AI$13:AI$43),"",AI$13:AI$43)))</f>
        <v/>
      </c>
      <c r="AJ44" s="409">
        <f t="array" ref="AJ44">IF(COUNT(AJ$13:AJ$43)=0,"",SUM(IF(ISERROR(AJ$13:AJ$43),"",AJ$13:AJ$43)))</f>
        <v>16.299999999999997</v>
      </c>
      <c r="AK44" s="411">
        <f t="array" ref="AK44">IF(COUNT(AK$13:AK$43)=0,"",SUM(IF(ISERROR(AK$13:AK$43),"",AK$13:AK$43)))</f>
        <v>46.500000000000007</v>
      </c>
      <c r="AL44" s="412" t="str">
        <f t="array" ref="AL44">IF(COUNT(AL$13:AL$43)=0,"",SUM(IF(ISERROR(AL$13:AL$43),"",AL$13:AL$43)))</f>
        <v/>
      </c>
      <c r="AM44" s="401">
        <f t="array" ref="AM44">IF(COUNT(AM$13:AM$43)=0,"",SUM(IF(ISERROR(AM$13:AM$43),"",AM$13:AM$43)))</f>
        <v>4.8000000000000001E-2</v>
      </c>
      <c r="AN44" s="408">
        <f t="array" ref="AN44">IF(COUNT(AN$13:AN$43)=0,"",SUM(IF(ISERROR(AN$13:AN$43),"",AN$13:AN$43)))</f>
        <v>0</v>
      </c>
      <c r="AO44" s="406">
        <f t="array" ref="AO44">IF(COUNT(AO$13:AO$43)=0,"",SUM(IF(ISERROR(AO$13:AO$43),"",AO$13:AO$43)))</f>
        <v>3652.895615672242</v>
      </c>
      <c r="AP44" s="403">
        <f t="array" ref="AP44">IF(COUNT(AP$13:AP$43)=0,"",SUM(IF(ISERROR(AP$13:AP$43),"",AP$13:AP$43)))</f>
        <v>52.53015272716565</v>
      </c>
      <c r="AQ44" s="413"/>
      <c r="AR44" s="414">
        <f t="array" ref="AR44">IF(COUNT(AR$13:AR$43)=0,"",SUM(IF(ISERROR(AR$13:AR$43),"",AR$13:AR$43)))</f>
        <v>6640.1</v>
      </c>
      <c r="AS44" s="415"/>
      <c r="AT44" s="414">
        <f t="array" ref="AT44">IF(COUNT(AT$13:AT$43)=0,"",SUM(IF(ISERROR(AT$13:AT$43),"",AT$13:AT$43)))</f>
        <v>167.89999999999995</v>
      </c>
      <c r="AU44" s="416"/>
      <c r="AV44" s="417"/>
    </row>
    <row r="45" spans="1:48" s="418" customFormat="1" ht="10.15" customHeight="1" x14ac:dyDescent="0.4">
      <c r="A45" s="303" t="s">
        <v>61</v>
      </c>
      <c r="B45" s="398">
        <f t="shared" ref="B45:AP45" si="0">IF(COUNT(B$13:B$43)=0,"",IF(ISERROR(AVERAGE(B$13:B$43)),"N/A",AVERAGE(B$13:B$43)))</f>
        <v>13.96032258064516</v>
      </c>
      <c r="C45" s="400">
        <f t="shared" si="0"/>
        <v>15.579032258064517</v>
      </c>
      <c r="D45" s="401">
        <f t="shared" si="0"/>
        <v>0.71870967741935499</v>
      </c>
      <c r="E45" s="397">
        <f t="shared" si="0"/>
        <v>23.516129032258064</v>
      </c>
      <c r="F45" s="402">
        <f t="shared" si="0"/>
        <v>84.129032258064512</v>
      </c>
      <c r="G45" s="403">
        <f t="shared" si="0"/>
        <v>0</v>
      </c>
      <c r="H45" s="398">
        <f t="shared" si="0"/>
        <v>7.2819354838709662</v>
      </c>
      <c r="I45" s="399">
        <f t="shared" si="0"/>
        <v>7.0467741935483854</v>
      </c>
      <c r="J45" s="396">
        <f t="shared" si="0"/>
        <v>6.3767741935483864</v>
      </c>
      <c r="K45" s="404">
        <f t="shared" si="0"/>
        <v>6.2045161290322595</v>
      </c>
      <c r="L45" s="399">
        <f t="shared" si="0"/>
        <v>7.9645161290322584</v>
      </c>
      <c r="M45" s="399">
        <f t="shared" si="0"/>
        <v>7.6851612903225801</v>
      </c>
      <c r="N45" s="405">
        <f t="shared" si="0"/>
        <v>7.8180645161290325</v>
      </c>
      <c r="O45" s="402">
        <f t="shared" si="0"/>
        <v>1.1183870967741933</v>
      </c>
      <c r="P45" s="402">
        <f t="shared" si="0"/>
        <v>1.9750000000000003</v>
      </c>
      <c r="Q45" s="403">
        <f t="shared" si="0"/>
        <v>1.1725161290322579</v>
      </c>
      <c r="R45" s="406">
        <f t="shared" si="0"/>
        <v>26.201290322580647</v>
      </c>
      <c r="S45" s="402">
        <f t="shared" si="0"/>
        <v>14.35741935483871</v>
      </c>
      <c r="T45" s="405">
        <f t="shared" si="0"/>
        <v>28.829032258064519</v>
      </c>
      <c r="U45" s="402">
        <f t="shared" si="0"/>
        <v>26.878120732258065</v>
      </c>
      <c r="V45" s="403">
        <f t="shared" si="0"/>
        <v>27.855083629032265</v>
      </c>
      <c r="W45" s="407">
        <f t="shared" si="0"/>
        <v>7.0878741935483864</v>
      </c>
      <c r="X45" s="401">
        <f t="shared" si="0"/>
        <v>0.69092903225806446</v>
      </c>
      <c r="Y45" s="408">
        <f t="shared" si="0"/>
        <v>1.9064516129032258E-3</v>
      </c>
      <c r="Z45" s="409">
        <f t="shared" si="0"/>
        <v>0.11425806451612906</v>
      </c>
      <c r="AA45" s="410">
        <f t="shared" si="0"/>
        <v>1.4419354838709686E-2</v>
      </c>
      <c r="AB45" s="408">
        <f t="shared" si="0"/>
        <v>0.77290322580645188</v>
      </c>
      <c r="AC45" s="406">
        <f t="shared" si="0"/>
        <v>104.96774193548387</v>
      </c>
      <c r="AD45" s="405">
        <f t="shared" si="0"/>
        <v>188.67741935483872</v>
      </c>
      <c r="AE45" s="403">
        <f t="shared" si="0"/>
        <v>0</v>
      </c>
      <c r="AF45" s="406">
        <f t="shared" si="0"/>
        <v>0</v>
      </c>
      <c r="AG45" s="402">
        <f t="shared" si="0"/>
        <v>0.25700000000000001</v>
      </c>
      <c r="AH45" s="405">
        <f t="shared" si="0"/>
        <v>0.66095999999999999</v>
      </c>
      <c r="AI45" s="403" t="str">
        <f t="shared" si="0"/>
        <v/>
      </c>
      <c r="AJ45" s="409">
        <f t="shared" si="0"/>
        <v>0.52580645161290318</v>
      </c>
      <c r="AK45" s="411">
        <f t="shared" si="0"/>
        <v>1.5000000000000002</v>
      </c>
      <c r="AL45" s="412" t="str">
        <f t="shared" si="0"/>
        <v/>
      </c>
      <c r="AM45" s="401">
        <f t="shared" si="0"/>
        <v>4.8000000000000001E-2</v>
      </c>
      <c r="AN45" s="408">
        <f t="shared" si="0"/>
        <v>0</v>
      </c>
      <c r="AO45" s="406">
        <f t="shared" si="0"/>
        <v>117.83534244104007</v>
      </c>
      <c r="AP45" s="403">
        <f t="shared" si="0"/>
        <v>1.694521055715021</v>
      </c>
      <c r="AQ45" s="419"/>
      <c r="AR45" s="414">
        <f>IF(COUNT(AR$13:AR$43)=0,"",IF(ISERROR(AVERAGE(AR$13:AR$43)),"N/A",AVERAGE(AR$13:AR$43)))</f>
        <v>214.19677419354841</v>
      </c>
      <c r="AS45" s="420"/>
      <c r="AT45" s="421">
        <f>IF(COUNT(AT$13:AT$43)=0,"",IF(ISERROR(AVERAGE(AT$13:AT$43)),"N/A",AVERAGE(AT$13:AT$43)))</f>
        <v>5.4161290322580626</v>
      </c>
      <c r="AU45" s="422"/>
      <c r="AV45" s="423"/>
    </row>
    <row r="46" spans="1:48" s="418" customFormat="1" ht="10.15" customHeight="1" x14ac:dyDescent="0.4">
      <c r="A46" s="303" t="s">
        <v>62</v>
      </c>
      <c r="B46" s="398">
        <f t="array" ref="B46">IF(COUNT(B$13:B$43)=0,"",MAX(IF(ISERROR(B$13:B$43),"",B$13:B$43)))</f>
        <v>16.23</v>
      </c>
      <c r="C46" s="400">
        <f t="array" ref="C46">IF(COUNT(C$13:C$43)=0,"",MAX(IF(ISERROR(C$13:C$43),"",C$13:C$43)))</f>
        <v>22.3</v>
      </c>
      <c r="D46" s="401">
        <f t="array" ref="D46">IF(COUNT(D$13:D$43)=0,"",MAX(IF(ISERROR(D$13:D$43),"",D$13:D$43)))</f>
        <v>0.98</v>
      </c>
      <c r="E46" s="397">
        <f t="array" ref="E46">IF(COUNT(E$13:E$43)=0,"",MAX(IF(ISERROR(E$13:E$43),"",E$13:E$43)))</f>
        <v>24</v>
      </c>
      <c r="F46" s="402">
        <f t="array" ref="F46">IF(COUNT(F$13:F$43)=0,"",MAX(IF(ISERROR(F$13:F$43),"",F$13:F$43)))</f>
        <v>119</v>
      </c>
      <c r="G46" s="403">
        <f t="array" ref="G46">IF(COUNT(G$13:G$43)=0,"",MAX(IF(ISERROR(G$13:G$43),"",G$13:G$43)))</f>
        <v>0</v>
      </c>
      <c r="H46" s="398">
        <f t="array" ref="H46">IF(COUNT(H$13:H$43)=0,"",MAX(IF(ISERROR(H$13:H$43),"",H$13:H$43)))</f>
        <v>7.49</v>
      </c>
      <c r="I46" s="399">
        <f t="array" ref="I46">IF(COUNT(I$13:I$43)=0,"",MAX(IF(ISERROR(I$13:I$43),"",I$13:I$43)))</f>
        <v>7.16</v>
      </c>
      <c r="J46" s="396">
        <f t="array" ref="J46">IF(COUNT(J$13:J$43)=0,"",MAX(IF(ISERROR(J$13:J$43),"",J$13:J$43)))</f>
        <v>6.67</v>
      </c>
      <c r="K46" s="404">
        <f t="array" ref="K46">IF(COUNT(K$13:K$43)=0,"",MAX(IF(ISERROR(K$13:K$43),"",K$13:K$43)))</f>
        <v>6.32</v>
      </c>
      <c r="L46" s="399">
        <f t="array" ref="L46">IF(COUNT(L$13:L$43)=0,"",MAX(IF(ISERROR(L$13:L$43),"",L$13:L$43)))</f>
        <v>8.18</v>
      </c>
      <c r="M46" s="399">
        <f t="array" ref="M46">IF(COUNT(M$13:M$43)=0,"",MAX(IF(ISERROR(M$13:M$43),"",M$13:M$43)))</f>
        <v>7.89</v>
      </c>
      <c r="N46" s="405">
        <f t="array" ref="N46">IF(COUNT(N$13:N$43)=0,"",MAX(IF(ISERROR(N$13:N$43),"",N$13:N$43)))</f>
        <v>8.02</v>
      </c>
      <c r="O46" s="402">
        <f t="array" ref="O46">IF(COUNT(O$13:O$43)=0,"",MAX(IF(ISERROR(O$13:O$43),"",O$13:O$43)))</f>
        <v>2.08</v>
      </c>
      <c r="P46" s="402">
        <f t="array" ref="P46">IF(COUNT(P$13:P$43)=0,"",MAX(IF(ISERROR(P$13:P$43),"",P$13:P$43)))</f>
        <v>3.96</v>
      </c>
      <c r="Q46" s="403">
        <f t="array" ref="Q46">IF(COUNT(Q$13:Q$43)=0,"",MAX(IF(ISERROR(Q$13:Q$43),"",Q$13:Q$43)))</f>
        <v>1.99</v>
      </c>
      <c r="R46" s="406">
        <f t="array" ref="R46">IF(COUNT(R$13:R$43)=0,"",MAX(IF(ISERROR(R$13:R$43),"",R$13:R$43)))</f>
        <v>28.81</v>
      </c>
      <c r="S46" s="402">
        <f t="array" ref="S46">IF(COUNT(S$13:S$43)=0,"",MAX(IF(ISERROR(S$13:S$43),"",S$13:S$43)))</f>
        <v>16</v>
      </c>
      <c r="T46" s="405">
        <f t="array" ref="T46">IF(COUNT(T$13:T$43)=0,"",MAX(IF(ISERROR(T$13:T$43),"",T$13:T$43)))</f>
        <v>34.25</v>
      </c>
      <c r="U46" s="402">
        <f t="array" ref="U46">IF(COUNT(U$13:U$43)=0,"",MAX(IF(ISERROR(U$13:U$43),"",U$13:U$43)))</f>
        <v>28.478438500000003</v>
      </c>
      <c r="V46" s="403">
        <f t="array" ref="V46">IF(COUNT(V$13:V$43)=0,"",MAX(IF(ISERROR(V$13:V$43),"",V$13:V$43)))</f>
        <v>30.058959400000003</v>
      </c>
      <c r="W46" s="407">
        <f t="array" ref="W46">IF(COUNT(W$13:W$43)=0,"",MAX(IF(ISERROR(W$13:W$43),"",W$13:W$43)))</f>
        <v>7.7782</v>
      </c>
      <c r="X46" s="401">
        <f t="array" ref="X46">IF(COUNT(X$13:X$43)=0,"",MAX(IF(ISERROR(X$13:X$43),"",X$13:X$43)))</f>
        <v>1.2061999999999999</v>
      </c>
      <c r="Y46" s="408">
        <f t="array" ref="Y46">IF(COUNT(Y$13:Y$43)=0,"",MAX(IF(ISERROR(Y$13:Y$43),"",Y$13:Y$43)))</f>
        <v>5.91E-2</v>
      </c>
      <c r="Z46" s="409">
        <f t="array" ref="Z46">IF(COUNT(Z$13:Z$43)=0,"",MAX(IF(ISERROR(Z$13:Z$43),"",Z$13:Z$43)))</f>
        <v>0.82</v>
      </c>
      <c r="AA46" s="410">
        <f t="array" ref="AA46">IF(COUNT(AA$13:AA$43)=0,"",MAX(IF(ISERROR(AA$13:AA$43),"",AA$13:AA$43)))</f>
        <v>2.7E-2</v>
      </c>
      <c r="AB46" s="408">
        <f t="array" ref="AB46">IF(COUNT(AB$13:AB$43)=0,"",MAX(IF(ISERROR(AB$13:AB$43),"",AB$13:AB$43)))</f>
        <v>0.83599999999999997</v>
      </c>
      <c r="AC46" s="406">
        <f t="array" ref="AC46">IF(COUNT(AC$13:AC$43)=0,"",MAX(IF(ISERROR(AC$13:AC$43),"",AC$13:AC$43)))</f>
        <v>115</v>
      </c>
      <c r="AD46" s="405">
        <f t="array" ref="AD46">IF(COUNT(AD$13:AD$43)=0,"",MAX(IF(ISERROR(AD$13:AD$43),"",AD$13:AD$43)))</f>
        <v>200</v>
      </c>
      <c r="AE46" s="403">
        <f t="array" ref="AE46">IF(COUNT(AE$13:AE$43)=0,"",MAX(IF(ISERROR(AE$13:AE$43),"",AE$13:AE$43)))</f>
        <v>0</v>
      </c>
      <c r="AF46" s="406">
        <f t="array" ref="AF46">IF(COUNT(AF$13:AF$43)=0,"",MAX(IF(ISERROR(AF$13:AF$43),"",AF$13:AF$43)))</f>
        <v>0</v>
      </c>
      <c r="AG46" s="402">
        <f t="array" ref="AG46">IF(COUNT(AG$13:AG$43)=0,"",MAX(IF(ISERROR(AG$13:AG$43),"",AG$13:AG$43)))</f>
        <v>0.27700000000000002</v>
      </c>
      <c r="AH46" s="405">
        <f t="array" ref="AH46">IF(COUNT(AH$13:AH$43)=0,"",MAX(IF(ISERROR(AH$13:AH$43),"",AH$13:AH$43)))</f>
        <v>0.71297999999999995</v>
      </c>
      <c r="AI46" s="403" t="str">
        <f t="array" ref="AI46">IF(COUNT(AI$13:AI$43)=0,"",MAX(IF(ISERROR(AI$13:AI$43),"",AI$13:AI$43)))</f>
        <v/>
      </c>
      <c r="AJ46" s="409">
        <f t="array" ref="AJ46">IF(COUNT(AJ$13:AJ$43)=0,"",MAX(IF(ISERROR(AJ$13:AJ$43),"",AJ$13:AJ$43)))</f>
        <v>0.7</v>
      </c>
      <c r="AK46" s="411">
        <f t="array" ref="AK46">IF(COUNT(AK$13:AK$43)=0,"",MAX(IF(ISERROR(AK$13:AK$43),"",AK$13:AK$43)))</f>
        <v>2</v>
      </c>
      <c r="AL46" s="412" t="str">
        <f t="array" ref="AL46">IF(COUNT(AL$13:AL$43)=0,"",MAX(IF(ISERROR(AL$13:AL$43),"",AL$13:AL$43)))</f>
        <v/>
      </c>
      <c r="AM46" s="401">
        <f t="array" ref="AM46">IF(COUNT(AM$13:AM$43)=0,"",MAX(IF(ISERROR(AM$13:AM$43),"",AM$13:AM$43)))</f>
        <v>4.8000000000000001E-2</v>
      </c>
      <c r="AN46" s="408">
        <f t="array" ref="AN46">IF(COUNT(AN$13:AN$43)=0,"",MAX(IF(ISERROR(AN$13:AN$43),"",AN$13:AN$43)))</f>
        <v>0</v>
      </c>
      <c r="AO46" s="406">
        <f t="array" ref="AO46">IF(COUNT(AO$13:AO$43)=0,"",MAX(IF(ISERROR(AO$13:AO$43),"",AO$13:AO$43)))</f>
        <v>159.5400053653992</v>
      </c>
      <c r="AP46" s="403">
        <f t="array" ref="AP46">IF(COUNT(AP$13:AP$43)=0,"",MAX(IF(ISERROR(AP$13:AP$43),"",AP$13:AP$43)))</f>
        <v>2.3281292459507368</v>
      </c>
      <c r="AQ46" s="413"/>
      <c r="AR46" s="414">
        <f t="array" ref="AR46">IF(COUNT(AR$13:AR$43)=0,"",MAX(IF(ISERROR(AR$13:AR$43),"",AR$13:AR$43)))</f>
        <v>866.4</v>
      </c>
      <c r="AS46" s="415"/>
      <c r="AT46" s="414">
        <f t="array" ref="AT46">IF(COUNT(AT$13:AT$43)=0,"",MAX(IF(ISERROR(AT$13:AT$43),"",AT$13:AT$43)))</f>
        <v>47.3</v>
      </c>
      <c r="AU46" s="416"/>
      <c r="AV46" s="417"/>
    </row>
    <row r="47" spans="1:48" s="418" customFormat="1" ht="10.15" customHeight="1" thickBot="1" x14ac:dyDescent="0.45">
      <c r="A47" s="318" t="s">
        <v>63</v>
      </c>
      <c r="B47" s="424">
        <f t="shared" ref="B47:AP47" si="1">IF(COUNT(B$13:B$43)=0,"",IF(ISERROR(MIN(B$13:B$43)),"N/A",MIN(B$13:B$43)))</f>
        <v>12.1</v>
      </c>
      <c r="C47" s="425">
        <f t="shared" si="1"/>
        <v>9.9499999999999993</v>
      </c>
      <c r="D47" s="426">
        <f t="shared" si="1"/>
        <v>0.43</v>
      </c>
      <c r="E47" s="427">
        <f t="shared" si="1"/>
        <v>21</v>
      </c>
      <c r="F47" s="428">
        <f t="shared" si="1"/>
        <v>58</v>
      </c>
      <c r="G47" s="429">
        <f t="shared" si="1"/>
        <v>0</v>
      </c>
      <c r="H47" s="424">
        <f t="shared" si="1"/>
        <v>7.16</v>
      </c>
      <c r="I47" s="430">
        <f t="shared" si="1"/>
        <v>6.9</v>
      </c>
      <c r="J47" s="431">
        <f t="shared" si="1"/>
        <v>6.26</v>
      </c>
      <c r="K47" s="432">
        <f t="shared" si="1"/>
        <v>6.04</v>
      </c>
      <c r="L47" s="430">
        <f t="shared" si="1"/>
        <v>7.73</v>
      </c>
      <c r="M47" s="430">
        <f t="shared" si="1"/>
        <v>7.44</v>
      </c>
      <c r="N47" s="433">
        <f t="shared" si="1"/>
        <v>7.6</v>
      </c>
      <c r="O47" s="428">
        <f t="shared" si="1"/>
        <v>0.69</v>
      </c>
      <c r="P47" s="428">
        <f t="shared" si="1"/>
        <v>1.04</v>
      </c>
      <c r="Q47" s="429">
        <f t="shared" si="1"/>
        <v>0.55000000000000004</v>
      </c>
      <c r="R47" s="434">
        <f t="shared" si="1"/>
        <v>23.5</v>
      </c>
      <c r="S47" s="428">
        <f t="shared" si="1"/>
        <v>11.7</v>
      </c>
      <c r="T47" s="433">
        <f t="shared" si="1"/>
        <v>21.7</v>
      </c>
      <c r="U47" s="428">
        <f t="shared" si="1"/>
        <v>24.1623214</v>
      </c>
      <c r="V47" s="429">
        <f t="shared" si="1"/>
        <v>25.572814000000001</v>
      </c>
      <c r="W47" s="435">
        <f t="shared" si="1"/>
        <v>6.3952</v>
      </c>
      <c r="X47" s="426">
        <f t="shared" si="1"/>
        <v>0.3458</v>
      </c>
      <c r="Y47" s="436">
        <f t="shared" si="1"/>
        <v>0</v>
      </c>
      <c r="Z47" s="437">
        <f t="shared" si="1"/>
        <v>6.2E-2</v>
      </c>
      <c r="AA47" s="438">
        <f t="shared" si="1"/>
        <v>3.0000000000000001E-3</v>
      </c>
      <c r="AB47" s="436">
        <f t="shared" si="1"/>
        <v>0.69499999999999995</v>
      </c>
      <c r="AC47" s="434">
        <f t="shared" si="1"/>
        <v>92</v>
      </c>
      <c r="AD47" s="433">
        <f t="shared" si="1"/>
        <v>175</v>
      </c>
      <c r="AE47" s="429">
        <f t="shared" si="1"/>
        <v>0</v>
      </c>
      <c r="AF47" s="434">
        <f t="shared" si="1"/>
        <v>0</v>
      </c>
      <c r="AG47" s="428">
        <f t="shared" si="1"/>
        <v>0.24299999999999999</v>
      </c>
      <c r="AH47" s="433">
        <f t="shared" si="1"/>
        <v>0.63341999999999998</v>
      </c>
      <c r="AI47" s="429" t="str">
        <f t="shared" si="1"/>
        <v/>
      </c>
      <c r="AJ47" s="437">
        <f t="shared" si="1"/>
        <v>0.3</v>
      </c>
      <c r="AK47" s="439">
        <f t="shared" si="1"/>
        <v>1</v>
      </c>
      <c r="AL47" s="440" t="str">
        <f t="shared" si="1"/>
        <v/>
      </c>
      <c r="AM47" s="426">
        <f t="shared" si="1"/>
        <v>4.8000000000000001E-2</v>
      </c>
      <c r="AN47" s="436">
        <f t="shared" si="1"/>
        <v>0</v>
      </c>
      <c r="AO47" s="434">
        <f t="shared" si="1"/>
        <v>89.990337197178235</v>
      </c>
      <c r="AP47" s="429">
        <f t="shared" si="1"/>
        <v>1.2327443451668252</v>
      </c>
      <c r="AQ47" s="441"/>
      <c r="AR47" s="442">
        <f>IF(COUNT(AR$13:AR$43)=0,"",IF(ISERROR(MIN(AR$13:AR$43)),"N/A",MIN(AR$13:AR$43)))</f>
        <v>60.2</v>
      </c>
      <c r="AS47" s="443"/>
      <c r="AT47" s="442">
        <f>IF(COUNT(AT$13:AT$43)=0,"",IF(ISERROR(MIN(AT$13:AT$43)),"N/A",MIN(AT$13:AT$43)))</f>
        <v>1</v>
      </c>
      <c r="AU47" s="444"/>
      <c r="AV47" s="445"/>
    </row>
    <row r="48" spans="1:48" s="447" customFormat="1" ht="6" customHeight="1" x14ac:dyDescent="0.4">
      <c r="A48" s="335"/>
      <c r="B48" s="335"/>
      <c r="C48" s="335"/>
      <c r="D48" s="335"/>
      <c r="E48" s="335"/>
      <c r="F48" s="335"/>
      <c r="G48" s="335"/>
      <c r="H48" s="335"/>
      <c r="I48" s="335"/>
      <c r="J48" s="335"/>
      <c r="K48" s="335"/>
      <c r="L48" s="335"/>
      <c r="M48" s="335"/>
      <c r="N48" s="335"/>
      <c r="O48" s="335"/>
      <c r="P48" s="335"/>
      <c r="Q48" s="335"/>
      <c r="R48" s="335"/>
      <c r="S48" s="335"/>
      <c r="T48" s="335"/>
      <c r="U48" s="335"/>
      <c r="V48" s="335"/>
      <c r="W48" s="335"/>
      <c r="X48" s="223"/>
      <c r="Y48" s="223"/>
      <c r="Z48" s="197"/>
      <c r="AA48" s="197"/>
      <c r="AB48" s="223"/>
      <c r="AC48" s="446"/>
      <c r="AD48" s="335"/>
      <c r="AE48" s="197"/>
      <c r="AF48" s="197"/>
      <c r="AG48" s="197"/>
      <c r="AH48" s="197"/>
      <c r="AI48" s="197"/>
      <c r="AJ48" s="223"/>
      <c r="AK48" s="223"/>
      <c r="AL48" s="335"/>
      <c r="AM48" s="335"/>
      <c r="AN48" s="335"/>
      <c r="AO48" s="335"/>
      <c r="AP48" s="51">
        <f>IF(COUNT(rng_CTCalc)=0,"",COUNTIF(rng_CTCalc,"&lt;0.95"))</f>
        <v>0</v>
      </c>
      <c r="AQ48" s="335"/>
      <c r="AR48" s="335"/>
      <c r="AS48" s="335"/>
      <c r="AT48" s="335"/>
      <c r="AU48" s="335"/>
      <c r="AV48" s="335"/>
    </row>
    <row r="49" spans="1:48" s="208" customFormat="1" ht="10.15" customHeight="1" x14ac:dyDescent="0.4">
      <c r="A49" s="197"/>
      <c r="B49" s="197" t="s">
        <v>67</v>
      </c>
      <c r="C49" s="197"/>
      <c r="D49" s="197"/>
      <c r="E49" s="197"/>
      <c r="F49" s="197"/>
      <c r="G49" s="197"/>
      <c r="H49" s="197"/>
      <c r="I49" s="197"/>
      <c r="J49" s="197"/>
      <c r="K49" s="197"/>
      <c r="L49" s="197"/>
      <c r="M49" s="197"/>
      <c r="N49" s="197"/>
      <c r="O49" s="197"/>
      <c r="P49" s="197"/>
      <c r="Q49" s="197"/>
      <c r="R49" s="197"/>
      <c r="S49" s="197"/>
      <c r="T49" s="197"/>
      <c r="U49" s="197"/>
      <c r="V49" s="197"/>
      <c r="W49" s="197"/>
      <c r="X49" s="197"/>
      <c r="Y49" s="197"/>
      <c r="Z49" s="366" t="s">
        <v>69</v>
      </c>
      <c r="AA49" s="366"/>
      <c r="AB49" s="366"/>
      <c r="AC49" s="22" t="str">
        <f>IF(LEN(ORC)=0,"",ORC)</f>
        <v/>
      </c>
      <c r="AD49" s="216"/>
      <c r="AE49" s="216"/>
      <c r="AF49" s="216"/>
      <c r="AG49" s="338"/>
      <c r="AH49" s="335"/>
      <c r="AI49" s="335"/>
      <c r="AJ49" s="335"/>
      <c r="AK49" s="335"/>
      <c r="AL49" s="335"/>
      <c r="AM49" s="335"/>
      <c r="AN49" s="335"/>
      <c r="AO49" s="335"/>
      <c r="AP49" s="197"/>
      <c r="AQ49" s="197"/>
      <c r="AR49" s="197"/>
      <c r="AS49" s="197"/>
      <c r="AT49" s="197"/>
      <c r="AU49" s="197"/>
      <c r="AV49" s="197"/>
    </row>
    <row r="50" spans="1:48" s="208" customFormat="1" ht="10.199999999999999" x14ac:dyDescent="0.35">
      <c r="A50" s="197"/>
      <c r="B50" s="197" t="s">
        <v>27</v>
      </c>
      <c r="C50" s="197"/>
      <c r="D50" s="197"/>
      <c r="E50" s="197"/>
      <c r="F50" s="197"/>
      <c r="G50" s="197"/>
      <c r="H50" s="197"/>
      <c r="I50" s="197"/>
      <c r="J50" s="197"/>
      <c r="K50" s="197"/>
      <c r="L50" s="197"/>
      <c r="M50" s="197"/>
      <c r="N50" s="197"/>
      <c r="O50" s="197"/>
      <c r="P50" s="197"/>
      <c r="Q50" s="197"/>
      <c r="R50" s="197"/>
      <c r="S50" s="197"/>
      <c r="T50" s="197"/>
      <c r="U50" s="197"/>
      <c r="V50" s="197"/>
      <c r="W50" s="197"/>
      <c r="X50" s="197"/>
      <c r="Y50" s="197"/>
      <c r="Z50" s="366"/>
      <c r="AA50" s="197"/>
      <c r="AB50" s="197"/>
      <c r="AC50" s="197"/>
      <c r="AD50" s="197"/>
      <c r="AE50" s="197"/>
      <c r="AF50" s="197"/>
      <c r="AG50" s="197"/>
      <c r="AH50" s="197"/>
      <c r="AI50" s="197"/>
      <c r="AJ50" s="197"/>
      <c r="AK50" s="197"/>
      <c r="AL50" s="197"/>
      <c r="AM50" s="197"/>
      <c r="AN50" s="197"/>
      <c r="AO50" s="197"/>
      <c r="AP50" s="197"/>
      <c r="AQ50" s="197"/>
      <c r="AR50" s="197"/>
      <c r="AS50" s="197"/>
      <c r="AT50" s="197"/>
      <c r="AU50" s="197"/>
      <c r="AV50" s="197"/>
    </row>
    <row r="51" spans="1:48" s="208" customFormat="1" ht="10.199999999999999" x14ac:dyDescent="0.35">
      <c r="A51" s="197"/>
      <c r="B51" s="197" t="str">
        <f>Version_complete</f>
        <v>Version: V02.11-01</v>
      </c>
      <c r="C51" s="197"/>
      <c r="D51" s="197"/>
      <c r="E51" s="197"/>
      <c r="F51" s="197"/>
      <c r="G51" s="197"/>
      <c r="H51" s="197"/>
      <c r="I51" s="197"/>
      <c r="J51" s="197"/>
      <c r="K51" s="197"/>
      <c r="L51" s="197"/>
      <c r="M51" s="197"/>
      <c r="N51" s="197"/>
      <c r="O51" s="197"/>
      <c r="P51" s="197"/>
      <c r="Q51" s="197"/>
      <c r="R51" s="197"/>
      <c r="S51" s="197"/>
      <c r="T51" s="197"/>
      <c r="U51" s="197"/>
      <c r="V51" s="197"/>
      <c r="W51" s="197"/>
      <c r="X51" s="197"/>
      <c r="Y51" s="197"/>
      <c r="Z51" s="366" t="s">
        <v>70</v>
      </c>
      <c r="AA51" s="366"/>
      <c r="AB51" s="366"/>
      <c r="AC51" s="23" t="str">
        <f>IF(LEN(CertificateGrade)=0,"",CertificateGrade)</f>
        <v>A</v>
      </c>
      <c r="AD51" s="219" t="s">
        <v>137</v>
      </c>
      <c r="AE51" s="219"/>
      <c r="AF51" s="219"/>
      <c r="AG51" s="24" t="str">
        <f>IF(LEN(CertificateNumber)=0,"",CertificateNumber)</f>
        <v>975930</v>
      </c>
      <c r="AH51" s="448"/>
      <c r="AI51" s="197"/>
      <c r="AJ51" s="197"/>
      <c r="AK51" s="197"/>
      <c r="AL51" s="197"/>
      <c r="AM51" s="197"/>
      <c r="AN51" s="197"/>
      <c r="AO51" s="197"/>
      <c r="AP51" s="197"/>
      <c r="AQ51" s="197"/>
      <c r="AR51" s="197"/>
      <c r="AS51" s="197"/>
      <c r="AT51" s="197"/>
      <c r="AU51" s="197"/>
      <c r="AV51" s="197"/>
    </row>
  </sheetData>
  <sheetProtection algorithmName="SHA-512" hashValue="8ouNGaUsvhvsndEi2+wV2cqCRwlRGFKHjheKfLU3Dr2cVcCrbhT9xclN+yNsdboOlXkSbGSFyThrZwTmHyc7BQ==" saltValue="wuh8n7ts/VESkrjWn69zog==" spinCount="100000" sheet="1" objects="1" scenarios="1"/>
  <mergeCells count="3">
    <mergeCell ref="AE10:AE11"/>
    <mergeCell ref="AG10:AG11"/>
    <mergeCell ref="AR10:AR11"/>
  </mergeCells>
  <phoneticPr fontId="40" type="noConversion"/>
  <conditionalFormatting sqref="E13:E43 AK13:AK43 AO13:AP43">
    <cfRule type="expression" dxfId="44" priority="1" stopIfTrue="1">
      <formula>LEN(E13)&gt;0</formula>
    </cfRule>
  </conditionalFormatting>
  <dataValidations count="21">
    <dataValidation type="list" allowBlank="1" showInputMessage="1" showErrorMessage="1" errorTitle="   IMPORTANT!  Invalid Entry ..." error="The value you entered is NOT valid. _x000a__x000a_Please select from the designated drop-down list._x000a__x000a_" sqref="AE10" xr:uid="{00000000-0002-0000-0200-000000000000}">
      <formula1>val_Nitrate_FinishedWater</formula1>
    </dataValidation>
    <dataValidation type="list" allowBlank="1" showInputMessage="1" showErrorMessage="1" errorTitle="   IMPORTANT!  Invalid Entry ..." error="The value you entered is NOT valid. _x000a__x000a_Please select from the designated drop-down list._x000a__x000a_" sqref="AG10" xr:uid="{00000000-0002-0000-0200-000001000000}">
      <formula1>val_Phosphate_FinishedWater</formula1>
    </dataValidation>
    <dataValidation type="list" allowBlank="1" showInputMessage="1" showErrorMessage="1" errorTitle="   IMPORTANT!  Invalid Entry ..." error="The value you entered is NOT valid. _x000a__x000a_Please select from the designated drop-down list._x000a__x000a_" sqref="AT10 AR10" xr:uid="{00000000-0002-0000-0200-000002000000}">
      <formula1>val_Tot_FecalColiforms</formula1>
    </dataValidation>
    <dataValidation type="list" allowBlank="1" showInputMessage="1" showErrorMessage="1" errorTitle="   IMPORTANT!  Invalid Entry ..." error="The value you entered is NOT valid. _x000a__x000a_Please select from the designated drop-down list._x000a__x000a_" sqref="AT11" xr:uid="{00000000-0002-0000-0200-000003000000}">
      <formula1>val_Fecal_eColi</formula1>
    </dataValidation>
    <dataValidation type="list" allowBlank="1" showInputMessage="1" showErrorMessage="1" errorTitle="   IMPORTANT!  Invalid Entry ..." error="The value you entered is NOT valid. _x000a__x000a_Please select from the designated drop-down list._x000a__x000a_" sqref="AV13:AV43 AU13:AU43" xr:uid="{00000000-0002-0000-0200-000004000000}">
      <formula1>val_ColiformFiltered_Finished</formula1>
    </dataValidation>
    <dataValidation type="custom" allowBlank="1" showInputMessage="1" showErrorMessage="1" errorTitle="   IMPORTANT!  Invalid Entry ..." error="Enter a value between 0 and 9,999,999_x000a__x000a_Whole numbers are required._x000a__x000a_" sqref="AT13:AT43 AR13:AR43" xr:uid="{00000000-0002-0000-0200-000005000000}">
      <formula1>OR(AND(AR13&gt;=0,AR13&lt;=9999999),LEN(AR13)=0)</formula1>
    </dataValidation>
    <dataValidation type="custom" allowBlank="1" showInputMessage="1" showErrorMessage="1" errorTitle="   IMPORTANT!  Invalid Entry ..." error="Enter a value between 0 and 99.999_x000a__x000a_Please use no more than three (3) decimal(s)._x000a__x000a_Use a blank cell (and NOT zero) to indicate no activity / measurement._x000a__x000a_" sqref="AB13:AB43 AL13:AN43" xr:uid="{00000000-0002-0000-0200-000006000000}">
      <formula1>OR(AND(AB13&gt;=0,AB13&lt;=99.999),LEN(AB13)=0)</formula1>
    </dataValidation>
    <dataValidation type="custom" allowBlank="1" showInputMessage="1" showErrorMessage="1" errorTitle="   IMPORTANT!  Invalid Entry ..." error="Enter a value between 0 and 99.9999_x000a__x000a_Please use no more than four (4) decimal(s)._x000a__x000a_Use a blank cell (and NOT zero) to indicate no activity / measurement._x000a__x000a_" sqref="AK13:AK43 AJ13:AJ43" xr:uid="{00000000-0002-0000-0200-000007000000}">
      <formula1>OR(AND(AJ13&gt;=0,AJ13&lt;=99.9999),LEN(AJ13)=0)</formula1>
    </dataValidation>
    <dataValidation type="custom" allowBlank="1" showInputMessage="1" showErrorMessage="1" errorTitle="   IMPORTANT!  Invalid Entry ..." error="Enter a value between 0 and 999.99_x000a__x000a_Please use no more than two (2) decimals._x000a__x000a_Use a blank cell (and NOT zero) to indicate no activity / measurement._x000a__x000a_" sqref="AG13:AI43 O13:O43 Q13:W43 AC13:AD43 AP13:AP43" xr:uid="{00000000-0002-0000-0200-000008000000}">
      <formula1>OR(AND(O13&gt;0.01,O13&lt;=999.99),LEN(O13)=0)</formula1>
    </dataValidation>
    <dataValidation type="custom" allowBlank="1" showInputMessage="1" showErrorMessage="1" errorTitle="   IMPORTANT!  Invalid Entry ..." error="Enter a value between 0 and 999.999_x000a__x000a_Please use no more than three (3) decimal(s)._x000a__x000a_Use a blank cell (and NOT zero) to indicate no activity / measurement._x000a__x000a_" sqref="X13:Y43" xr:uid="{00000000-0002-0000-0200-00000A000000}">
      <formula1>OR(AND(X13&gt;=0,X13&lt;=999.999),LEN(X13)=0)</formula1>
    </dataValidation>
    <dataValidation type="custom" allowBlank="1" showInputMessage="1" showErrorMessage="1" errorTitle="   IMPORTANT!  Invalid Entry ..." error="Enter a value between 0 and 14_x000a__x000a_Please use no more than one (1) decimal(s)._x000a__x000a_Use a blank cell (and NOT zero) to indicate no activity / measurement._x000a__x000a_" sqref="N13:N43 M13:M43 L13:L43 K13:K43 I13:I43 H13:H43 J13:J43" xr:uid="{00000000-0002-0000-0200-00000B000000}">
      <formula1>OR(AND(H13&gt;=0,H13&lt;=14),LEN(H13)=0)</formula1>
    </dataValidation>
    <dataValidation type="custom" allowBlank="1" showInputMessage="1" showErrorMessage="1" errorTitle="   IMPORTANT!  Invalid Entry ..." error="Enter a value between 0 and 999.99_x000a__x000a_Please use no more than two (2) decimals._x000a__x000a_Use a blank cell (and NOT zero) to indicate no activity / measurement._x000a__x000a_" sqref="G13:G43 F13:F43" xr:uid="{00000000-0002-0000-0200-00000C000000}">
      <formula1>OR(AND(F13&gt;=0,F13&lt;=999.99),LEN(F13)=0)</formula1>
    </dataValidation>
    <dataValidation type="custom" allowBlank="1" showInputMessage="1" showErrorMessage="1" errorTitle="   IMPORTANT!  Invalid Entry ..." error="Enter a value between 0 and 99,999_x000a__x000a_Whole numbers are required._x000a__x000a_" sqref="E13:E43" xr:uid="{00000000-0002-0000-0200-00000D000000}">
      <formula1>OR(AND(E13&gt;=0,E13&lt;=99999),LEN(E13)=0)</formula1>
    </dataValidation>
    <dataValidation type="custom" allowBlank="1" showInputMessage="1" showErrorMessage="1" errorTitle="   IMPORTANT!  Invalid Entry ..." error="Enter a value between 0 and 999.999_x000a__x000a_Please use no more than three (3) decimals._x000a__x000a_Use a blank cell (and NOT zero) to indicate no activity / measurement._x000a__x000a_" sqref="D13:D43" xr:uid="{00000000-0002-0000-0200-00000E000000}">
      <formula1>OR(AND(D13&gt;0.00000000001,D13&lt;=999.999),LEN(D13)=0)</formula1>
    </dataValidation>
    <dataValidation type="custom" allowBlank="1" showInputMessage="1" showErrorMessage="1" errorTitle="   IMPORTANT!  Invalid Entry ..." error="Enter a value between 0 and 99.9_x000a__x000a_Please use no more than one (1) decimals._x000a__x000a_Use a blank cell (and NOT zero) to indicate no activity / measurement._x000a__x000a_" sqref="B13:B43" xr:uid="{00000000-0002-0000-0200-000010000000}">
      <formula1>OR(AND(B13&gt;0.1,B13&lt;=99.9),LEN(B13)=0)</formula1>
    </dataValidation>
    <dataValidation type="custom" allowBlank="1" showInputMessage="1" showErrorMessage="1" errorTitle="   IMPORTANT!  Invalid Entry ..." error="Enter a value between 0 and 99999.99_x000a__x000a_Please use no more than two (2) decimal(s)._x000a__x000a_Use a blank cell (and NOT zero) to indicate no activity / measurement._x000a__x000a_" sqref="AO13:AO43" xr:uid="{00000000-0002-0000-0200-000011000000}">
      <formula1>OR(AND(AO13&gt;=0,AO13&lt;=99999.99),LEN(AO13)=0)</formula1>
    </dataValidation>
    <dataValidation type="custom" allowBlank="1" showInputMessage="1" showErrorMessage="1" errorTitle="   IMPORTANT!  Invalid Entry ..." error="Enter a value between 0 and 999.99_x000a__x000a_Please use no more than two (2) decimals._x000a__x000a_Use a blank cell (and NOT zero) to indicate no activity / measurement._x000a__x000a_" sqref="P13:P43 AF13:AF43" xr:uid="{00000000-0002-0000-0200-000012000000}">
      <formula1>OR(AND(P13&gt;=0.01,P13&lt;=999.99),LEN(P13)=0)</formula1>
    </dataValidation>
    <dataValidation type="custom" allowBlank="1" showInputMessage="1" showErrorMessage="1" errorTitle="   IMPORTANT!  Invalid Entry ..." error="Enter a value between 0 and 999.999_x000a__x000a_Please use no more than three (3) decimals._x000a__x000a_Use a blank cell (and NOT zero) to indicate no activity / measurement._x000a__x000a_" sqref="C13:C43" xr:uid="{00000000-0002-0000-0200-000014000000}">
      <formula1>OR(AND(C13&gt;0.00000000001,C13&lt;=99999.999),LEN(C13)=0)</formula1>
    </dataValidation>
    <dataValidation type="list" allowBlank="1" showInputMessage="1" showErrorMessage="1" errorTitle="   IMPORTANT!  Invalid Entry ..." error="The value entered is NOT on this cell's drop-down list of valid choices._x000a__x000a_Press the CANCEL button and then make a selection from the drop-down menu in this cell._x000a__x000a_Please DO NOT use the RETRY button." sqref="AQ13:AQ43 AS13:AS43" xr:uid="{00000000-0002-0000-0200-000015000000}">
      <formula1>val_LessThan_or_GreaterThan</formula1>
    </dataValidation>
    <dataValidation type="custom" allowBlank="1" showInputMessage="1" showErrorMessage="1" errorTitle="   IMPORTANT!  Invalid Entry ..." error="Enter a value between 0 and 999.9999_x000a__x000a_Please use no more than four (4) decimal(s)._x000a__x000a_Use a blank cell (and NOT zero) to indicate no activity / measurement._x000a__x000a_" sqref="Z13:AA43" xr:uid="{6E88FCFB-8154-430E-92F3-BA95B06B9CA0}">
      <formula1>OR(AND(Z13&gt;=0,Z13&lt;=999.9999),LEN(Z13)=0)</formula1>
    </dataValidation>
    <dataValidation type="custom" allowBlank="1" showInputMessage="1" showErrorMessage="1" errorTitle="   IMPORTANT!  Invalid Entry ..." error="Enter a value between 0 and 99.99_x000a__x000a_Please use no more than two (2) decimal(s)._x000a__x000a_Use a blank cell (and NOT zero) to indicate no activity / measurement._x000a__x000a_" sqref="AE13:AE43" xr:uid="{0F50D6F5-48AD-4674-B878-C7CA53AF723D}">
      <formula1>OR(AND(AE13&gt;=0,AE13&lt;=99.99),LEN(AE13)=0)</formula1>
    </dataValidation>
  </dataValidations>
  <printOptions verticalCentered="1"/>
  <pageMargins left="0.25" right="0.25" top="0.25" bottom="0.25" header="0.125" footer="0.125"/>
  <pageSetup paperSize="5" scale="98" orientation="landscape" r:id="rId1"/>
  <headerFooter alignWithMargins="0"/>
  <customProperties>
    <customPr name="SheetID"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1940_3_CFE_Turb">
    <pageSetUpPr fitToPage="1"/>
  </sheetPr>
  <dimension ref="A1:Q47"/>
  <sheetViews>
    <sheetView showGridLines="0" zoomScale="110" zoomScaleNormal="110" zoomScaleSheetLayoutView="100" workbookViewId="0">
      <pane xSplit="1" ySplit="10" topLeftCell="B11" activePane="bottomRight" state="frozenSplit"/>
      <selection activeCell="L39" sqref="L39"/>
      <selection pane="topRight" activeCell="L39" sqref="L39"/>
      <selection pane="bottomLeft" activeCell="L39" sqref="L39"/>
      <selection pane="bottomRight" activeCell="L39" sqref="L39"/>
    </sheetView>
  </sheetViews>
  <sheetFormatPr defaultColWidth="8.83203125" defaultRowHeight="12.3" x14ac:dyDescent="0.4"/>
  <cols>
    <col min="1" max="1" width="4.27734375" style="449" customWidth="1"/>
    <col min="2" max="2" width="9.83203125" style="467" customWidth="1"/>
    <col min="3" max="3" width="11.5546875" style="449" customWidth="1"/>
    <col min="4" max="4" width="9.83203125" style="449" customWidth="1"/>
    <col min="5" max="5" width="11.5546875" style="449" customWidth="1"/>
    <col min="6" max="6" width="9.83203125" style="449" customWidth="1"/>
    <col min="7" max="7" width="11.5546875" style="449" customWidth="1"/>
    <col min="8" max="8" width="9.83203125" style="449" customWidth="1"/>
    <col min="9" max="9" width="11.5546875" style="449" customWidth="1"/>
    <col min="10" max="10" width="9.83203125" style="449" customWidth="1"/>
    <col min="11" max="11" width="11.5546875" style="449" customWidth="1"/>
    <col min="12" max="12" width="9.83203125" style="449" customWidth="1"/>
    <col min="13" max="13" width="11.5546875" style="449" customWidth="1"/>
    <col min="14" max="15" width="9.1640625" style="449" hidden="1" customWidth="1"/>
    <col min="16" max="16" width="8.83203125" style="449" hidden="1" customWidth="1"/>
    <col min="17" max="17" width="16" style="449" hidden="1" customWidth="1"/>
    <col min="18" max="16384" width="8.83203125" style="449"/>
  </cols>
  <sheetData>
    <row r="1" spans="1:17" s="452" customFormat="1" ht="15" customHeight="1" x14ac:dyDescent="0.5">
      <c r="A1" s="451" t="s">
        <v>138</v>
      </c>
      <c r="B1" s="451"/>
      <c r="C1" s="451"/>
      <c r="D1" s="451"/>
      <c r="E1" s="451"/>
      <c r="F1" s="451"/>
      <c r="G1" s="451"/>
      <c r="H1" s="451"/>
      <c r="I1" s="451"/>
      <c r="J1" s="451"/>
      <c r="K1" s="451"/>
      <c r="L1" s="451"/>
      <c r="M1" s="451"/>
    </row>
    <row r="2" spans="1:17" s="452" customFormat="1" ht="3" customHeight="1" thickBot="1" x14ac:dyDescent="0.55000000000000004">
      <c r="A2" s="453"/>
      <c r="B2" s="454"/>
      <c r="C2" s="453"/>
      <c r="D2" s="453"/>
      <c r="E2" s="453"/>
      <c r="F2" s="453"/>
      <c r="G2" s="453"/>
      <c r="H2" s="453"/>
      <c r="I2" s="453"/>
      <c r="J2" s="453"/>
      <c r="K2" s="453"/>
      <c r="L2" s="453"/>
      <c r="M2" s="453"/>
    </row>
    <row r="3" spans="1:17" s="457" customFormat="1" ht="10.15" hidden="1" customHeight="1" x14ac:dyDescent="0.4">
      <c r="A3" s="345" t="s">
        <v>72</v>
      </c>
      <c r="B3" s="345"/>
      <c r="C3" s="345"/>
      <c r="D3" s="200">
        <f>IF(LEN(FormMasterDate)=0,"",FormMasterDate)</f>
        <v>43525</v>
      </c>
      <c r="E3" s="202"/>
      <c r="F3" s="197"/>
      <c r="G3" s="197"/>
      <c r="H3" s="455" t="s">
        <v>31</v>
      </c>
      <c r="I3" s="455"/>
      <c r="J3" s="214" t="str">
        <f>IF(LEN(FormFacilityID)=0,"",FormFacilityID)</f>
        <v>P01</v>
      </c>
      <c r="K3" s="216"/>
      <c r="L3" s="216"/>
      <c r="M3" s="456"/>
    </row>
    <row r="4" spans="1:17" s="208" customFormat="1" ht="3" hidden="1" customHeight="1" x14ac:dyDescent="0.4">
      <c r="A4" s="345"/>
      <c r="B4" s="291"/>
      <c r="C4" s="197"/>
      <c r="D4" s="197"/>
      <c r="E4" s="197"/>
      <c r="F4" s="197"/>
      <c r="G4" s="197"/>
      <c r="H4" s="455"/>
      <c r="I4" s="197"/>
      <c r="J4" s="197"/>
      <c r="K4" s="197"/>
      <c r="L4" s="197"/>
      <c r="M4" s="223"/>
    </row>
    <row r="5" spans="1:17" s="208" customFormat="1" ht="10.5" hidden="1" x14ac:dyDescent="0.4">
      <c r="A5" s="345" t="s">
        <v>30</v>
      </c>
      <c r="B5" s="345"/>
      <c r="C5" s="197"/>
      <c r="D5" s="342" t="str">
        <f>IF(LEN(FormPWSIDNum)=0,"",FormPWSIDNum)</f>
        <v>NC0392020</v>
      </c>
      <c r="E5" s="344"/>
      <c r="F5" s="197"/>
      <c r="G5" s="197"/>
      <c r="H5" s="455" t="s">
        <v>33</v>
      </c>
      <c r="I5" s="455"/>
      <c r="J5" s="458" t="str">
        <f>IF(LEN(FormFacilityName)=0,"",FormFacilityName)</f>
        <v>Cary Apex WTP</v>
      </c>
      <c r="K5" s="459"/>
      <c r="L5" s="216"/>
      <c r="M5" s="460"/>
    </row>
    <row r="6" spans="1:17" s="208" customFormat="1" ht="3" hidden="1" customHeight="1" x14ac:dyDescent="0.4">
      <c r="A6" s="345"/>
      <c r="B6" s="291"/>
      <c r="C6" s="197"/>
      <c r="D6" s="223"/>
      <c r="E6" s="223"/>
      <c r="F6" s="197"/>
      <c r="G6" s="197"/>
      <c r="H6" s="455"/>
      <c r="I6" s="197"/>
      <c r="J6" s="197"/>
      <c r="K6" s="197"/>
      <c r="L6" s="197"/>
      <c r="M6" s="197"/>
    </row>
    <row r="7" spans="1:17" s="208" customFormat="1" ht="10.5" hidden="1" x14ac:dyDescent="0.4">
      <c r="A7" s="345" t="s">
        <v>32</v>
      </c>
      <c r="B7" s="345"/>
      <c r="C7" s="345"/>
      <c r="D7" s="342" t="str">
        <f>IF(LEN(FormWaterSysName)=0,"",FormWaterSysName)</f>
        <v>Cary, Town of</v>
      </c>
      <c r="E7" s="344"/>
      <c r="F7" s="197"/>
      <c r="G7" s="197"/>
      <c r="H7" s="455" t="s">
        <v>139</v>
      </c>
      <c r="I7" s="455"/>
      <c r="J7" s="214" t="str">
        <f>IF(LEN(SP_ID_1_cfe)=0,"",SP_ID_1_cfe)</f>
        <v>EP1</v>
      </c>
      <c r="K7" s="461"/>
      <c r="L7" s="461"/>
      <c r="M7" s="462"/>
    </row>
    <row r="8" spans="1:17" s="208" customFormat="1" ht="15" hidden="1" customHeight="1" thickBot="1" x14ac:dyDescent="0.4">
      <c r="A8" s="197"/>
      <c r="B8" s="291"/>
      <c r="C8" s="197"/>
      <c r="D8" s="197"/>
      <c r="E8" s="197"/>
      <c r="F8" s="197"/>
      <c r="G8" s="197"/>
      <c r="H8" s="197"/>
      <c r="I8" s="197"/>
      <c r="J8" s="52">
        <f>IF(LEN(SP_Key_1_cfe)=0,"",SP_Key_1_cfe)</f>
        <v>71879</v>
      </c>
      <c r="K8" s="463"/>
      <c r="L8" s="463"/>
      <c r="M8" s="463"/>
    </row>
    <row r="9" spans="1:17" x14ac:dyDescent="0.4">
      <c r="A9" s="464" t="s">
        <v>140</v>
      </c>
      <c r="B9" s="465" t="s">
        <v>141</v>
      </c>
      <c r="C9" s="465" t="s">
        <v>142</v>
      </c>
      <c r="D9" s="465" t="s">
        <v>141</v>
      </c>
      <c r="E9" s="465" t="s">
        <v>142</v>
      </c>
      <c r="F9" s="465" t="s">
        <v>141</v>
      </c>
      <c r="G9" s="465" t="s">
        <v>142</v>
      </c>
      <c r="H9" s="465" t="s">
        <v>141</v>
      </c>
      <c r="I9" s="465" t="s">
        <v>142</v>
      </c>
      <c r="J9" s="450" t="s">
        <v>141</v>
      </c>
      <c r="K9" s="465" t="s">
        <v>142</v>
      </c>
      <c r="L9" s="465" t="s">
        <v>141</v>
      </c>
      <c r="M9" s="466" t="s">
        <v>142</v>
      </c>
    </row>
    <row r="10" spans="1:17" s="467" customFormat="1" hidden="1" x14ac:dyDescent="0.4">
      <c r="A10" s="289"/>
      <c r="B10" s="450"/>
      <c r="C10" s="287" t="s">
        <v>132</v>
      </c>
      <c r="D10" s="450"/>
      <c r="E10" s="287" t="s">
        <v>132</v>
      </c>
      <c r="F10" s="450"/>
      <c r="G10" s="287" t="s">
        <v>132</v>
      </c>
      <c r="H10" s="450"/>
      <c r="I10" s="287" t="s">
        <v>132</v>
      </c>
      <c r="J10" s="450"/>
      <c r="K10" s="287" t="s">
        <v>132</v>
      </c>
      <c r="L10" s="450"/>
      <c r="M10" s="290" t="s">
        <v>132</v>
      </c>
      <c r="N10" s="53" t="s">
        <v>143</v>
      </c>
      <c r="O10" s="53" t="s">
        <v>144</v>
      </c>
      <c r="P10" s="53" t="s">
        <v>145</v>
      </c>
      <c r="Q10" s="53" t="s">
        <v>146</v>
      </c>
    </row>
    <row r="11" spans="1:17" x14ac:dyDescent="0.4">
      <c r="A11" s="468">
        <v>1</v>
      </c>
      <c r="B11" s="469" t="s">
        <v>147</v>
      </c>
      <c r="C11" s="54">
        <v>0.04</v>
      </c>
      <c r="D11" s="469" t="s">
        <v>148</v>
      </c>
      <c r="E11" s="54">
        <v>0.06</v>
      </c>
      <c r="F11" s="469" t="s">
        <v>149</v>
      </c>
      <c r="G11" s="54">
        <v>0.05</v>
      </c>
      <c r="H11" s="469" t="s">
        <v>150</v>
      </c>
      <c r="I11" s="54">
        <v>0.05</v>
      </c>
      <c r="J11" s="469" t="s">
        <v>151</v>
      </c>
      <c r="K11" s="54">
        <v>0.05</v>
      </c>
      <c r="L11" s="469" t="s">
        <v>152</v>
      </c>
      <c r="M11" s="55">
        <v>0.05</v>
      </c>
      <c r="N11" s="56">
        <f t="array" ref="N11:N41">IF(ISERROR(IF(LEN(rng_Hours_FilterOp)&gt;0*rng_Hours_FilterOp&gt;0,ROUNDUP(rng_Hours_FilterOp/4,0),"")),"",IF(LEN(rng_Hours_FilterOp)&gt;0*rng_Hours_FilterOp&gt;0,ROUNDUP(rng_Hours_FilterOp/4,0),""))</f>
        <v>6</v>
      </c>
      <c r="O11" s="53">
        <f t="shared" ref="O11:O41" si="0">IF(ISERROR($N11-COUNT($C11,$E11,$G11,$I11,$K11,$M11)),0,IF(($N11-COUNT($C11,$E11,$G11,$I11,$K11,$M11)&lt;0),0,$N11-COUNT($C11,$E11,$G11,$I11,$K11,$M11)))</f>
        <v>0</v>
      </c>
      <c r="P11" s="53">
        <f t="shared" ref="P11:P41" si="1">IF(ISERROR(COUNT($C11,$E11,$G11,$I11,$K11,$M11)),0,COUNT($C11,$E11,$G11,$I11,$K11,$M11))</f>
        <v>6</v>
      </c>
      <c r="Q11" s="53">
        <f t="shared" ref="Q11:Q41" si="2">IF(AND(LEN(N11)=0,P11&gt;0),1,0)</f>
        <v>0</v>
      </c>
    </row>
    <row r="12" spans="1:17" x14ac:dyDescent="0.4">
      <c r="A12" s="468">
        <v>2</v>
      </c>
      <c r="B12" s="469" t="s">
        <v>147</v>
      </c>
      <c r="C12" s="54">
        <v>0.05</v>
      </c>
      <c r="D12" s="469" t="s">
        <v>148</v>
      </c>
      <c r="E12" s="54">
        <v>0.05</v>
      </c>
      <c r="F12" s="469" t="s">
        <v>149</v>
      </c>
      <c r="G12" s="54">
        <v>0.05</v>
      </c>
      <c r="H12" s="469" t="s">
        <v>150</v>
      </c>
      <c r="I12" s="54">
        <v>0.06</v>
      </c>
      <c r="J12" s="469" t="s">
        <v>151</v>
      </c>
      <c r="K12" s="54">
        <v>0.06</v>
      </c>
      <c r="L12" s="469" t="s">
        <v>152</v>
      </c>
      <c r="M12" s="55">
        <v>0.05</v>
      </c>
      <c r="N12" s="56">
        <v>6</v>
      </c>
      <c r="O12" s="53">
        <f t="shared" si="0"/>
        <v>0</v>
      </c>
      <c r="P12" s="53">
        <f t="shared" si="1"/>
        <v>6</v>
      </c>
      <c r="Q12" s="53">
        <f t="shared" si="2"/>
        <v>0</v>
      </c>
    </row>
    <row r="13" spans="1:17" x14ac:dyDescent="0.4">
      <c r="A13" s="468">
        <v>3</v>
      </c>
      <c r="B13" s="469" t="s">
        <v>147</v>
      </c>
      <c r="C13" s="54">
        <v>0.06</v>
      </c>
      <c r="D13" s="469" t="s">
        <v>148</v>
      </c>
      <c r="E13" s="54">
        <v>7.0000000000000007E-2</v>
      </c>
      <c r="F13" s="469" t="s">
        <v>149</v>
      </c>
      <c r="G13" s="54">
        <v>0.05</v>
      </c>
      <c r="H13" s="469" t="s">
        <v>150</v>
      </c>
      <c r="I13" s="54">
        <v>0.05</v>
      </c>
      <c r="J13" s="469" t="s">
        <v>151</v>
      </c>
      <c r="K13" s="54">
        <v>0.05</v>
      </c>
      <c r="L13" s="469" t="s">
        <v>152</v>
      </c>
      <c r="M13" s="55">
        <v>0.05</v>
      </c>
      <c r="N13" s="56">
        <v>6</v>
      </c>
      <c r="O13" s="53">
        <f t="shared" si="0"/>
        <v>0</v>
      </c>
      <c r="P13" s="53">
        <f t="shared" si="1"/>
        <v>6</v>
      </c>
      <c r="Q13" s="53">
        <f t="shared" si="2"/>
        <v>0</v>
      </c>
    </row>
    <row r="14" spans="1:17" x14ac:dyDescent="0.4">
      <c r="A14" s="468">
        <v>4</v>
      </c>
      <c r="B14" s="469" t="s">
        <v>147</v>
      </c>
      <c r="C14" s="54">
        <v>0.05</v>
      </c>
      <c r="D14" s="469" t="s">
        <v>148</v>
      </c>
      <c r="E14" s="54">
        <v>7.0000000000000007E-2</v>
      </c>
      <c r="F14" s="469" t="s">
        <v>149</v>
      </c>
      <c r="G14" s="54">
        <v>0.06</v>
      </c>
      <c r="H14" s="469" t="s">
        <v>150</v>
      </c>
      <c r="I14" s="54">
        <v>7.0000000000000007E-2</v>
      </c>
      <c r="J14" s="469" t="s">
        <v>151</v>
      </c>
      <c r="K14" s="54">
        <v>0.08</v>
      </c>
      <c r="L14" s="469" t="s">
        <v>152</v>
      </c>
      <c r="M14" s="55">
        <v>0.06</v>
      </c>
      <c r="N14" s="56">
        <v>6</v>
      </c>
      <c r="O14" s="53">
        <f t="shared" si="0"/>
        <v>0</v>
      </c>
      <c r="P14" s="53">
        <f t="shared" si="1"/>
        <v>6</v>
      </c>
      <c r="Q14" s="53">
        <f t="shared" si="2"/>
        <v>0</v>
      </c>
    </row>
    <row r="15" spans="1:17" x14ac:dyDescent="0.4">
      <c r="A15" s="468">
        <v>5</v>
      </c>
      <c r="B15" s="469" t="s">
        <v>147</v>
      </c>
      <c r="C15" s="54">
        <v>0.03</v>
      </c>
      <c r="D15" s="469" t="s">
        <v>148</v>
      </c>
      <c r="E15" s="54">
        <v>0.04</v>
      </c>
      <c r="F15" s="469" t="s">
        <v>149</v>
      </c>
      <c r="G15" s="54">
        <v>0.03</v>
      </c>
      <c r="H15" s="469" t="s">
        <v>150</v>
      </c>
      <c r="I15" s="54">
        <v>0.04</v>
      </c>
      <c r="J15" s="469" t="s">
        <v>151</v>
      </c>
      <c r="K15" s="54">
        <v>0.05</v>
      </c>
      <c r="L15" s="469" t="s">
        <v>152</v>
      </c>
      <c r="M15" s="55">
        <v>0.04</v>
      </c>
      <c r="N15" s="56">
        <v>6</v>
      </c>
      <c r="O15" s="53">
        <f t="shared" si="0"/>
        <v>0</v>
      </c>
      <c r="P15" s="53">
        <f t="shared" si="1"/>
        <v>6</v>
      </c>
      <c r="Q15" s="53">
        <f t="shared" si="2"/>
        <v>0</v>
      </c>
    </row>
    <row r="16" spans="1:17" x14ac:dyDescent="0.4">
      <c r="A16" s="468">
        <v>6</v>
      </c>
      <c r="B16" s="469" t="s">
        <v>147</v>
      </c>
      <c r="C16" s="54">
        <v>0.04</v>
      </c>
      <c r="D16" s="469" t="s">
        <v>148</v>
      </c>
      <c r="E16" s="54">
        <v>0.04</v>
      </c>
      <c r="F16" s="469" t="s">
        <v>149</v>
      </c>
      <c r="G16" s="54">
        <v>0.05</v>
      </c>
      <c r="H16" s="469" t="s">
        <v>150</v>
      </c>
      <c r="I16" s="54">
        <v>7.0000000000000007E-2</v>
      </c>
      <c r="J16" s="469" t="s">
        <v>151</v>
      </c>
      <c r="K16" s="54">
        <v>0.03</v>
      </c>
      <c r="L16" s="469" t="s">
        <v>152</v>
      </c>
      <c r="M16" s="55">
        <v>0.03</v>
      </c>
      <c r="N16" s="56">
        <v>6</v>
      </c>
      <c r="O16" s="53">
        <f t="shared" si="0"/>
        <v>0</v>
      </c>
      <c r="P16" s="53">
        <f t="shared" si="1"/>
        <v>6</v>
      </c>
      <c r="Q16" s="53">
        <f t="shared" si="2"/>
        <v>0</v>
      </c>
    </row>
    <row r="17" spans="1:17" x14ac:dyDescent="0.4">
      <c r="A17" s="468">
        <v>7</v>
      </c>
      <c r="B17" s="469" t="s">
        <v>147</v>
      </c>
      <c r="C17" s="54">
        <v>0.04</v>
      </c>
      <c r="D17" s="469" t="s">
        <v>148</v>
      </c>
      <c r="E17" s="54">
        <v>0.05</v>
      </c>
      <c r="F17" s="469" t="s">
        <v>149</v>
      </c>
      <c r="G17" s="54">
        <v>0.05</v>
      </c>
      <c r="H17" s="469" t="s">
        <v>150</v>
      </c>
      <c r="I17" s="54">
        <v>0.06</v>
      </c>
      <c r="J17" s="469" t="s">
        <v>151</v>
      </c>
      <c r="K17" s="54">
        <v>0.05</v>
      </c>
      <c r="L17" s="469" t="s">
        <v>152</v>
      </c>
      <c r="M17" s="55">
        <v>0.04</v>
      </c>
      <c r="N17" s="56">
        <v>6</v>
      </c>
      <c r="O17" s="53">
        <f t="shared" si="0"/>
        <v>0</v>
      </c>
      <c r="P17" s="53">
        <f t="shared" si="1"/>
        <v>6</v>
      </c>
      <c r="Q17" s="53">
        <f t="shared" si="2"/>
        <v>0</v>
      </c>
    </row>
    <row r="18" spans="1:17" x14ac:dyDescent="0.4">
      <c r="A18" s="468">
        <v>8</v>
      </c>
      <c r="B18" s="469" t="s">
        <v>147</v>
      </c>
      <c r="C18" s="54">
        <v>0.06</v>
      </c>
      <c r="D18" s="469" t="s">
        <v>148</v>
      </c>
      <c r="E18" s="54">
        <v>0.08</v>
      </c>
      <c r="F18" s="469" t="s">
        <v>149</v>
      </c>
      <c r="G18" s="54">
        <v>0.04</v>
      </c>
      <c r="H18" s="469" t="s">
        <v>150</v>
      </c>
      <c r="I18" s="54">
        <v>0.04</v>
      </c>
      <c r="J18" s="469" t="s">
        <v>151</v>
      </c>
      <c r="K18" s="54">
        <v>0.04</v>
      </c>
      <c r="L18" s="469" t="s">
        <v>152</v>
      </c>
      <c r="M18" s="55">
        <v>0.05</v>
      </c>
      <c r="N18" s="56">
        <v>6</v>
      </c>
      <c r="O18" s="53">
        <f t="shared" si="0"/>
        <v>0</v>
      </c>
      <c r="P18" s="53">
        <f t="shared" si="1"/>
        <v>6</v>
      </c>
      <c r="Q18" s="53">
        <f t="shared" si="2"/>
        <v>0</v>
      </c>
    </row>
    <row r="19" spans="1:17" x14ac:dyDescent="0.4">
      <c r="A19" s="468">
        <v>9</v>
      </c>
      <c r="B19" s="469" t="s">
        <v>147</v>
      </c>
      <c r="C19" s="54">
        <v>0.04</v>
      </c>
      <c r="D19" s="469" t="s">
        <v>148</v>
      </c>
      <c r="E19" s="54">
        <v>0.04</v>
      </c>
      <c r="F19" s="469" t="s">
        <v>149</v>
      </c>
      <c r="G19" s="54">
        <v>0.05</v>
      </c>
      <c r="H19" s="469" t="s">
        <v>150</v>
      </c>
      <c r="I19" s="54">
        <v>0.05</v>
      </c>
      <c r="J19" s="469" t="s">
        <v>151</v>
      </c>
      <c r="K19" s="54">
        <v>0.05</v>
      </c>
      <c r="L19" s="469" t="s">
        <v>152</v>
      </c>
      <c r="M19" s="55">
        <v>0.04</v>
      </c>
      <c r="N19" s="56">
        <v>6</v>
      </c>
      <c r="O19" s="53">
        <f t="shared" si="0"/>
        <v>0</v>
      </c>
      <c r="P19" s="53">
        <f t="shared" si="1"/>
        <v>6</v>
      </c>
      <c r="Q19" s="53">
        <f t="shared" si="2"/>
        <v>0</v>
      </c>
    </row>
    <row r="20" spans="1:17" x14ac:dyDescent="0.4">
      <c r="A20" s="468">
        <v>10</v>
      </c>
      <c r="B20" s="469" t="s">
        <v>147</v>
      </c>
      <c r="C20" s="54">
        <v>0.05</v>
      </c>
      <c r="D20" s="469" t="s">
        <v>148</v>
      </c>
      <c r="E20" s="54">
        <v>0.04</v>
      </c>
      <c r="F20" s="469" t="s">
        <v>149</v>
      </c>
      <c r="G20" s="54">
        <v>0.05</v>
      </c>
      <c r="H20" s="469" t="s">
        <v>150</v>
      </c>
      <c r="I20" s="54">
        <v>0.04</v>
      </c>
      <c r="J20" s="469" t="s">
        <v>151</v>
      </c>
      <c r="K20" s="54">
        <v>0.04</v>
      </c>
      <c r="L20" s="469" t="s">
        <v>152</v>
      </c>
      <c r="M20" s="55">
        <v>0.05</v>
      </c>
      <c r="N20" s="56">
        <v>6</v>
      </c>
      <c r="O20" s="53">
        <f t="shared" si="0"/>
        <v>0</v>
      </c>
      <c r="P20" s="53">
        <f t="shared" si="1"/>
        <v>6</v>
      </c>
      <c r="Q20" s="53">
        <f t="shared" si="2"/>
        <v>0</v>
      </c>
    </row>
    <row r="21" spans="1:17" x14ac:dyDescent="0.4">
      <c r="A21" s="468">
        <v>11</v>
      </c>
      <c r="B21" s="469" t="s">
        <v>147</v>
      </c>
      <c r="C21" s="54">
        <v>0.04</v>
      </c>
      <c r="D21" s="469" t="s">
        <v>148</v>
      </c>
      <c r="E21" s="54">
        <v>0.04</v>
      </c>
      <c r="F21" s="469" t="s">
        <v>149</v>
      </c>
      <c r="G21" s="54">
        <v>0.05</v>
      </c>
      <c r="H21" s="469" t="s">
        <v>150</v>
      </c>
      <c r="I21" s="54">
        <v>0.05</v>
      </c>
      <c r="J21" s="469" t="s">
        <v>151</v>
      </c>
      <c r="K21" s="54">
        <v>0.05</v>
      </c>
      <c r="L21" s="469" t="s">
        <v>152</v>
      </c>
      <c r="M21" s="55">
        <v>0.06</v>
      </c>
      <c r="N21" s="56">
        <v>6</v>
      </c>
      <c r="O21" s="53">
        <f t="shared" si="0"/>
        <v>0</v>
      </c>
      <c r="P21" s="53">
        <f t="shared" si="1"/>
        <v>6</v>
      </c>
      <c r="Q21" s="53">
        <f t="shared" si="2"/>
        <v>0</v>
      </c>
    </row>
    <row r="22" spans="1:17" x14ac:dyDescent="0.4">
      <c r="A22" s="468">
        <v>12</v>
      </c>
      <c r="B22" s="469" t="s">
        <v>147</v>
      </c>
      <c r="C22" s="54">
        <v>0.05</v>
      </c>
      <c r="D22" s="469" t="s">
        <v>148</v>
      </c>
      <c r="E22" s="54">
        <v>0.05</v>
      </c>
      <c r="F22" s="469" t="s">
        <v>149</v>
      </c>
      <c r="G22" s="54">
        <v>0.06</v>
      </c>
      <c r="H22" s="469" t="s">
        <v>150</v>
      </c>
      <c r="I22" s="54">
        <v>0.05</v>
      </c>
      <c r="J22" s="469" t="s">
        <v>151</v>
      </c>
      <c r="K22" s="54">
        <v>0.05</v>
      </c>
      <c r="L22" s="469" t="s">
        <v>152</v>
      </c>
      <c r="M22" s="55">
        <v>0.05</v>
      </c>
      <c r="N22" s="56">
        <v>6</v>
      </c>
      <c r="O22" s="53">
        <f t="shared" si="0"/>
        <v>0</v>
      </c>
      <c r="P22" s="53">
        <f t="shared" si="1"/>
        <v>6</v>
      </c>
      <c r="Q22" s="53">
        <f t="shared" si="2"/>
        <v>0</v>
      </c>
    </row>
    <row r="23" spans="1:17" x14ac:dyDescent="0.4">
      <c r="A23" s="468">
        <v>13</v>
      </c>
      <c r="B23" s="469" t="s">
        <v>147</v>
      </c>
      <c r="C23" s="54">
        <v>0.05</v>
      </c>
      <c r="D23" s="469" t="s">
        <v>148</v>
      </c>
      <c r="E23" s="54">
        <v>0.06</v>
      </c>
      <c r="F23" s="469" t="s">
        <v>149</v>
      </c>
      <c r="G23" s="54">
        <v>0.06</v>
      </c>
      <c r="H23" s="469" t="s">
        <v>150</v>
      </c>
      <c r="I23" s="54">
        <v>0.06</v>
      </c>
      <c r="J23" s="469" t="s">
        <v>151</v>
      </c>
      <c r="K23" s="54">
        <v>0.04</v>
      </c>
      <c r="L23" s="469" t="s">
        <v>152</v>
      </c>
      <c r="M23" s="55">
        <v>0.04</v>
      </c>
      <c r="N23" s="56">
        <v>6</v>
      </c>
      <c r="O23" s="53">
        <f t="shared" si="0"/>
        <v>0</v>
      </c>
      <c r="P23" s="53">
        <f t="shared" si="1"/>
        <v>6</v>
      </c>
      <c r="Q23" s="53">
        <f t="shared" si="2"/>
        <v>0</v>
      </c>
    </row>
    <row r="24" spans="1:17" x14ac:dyDescent="0.4">
      <c r="A24" s="468">
        <v>14</v>
      </c>
      <c r="B24" s="469" t="s">
        <v>147</v>
      </c>
      <c r="C24" s="54">
        <v>0.04</v>
      </c>
      <c r="D24" s="469" t="s">
        <v>148</v>
      </c>
      <c r="E24" s="54">
        <v>0.05</v>
      </c>
      <c r="F24" s="469" t="s">
        <v>149</v>
      </c>
      <c r="G24" s="54">
        <v>0.04</v>
      </c>
      <c r="H24" s="469" t="s">
        <v>150</v>
      </c>
      <c r="I24" s="54">
        <v>0.04</v>
      </c>
      <c r="J24" s="469" t="s">
        <v>151</v>
      </c>
      <c r="K24" s="54">
        <v>0.04</v>
      </c>
      <c r="L24" s="469" t="s">
        <v>152</v>
      </c>
      <c r="M24" s="55">
        <v>0.05</v>
      </c>
      <c r="N24" s="56">
        <v>6</v>
      </c>
      <c r="O24" s="53">
        <f t="shared" si="0"/>
        <v>0</v>
      </c>
      <c r="P24" s="53">
        <f t="shared" si="1"/>
        <v>6</v>
      </c>
      <c r="Q24" s="53">
        <f t="shared" si="2"/>
        <v>0</v>
      </c>
    </row>
    <row r="25" spans="1:17" x14ac:dyDescent="0.4">
      <c r="A25" s="468">
        <v>15</v>
      </c>
      <c r="B25" s="469" t="s">
        <v>147</v>
      </c>
      <c r="C25" s="54">
        <v>0.04</v>
      </c>
      <c r="D25" s="469" t="s">
        <v>148</v>
      </c>
      <c r="E25" s="54">
        <v>0.04</v>
      </c>
      <c r="F25" s="469" t="s">
        <v>149</v>
      </c>
      <c r="G25" s="54">
        <v>0.06</v>
      </c>
      <c r="H25" s="469" t="s">
        <v>150</v>
      </c>
      <c r="I25" s="54">
        <v>0.05</v>
      </c>
      <c r="J25" s="469" t="s">
        <v>151</v>
      </c>
      <c r="K25" s="54">
        <v>0.05</v>
      </c>
      <c r="L25" s="469" t="s">
        <v>152</v>
      </c>
      <c r="M25" s="55">
        <v>0.05</v>
      </c>
      <c r="N25" s="56">
        <v>6</v>
      </c>
      <c r="O25" s="53">
        <f t="shared" si="0"/>
        <v>0</v>
      </c>
      <c r="P25" s="53">
        <f t="shared" si="1"/>
        <v>6</v>
      </c>
      <c r="Q25" s="53">
        <f t="shared" si="2"/>
        <v>0</v>
      </c>
    </row>
    <row r="26" spans="1:17" x14ac:dyDescent="0.4">
      <c r="A26" s="468">
        <v>16</v>
      </c>
      <c r="B26" s="469" t="s">
        <v>147</v>
      </c>
      <c r="C26" s="54">
        <v>0.06</v>
      </c>
      <c r="D26" s="469" t="s">
        <v>148</v>
      </c>
      <c r="E26" s="54">
        <v>0.05</v>
      </c>
      <c r="F26" s="469" t="s">
        <v>149</v>
      </c>
      <c r="G26" s="54">
        <v>0.04</v>
      </c>
      <c r="H26" s="469" t="s">
        <v>150</v>
      </c>
      <c r="I26" s="54">
        <v>0.04</v>
      </c>
      <c r="J26" s="469" t="s">
        <v>151</v>
      </c>
      <c r="K26" s="54">
        <v>0.05</v>
      </c>
      <c r="L26" s="469" t="s">
        <v>152</v>
      </c>
      <c r="M26" s="55">
        <v>0.05</v>
      </c>
      <c r="N26" s="56">
        <v>6</v>
      </c>
      <c r="O26" s="53">
        <f t="shared" si="0"/>
        <v>0</v>
      </c>
      <c r="P26" s="53">
        <f t="shared" si="1"/>
        <v>6</v>
      </c>
      <c r="Q26" s="53">
        <f t="shared" si="2"/>
        <v>0</v>
      </c>
    </row>
    <row r="27" spans="1:17" x14ac:dyDescent="0.4">
      <c r="A27" s="468">
        <v>17</v>
      </c>
      <c r="B27" s="469" t="s">
        <v>147</v>
      </c>
      <c r="C27" s="54">
        <v>0.04</v>
      </c>
      <c r="D27" s="469" t="s">
        <v>148</v>
      </c>
      <c r="E27" s="54">
        <v>0.08</v>
      </c>
      <c r="F27" s="469" t="s">
        <v>149</v>
      </c>
      <c r="G27" s="54">
        <v>0.08</v>
      </c>
      <c r="H27" s="469" t="s">
        <v>150</v>
      </c>
      <c r="I27" s="54">
        <v>0.05</v>
      </c>
      <c r="J27" s="469" t="s">
        <v>151</v>
      </c>
      <c r="K27" s="54">
        <v>0.05</v>
      </c>
      <c r="L27" s="469" t="s">
        <v>152</v>
      </c>
      <c r="M27" s="55">
        <v>0.05</v>
      </c>
      <c r="N27" s="56">
        <v>6</v>
      </c>
      <c r="O27" s="53">
        <f t="shared" si="0"/>
        <v>0</v>
      </c>
      <c r="P27" s="53">
        <f t="shared" si="1"/>
        <v>6</v>
      </c>
      <c r="Q27" s="53">
        <f t="shared" si="2"/>
        <v>0</v>
      </c>
    </row>
    <row r="28" spans="1:17" x14ac:dyDescent="0.4">
      <c r="A28" s="468">
        <v>18</v>
      </c>
      <c r="B28" s="469" t="s">
        <v>147</v>
      </c>
      <c r="C28" s="54">
        <v>0.04</v>
      </c>
      <c r="D28" s="469" t="s">
        <v>148</v>
      </c>
      <c r="E28" s="54">
        <v>0.04</v>
      </c>
      <c r="F28" s="469" t="s">
        <v>149</v>
      </c>
      <c r="G28" s="54">
        <v>0.05</v>
      </c>
      <c r="H28" s="469" t="s">
        <v>150</v>
      </c>
      <c r="I28" s="54">
        <v>0.05</v>
      </c>
      <c r="J28" s="469" t="s">
        <v>151</v>
      </c>
      <c r="K28" s="54">
        <v>0.05</v>
      </c>
      <c r="L28" s="469" t="s">
        <v>152</v>
      </c>
      <c r="M28" s="55">
        <v>0.05</v>
      </c>
      <c r="N28" s="56">
        <v>6</v>
      </c>
      <c r="O28" s="53">
        <f t="shared" si="0"/>
        <v>0</v>
      </c>
      <c r="P28" s="53">
        <f t="shared" si="1"/>
        <v>6</v>
      </c>
      <c r="Q28" s="53">
        <f t="shared" si="2"/>
        <v>0</v>
      </c>
    </row>
    <row r="29" spans="1:17" x14ac:dyDescent="0.4">
      <c r="A29" s="468">
        <v>19</v>
      </c>
      <c r="B29" s="469" t="s">
        <v>147</v>
      </c>
      <c r="C29" s="54">
        <v>0.06</v>
      </c>
      <c r="D29" s="469" t="s">
        <v>148</v>
      </c>
      <c r="E29" s="54">
        <v>0.05</v>
      </c>
      <c r="F29" s="469" t="s">
        <v>149</v>
      </c>
      <c r="G29" s="54">
        <v>0.05</v>
      </c>
      <c r="H29" s="469" t="s">
        <v>150</v>
      </c>
      <c r="I29" s="54">
        <v>0.05</v>
      </c>
      <c r="J29" s="469" t="s">
        <v>151</v>
      </c>
      <c r="K29" s="54">
        <v>0.05</v>
      </c>
      <c r="L29" s="469" t="s">
        <v>152</v>
      </c>
      <c r="M29" s="55">
        <v>0.06</v>
      </c>
      <c r="N29" s="56">
        <v>6</v>
      </c>
      <c r="O29" s="53">
        <f t="shared" si="0"/>
        <v>0</v>
      </c>
      <c r="P29" s="53">
        <f t="shared" si="1"/>
        <v>6</v>
      </c>
      <c r="Q29" s="53">
        <f t="shared" si="2"/>
        <v>0</v>
      </c>
    </row>
    <row r="30" spans="1:17" x14ac:dyDescent="0.4">
      <c r="A30" s="468">
        <v>20</v>
      </c>
      <c r="B30" s="469" t="s">
        <v>147</v>
      </c>
      <c r="C30" s="54">
        <v>0.03</v>
      </c>
      <c r="D30" s="469" t="s">
        <v>148</v>
      </c>
      <c r="E30" s="54">
        <v>0.05</v>
      </c>
      <c r="F30" s="469" t="s">
        <v>149</v>
      </c>
      <c r="G30" s="54">
        <v>0.04</v>
      </c>
      <c r="H30" s="469" t="s">
        <v>150</v>
      </c>
      <c r="I30" s="54">
        <v>0.04</v>
      </c>
      <c r="J30" s="469" t="s">
        <v>151</v>
      </c>
      <c r="K30" s="54">
        <v>0.05</v>
      </c>
      <c r="L30" s="469" t="s">
        <v>152</v>
      </c>
      <c r="M30" s="55">
        <v>0.06</v>
      </c>
      <c r="N30" s="56">
        <v>6</v>
      </c>
      <c r="O30" s="53">
        <f t="shared" si="0"/>
        <v>0</v>
      </c>
      <c r="P30" s="53">
        <f t="shared" si="1"/>
        <v>6</v>
      </c>
      <c r="Q30" s="53">
        <f t="shared" si="2"/>
        <v>0</v>
      </c>
    </row>
    <row r="31" spans="1:17" x14ac:dyDescent="0.4">
      <c r="A31" s="468">
        <v>21</v>
      </c>
      <c r="B31" s="469" t="s">
        <v>147</v>
      </c>
      <c r="C31" s="54">
        <v>0.04</v>
      </c>
      <c r="D31" s="469" t="s">
        <v>148</v>
      </c>
      <c r="E31" s="54">
        <v>0.04</v>
      </c>
      <c r="F31" s="469" t="s">
        <v>149</v>
      </c>
      <c r="G31" s="54">
        <v>0.05</v>
      </c>
      <c r="H31" s="469" t="s">
        <v>150</v>
      </c>
      <c r="I31" s="54">
        <v>0.05</v>
      </c>
      <c r="J31" s="469" t="s">
        <v>151</v>
      </c>
      <c r="K31" s="54">
        <v>0.05</v>
      </c>
      <c r="L31" s="469" t="s">
        <v>152</v>
      </c>
      <c r="M31" s="55">
        <v>0.05</v>
      </c>
      <c r="N31" s="56">
        <v>6</v>
      </c>
      <c r="O31" s="53">
        <f t="shared" si="0"/>
        <v>0</v>
      </c>
      <c r="P31" s="53">
        <f t="shared" si="1"/>
        <v>6</v>
      </c>
      <c r="Q31" s="53">
        <f t="shared" si="2"/>
        <v>0</v>
      </c>
    </row>
    <row r="32" spans="1:17" x14ac:dyDescent="0.4">
      <c r="A32" s="468">
        <v>22</v>
      </c>
      <c r="B32" s="469" t="s">
        <v>147</v>
      </c>
      <c r="C32" s="54">
        <v>0.04</v>
      </c>
      <c r="D32" s="469" t="s">
        <v>148</v>
      </c>
      <c r="E32" s="54">
        <v>0.04</v>
      </c>
      <c r="F32" s="469" t="s">
        <v>149</v>
      </c>
      <c r="G32" s="54">
        <v>0.05</v>
      </c>
      <c r="H32" s="469" t="s">
        <v>150</v>
      </c>
      <c r="I32" s="54">
        <v>0.02</v>
      </c>
      <c r="J32" s="469" t="s">
        <v>151</v>
      </c>
      <c r="K32" s="54">
        <v>0.03</v>
      </c>
      <c r="L32" s="469" t="s">
        <v>152</v>
      </c>
      <c r="M32" s="55">
        <v>0.04</v>
      </c>
      <c r="N32" s="56">
        <v>6</v>
      </c>
      <c r="O32" s="53">
        <f t="shared" si="0"/>
        <v>0</v>
      </c>
      <c r="P32" s="53">
        <f t="shared" si="1"/>
        <v>6</v>
      </c>
      <c r="Q32" s="53">
        <f t="shared" si="2"/>
        <v>0</v>
      </c>
    </row>
    <row r="33" spans="1:17" x14ac:dyDescent="0.4">
      <c r="A33" s="468">
        <v>23</v>
      </c>
      <c r="B33" s="469" t="s">
        <v>147</v>
      </c>
      <c r="C33" s="54">
        <v>0.03</v>
      </c>
      <c r="D33" s="469" t="s">
        <v>148</v>
      </c>
      <c r="E33" s="54">
        <v>0.04</v>
      </c>
      <c r="F33" s="469" t="s">
        <v>149</v>
      </c>
      <c r="G33" s="54">
        <v>0.04</v>
      </c>
      <c r="H33" s="469" t="s">
        <v>150</v>
      </c>
      <c r="I33" s="54">
        <v>0.03</v>
      </c>
      <c r="J33" s="469" t="s">
        <v>151</v>
      </c>
      <c r="K33" s="54">
        <v>0.04</v>
      </c>
      <c r="L33" s="469" t="s">
        <v>152</v>
      </c>
      <c r="M33" s="55">
        <v>0.03</v>
      </c>
      <c r="N33" s="56">
        <v>6</v>
      </c>
      <c r="O33" s="53">
        <f t="shared" si="0"/>
        <v>0</v>
      </c>
      <c r="P33" s="53">
        <f t="shared" si="1"/>
        <v>6</v>
      </c>
      <c r="Q33" s="53">
        <f t="shared" si="2"/>
        <v>0</v>
      </c>
    </row>
    <row r="34" spans="1:17" x14ac:dyDescent="0.4">
      <c r="A34" s="468">
        <v>24</v>
      </c>
      <c r="B34" s="469" t="s">
        <v>147</v>
      </c>
      <c r="C34" s="54">
        <v>0.05</v>
      </c>
      <c r="D34" s="469" t="s">
        <v>148</v>
      </c>
      <c r="E34" s="54">
        <v>0.05</v>
      </c>
      <c r="F34" s="469" t="s">
        <v>149</v>
      </c>
      <c r="G34" s="54">
        <v>0.04</v>
      </c>
      <c r="H34" s="469" t="s">
        <v>150</v>
      </c>
      <c r="I34" s="54">
        <v>0.04</v>
      </c>
      <c r="J34" s="469" t="s">
        <v>151</v>
      </c>
      <c r="K34" s="54">
        <v>0.04</v>
      </c>
      <c r="L34" s="469" t="s">
        <v>152</v>
      </c>
      <c r="M34" s="55">
        <v>0.05</v>
      </c>
      <c r="N34" s="56">
        <v>6</v>
      </c>
      <c r="O34" s="53">
        <f t="shared" si="0"/>
        <v>0</v>
      </c>
      <c r="P34" s="53">
        <f t="shared" si="1"/>
        <v>6</v>
      </c>
      <c r="Q34" s="53">
        <f t="shared" si="2"/>
        <v>0</v>
      </c>
    </row>
    <row r="35" spans="1:17" x14ac:dyDescent="0.4">
      <c r="A35" s="468">
        <v>25</v>
      </c>
      <c r="B35" s="469" t="s">
        <v>147</v>
      </c>
      <c r="C35" s="54">
        <v>0.03</v>
      </c>
      <c r="D35" s="469" t="s">
        <v>148</v>
      </c>
      <c r="E35" s="54">
        <v>0.04</v>
      </c>
      <c r="F35" s="469" t="s">
        <v>149</v>
      </c>
      <c r="G35" s="54">
        <v>0.05</v>
      </c>
      <c r="H35" s="469" t="s">
        <v>150</v>
      </c>
      <c r="I35" s="54">
        <v>0.05</v>
      </c>
      <c r="J35" s="469" t="s">
        <v>151</v>
      </c>
      <c r="K35" s="54">
        <v>0.05</v>
      </c>
      <c r="L35" s="469" t="s">
        <v>152</v>
      </c>
      <c r="M35" s="55">
        <v>0.05</v>
      </c>
      <c r="N35" s="56">
        <v>6</v>
      </c>
      <c r="O35" s="53">
        <f t="shared" si="0"/>
        <v>0</v>
      </c>
      <c r="P35" s="53">
        <f t="shared" si="1"/>
        <v>6</v>
      </c>
      <c r="Q35" s="53">
        <f t="shared" si="2"/>
        <v>0</v>
      </c>
    </row>
    <row r="36" spans="1:17" x14ac:dyDescent="0.4">
      <c r="A36" s="468">
        <v>26</v>
      </c>
      <c r="B36" s="469" t="s">
        <v>147</v>
      </c>
      <c r="C36" s="54">
        <v>0.06</v>
      </c>
      <c r="D36" s="469" t="s">
        <v>148</v>
      </c>
      <c r="E36" s="54">
        <v>0.06</v>
      </c>
      <c r="F36" s="469" t="s">
        <v>149</v>
      </c>
      <c r="G36" s="54">
        <v>7.0000000000000007E-2</v>
      </c>
      <c r="H36" s="469" t="s">
        <v>150</v>
      </c>
      <c r="I36" s="54">
        <v>7.0000000000000007E-2</v>
      </c>
      <c r="J36" s="469" t="s">
        <v>151</v>
      </c>
      <c r="K36" s="54">
        <v>7.0000000000000007E-2</v>
      </c>
      <c r="L36" s="469" t="s">
        <v>152</v>
      </c>
      <c r="M36" s="55">
        <v>0.05</v>
      </c>
      <c r="N36" s="56">
        <v>6</v>
      </c>
      <c r="O36" s="53">
        <f t="shared" si="0"/>
        <v>0</v>
      </c>
      <c r="P36" s="53">
        <f t="shared" si="1"/>
        <v>6</v>
      </c>
      <c r="Q36" s="53">
        <f t="shared" si="2"/>
        <v>0</v>
      </c>
    </row>
    <row r="37" spans="1:17" x14ac:dyDescent="0.4">
      <c r="A37" s="468">
        <v>27</v>
      </c>
      <c r="B37" s="469" t="s">
        <v>147</v>
      </c>
      <c r="C37" s="54">
        <v>0.04</v>
      </c>
      <c r="D37" s="469" t="s">
        <v>148</v>
      </c>
      <c r="E37" s="54">
        <v>0.04</v>
      </c>
      <c r="F37" s="469" t="s">
        <v>149</v>
      </c>
      <c r="G37" s="54">
        <v>0.05</v>
      </c>
      <c r="H37" s="469" t="s">
        <v>150</v>
      </c>
      <c r="I37" s="54">
        <v>0.06</v>
      </c>
      <c r="J37" s="469" t="s">
        <v>151</v>
      </c>
      <c r="K37" s="54">
        <v>0.05</v>
      </c>
      <c r="L37" s="469" t="s">
        <v>152</v>
      </c>
      <c r="M37" s="55">
        <v>0.06</v>
      </c>
      <c r="N37" s="56">
        <v>6</v>
      </c>
      <c r="O37" s="53">
        <f t="shared" si="0"/>
        <v>0</v>
      </c>
      <c r="P37" s="53">
        <f t="shared" si="1"/>
        <v>6</v>
      </c>
      <c r="Q37" s="53">
        <f t="shared" si="2"/>
        <v>0</v>
      </c>
    </row>
    <row r="38" spans="1:17" x14ac:dyDescent="0.4">
      <c r="A38" s="468">
        <v>28</v>
      </c>
      <c r="B38" s="469" t="s">
        <v>147</v>
      </c>
      <c r="C38" s="54">
        <v>0.04</v>
      </c>
      <c r="D38" s="469" t="s">
        <v>148</v>
      </c>
      <c r="E38" s="54">
        <v>0.05</v>
      </c>
      <c r="F38" s="469" t="s">
        <v>149</v>
      </c>
      <c r="G38" s="54">
        <v>0.04</v>
      </c>
      <c r="H38" s="469" t="s">
        <v>150</v>
      </c>
      <c r="I38" s="54">
        <v>0.04</v>
      </c>
      <c r="J38" s="469" t="s">
        <v>151</v>
      </c>
      <c r="K38" s="54">
        <v>0.05</v>
      </c>
      <c r="L38" s="469" t="s">
        <v>152</v>
      </c>
      <c r="M38" s="55">
        <v>0.04</v>
      </c>
      <c r="N38" s="56">
        <v>6</v>
      </c>
      <c r="O38" s="53">
        <f t="shared" si="0"/>
        <v>0</v>
      </c>
      <c r="P38" s="53">
        <f t="shared" si="1"/>
        <v>6</v>
      </c>
      <c r="Q38" s="53">
        <f t="shared" si="2"/>
        <v>0</v>
      </c>
    </row>
    <row r="39" spans="1:17" x14ac:dyDescent="0.4">
      <c r="A39" s="468">
        <v>29</v>
      </c>
      <c r="B39" s="469" t="s">
        <v>147</v>
      </c>
      <c r="C39" s="54">
        <v>0.02</v>
      </c>
      <c r="D39" s="469" t="s">
        <v>148</v>
      </c>
      <c r="E39" s="54">
        <v>0.04</v>
      </c>
      <c r="F39" s="469" t="s">
        <v>149</v>
      </c>
      <c r="G39" s="54">
        <v>0.04</v>
      </c>
      <c r="H39" s="469" t="s">
        <v>150</v>
      </c>
      <c r="I39" s="54">
        <v>0.03</v>
      </c>
      <c r="J39" s="469" t="s">
        <v>151</v>
      </c>
      <c r="K39" s="54">
        <v>0.03</v>
      </c>
      <c r="L39" s="469" t="s">
        <v>152</v>
      </c>
      <c r="M39" s="55">
        <v>0.03</v>
      </c>
      <c r="N39" s="56">
        <v>6</v>
      </c>
      <c r="O39" s="53">
        <f t="shared" si="0"/>
        <v>0</v>
      </c>
      <c r="P39" s="53">
        <f t="shared" si="1"/>
        <v>6</v>
      </c>
      <c r="Q39" s="53">
        <f t="shared" si="2"/>
        <v>0</v>
      </c>
    </row>
    <row r="40" spans="1:17" x14ac:dyDescent="0.4">
      <c r="A40" s="468">
        <v>30</v>
      </c>
      <c r="B40" s="469" t="s">
        <v>147</v>
      </c>
      <c r="C40" s="54">
        <v>0.04</v>
      </c>
      <c r="D40" s="469" t="s">
        <v>148</v>
      </c>
      <c r="E40" s="54">
        <v>0.04</v>
      </c>
      <c r="F40" s="469" t="s">
        <v>149</v>
      </c>
      <c r="G40" s="54">
        <v>0.04</v>
      </c>
      <c r="H40" s="469" t="s">
        <v>150</v>
      </c>
      <c r="I40" s="54">
        <v>0.03</v>
      </c>
      <c r="J40" s="469" t="s">
        <v>151</v>
      </c>
      <c r="K40" s="54">
        <v>0.05</v>
      </c>
      <c r="L40" s="469" t="s">
        <v>152</v>
      </c>
      <c r="M40" s="55">
        <v>0.04</v>
      </c>
      <c r="N40" s="56">
        <v>6</v>
      </c>
      <c r="O40" s="53">
        <f t="shared" si="0"/>
        <v>0</v>
      </c>
      <c r="P40" s="53">
        <f t="shared" si="1"/>
        <v>6</v>
      </c>
      <c r="Q40" s="53">
        <f t="shared" si="2"/>
        <v>0</v>
      </c>
    </row>
    <row r="41" spans="1:17" ht="12.6" thickBot="1" x14ac:dyDescent="0.45">
      <c r="A41" s="470">
        <v>31</v>
      </c>
      <c r="B41" s="471" t="s">
        <v>147</v>
      </c>
      <c r="C41" s="57">
        <v>0.04</v>
      </c>
      <c r="D41" s="471" t="s">
        <v>148</v>
      </c>
      <c r="E41" s="57">
        <v>0.04</v>
      </c>
      <c r="F41" s="471" t="s">
        <v>149</v>
      </c>
      <c r="G41" s="57">
        <v>0.04</v>
      </c>
      <c r="H41" s="471" t="s">
        <v>150</v>
      </c>
      <c r="I41" s="57">
        <v>0.05</v>
      </c>
      <c r="J41" s="471" t="s">
        <v>151</v>
      </c>
      <c r="K41" s="57">
        <v>0.05</v>
      </c>
      <c r="L41" s="471" t="s">
        <v>152</v>
      </c>
      <c r="M41" s="58">
        <v>0.05</v>
      </c>
      <c r="N41" s="56">
        <v>6</v>
      </c>
      <c r="O41" s="53">
        <f t="shared" si="0"/>
        <v>0</v>
      </c>
      <c r="P41" s="53">
        <f t="shared" si="1"/>
        <v>6</v>
      </c>
      <c r="Q41" s="53">
        <f t="shared" si="2"/>
        <v>0</v>
      </c>
    </row>
    <row r="42" spans="1:17" ht="6" customHeight="1" x14ac:dyDescent="0.4">
      <c r="A42" s="335"/>
      <c r="B42" s="472"/>
      <c r="C42" s="335"/>
      <c r="D42" s="335"/>
      <c r="E42" s="335"/>
      <c r="F42" s="335"/>
      <c r="G42" s="335"/>
      <c r="H42" s="335"/>
      <c r="I42" s="335"/>
      <c r="J42" s="335"/>
      <c r="K42" s="335"/>
      <c r="L42" s="335"/>
      <c r="M42" s="335"/>
      <c r="N42" s="473"/>
      <c r="O42" s="473"/>
      <c r="Q42" s="473"/>
    </row>
    <row r="43" spans="1:17" x14ac:dyDescent="0.4">
      <c r="A43" s="335" t="s">
        <v>153</v>
      </c>
      <c r="B43" s="335"/>
      <c r="C43" s="474">
        <f>IF(COUNT(rng_InputCells)=0,"",IF(ISERROR(MAX(rng_InputCells)),"N/A",MAX(rng_InputCells)))</f>
        <v>0.08</v>
      </c>
      <c r="D43" s="335"/>
      <c r="E43" s="475" t="s">
        <v>154</v>
      </c>
      <c r="F43" s="475"/>
      <c r="G43" s="474">
        <f>IF(COUNT(rng_InputCells)=0,"",IF(ISERROR(AVERAGE(rng_InputCells)),"N/A",AVERAGE(rng_InputCells)))</f>
        <v>4.7473118279569876E-2</v>
      </c>
      <c r="H43" s="335"/>
      <c r="I43" s="335" t="s">
        <v>155</v>
      </c>
      <c r="J43" s="335"/>
      <c r="K43" s="476">
        <f>IF(COUNT(rng_InputCells)=0,"",IF(ISERROR(COUNT(rng_InputCells)),"N/A",COUNT(rng_InputCells)))</f>
        <v>186</v>
      </c>
      <c r="L43" s="335"/>
      <c r="M43" s="335"/>
      <c r="N43" s="53">
        <f>SUM(N11:N42)</f>
        <v>186</v>
      </c>
      <c r="O43" s="53">
        <f>SUM(O11:O42)</f>
        <v>0</v>
      </c>
      <c r="Q43" s="53">
        <f>SUM(Q11:Q42)</f>
        <v>0</v>
      </c>
    </row>
    <row r="44" spans="1:17" ht="6" customHeight="1" x14ac:dyDescent="0.4">
      <c r="A44" s="335"/>
      <c r="B44" s="472"/>
      <c r="C44" s="335"/>
      <c r="D44" s="335"/>
      <c r="E44" s="335"/>
      <c r="F44" s="335"/>
      <c r="G44" s="335"/>
      <c r="H44" s="335"/>
      <c r="I44" s="335"/>
      <c r="J44" s="335"/>
      <c r="K44" s="335"/>
      <c r="L44" s="335"/>
      <c r="M44" s="335"/>
    </row>
    <row r="45" spans="1:17" x14ac:dyDescent="0.4">
      <c r="A45" s="197" t="s">
        <v>67</v>
      </c>
      <c r="B45" s="197"/>
      <c r="C45" s="335"/>
      <c r="D45" s="335"/>
      <c r="E45" s="335"/>
      <c r="F45" s="335"/>
      <c r="G45" s="335"/>
      <c r="H45" s="477" t="s">
        <v>69</v>
      </c>
      <c r="I45" s="477"/>
      <c r="J45" s="22" t="str">
        <f>IF(LEN(ORC)=0,"",ORC)</f>
        <v/>
      </c>
      <c r="K45" s="337"/>
      <c r="L45" s="337"/>
      <c r="M45" s="338"/>
      <c r="N45" s="478" t="s">
        <v>156</v>
      </c>
      <c r="O45" s="59">
        <f>SUM(rng_InputCells)</f>
        <v>8.8299999999999965</v>
      </c>
    </row>
    <row r="46" spans="1:17" s="208" customFormat="1" x14ac:dyDescent="0.4">
      <c r="A46" s="197" t="s">
        <v>27</v>
      </c>
      <c r="B46" s="197"/>
      <c r="C46" s="197"/>
      <c r="D46" s="197"/>
      <c r="E46" s="197"/>
      <c r="F46" s="197"/>
      <c r="G46" s="197"/>
      <c r="H46" s="479"/>
      <c r="I46" s="335"/>
      <c r="J46" s="335"/>
      <c r="K46" s="335"/>
      <c r="L46" s="335"/>
      <c r="M46" s="335"/>
      <c r="N46" s="480" t="str">
        <f>"&gt;= " &amp;limit_CFE_MAXT_in_NTU</f>
        <v>&gt;= 1.5</v>
      </c>
      <c r="O46" s="480" t="str">
        <f>"&gt;= " &amp;limit_CFE_95Pct_in_NTU</f>
        <v>&gt;= 0.35</v>
      </c>
    </row>
    <row r="47" spans="1:17" s="447" customFormat="1" x14ac:dyDescent="0.4">
      <c r="A47" s="197" t="str">
        <f>Version_complete</f>
        <v>Version: V02.11-01</v>
      </c>
      <c r="B47" s="197"/>
      <c r="C47" s="197"/>
      <c r="D47" s="335"/>
      <c r="E47" s="335"/>
      <c r="F47" s="335"/>
      <c r="G47" s="335"/>
      <c r="H47" s="477" t="s">
        <v>70</v>
      </c>
      <c r="I47" s="477"/>
      <c r="J47" s="24" t="str">
        <f>IF(LEN(CertificateGrade)=0,"",CertificateGrade)</f>
        <v>A</v>
      </c>
      <c r="K47" s="219" t="s">
        <v>157</v>
      </c>
      <c r="L47" s="219"/>
      <c r="M47" s="24" t="str">
        <f>IF(LEN(CertificateNumber)=0,"",CertificateNumber)</f>
        <v>975930</v>
      </c>
      <c r="N47" s="53">
        <f>SUM(COUNTIF(C11:C41,"&gt;="&amp;limit_CFE_MAXT_in_NTU&amp;""),COUNTIF(E11:E41,"&gt;="&amp;limit_CFE_MAXT_in_NTU&amp;""),COUNTIF(G11:G41,"&gt;="&amp;limit_CFE_MAXT_in_NTU&amp;""),COUNTIF(I11:I41,"&gt;="&amp;limit_CFE_MAXT_in_NTU&amp;""),COUNTIF(K11:K41,"&gt;="&amp;limit_CFE_MAXT_in_NTU&amp;""),COUNTIF(M11:M41,"&gt;="&amp;limit_CFE_MAXT_in_NTU&amp;""))</f>
        <v>0</v>
      </c>
      <c r="O47" s="53">
        <f>SUM(COUNTIF(C11:C41,"&gt;="&amp;limit_CFE_95Pct_in_NTU&amp;""),COUNTIF(E11:E41,"&gt;="&amp;limit_CFE_95Pct_in_NTU&amp;""),COUNTIF(G11:G41,"&gt;="&amp;limit_CFE_95Pct_in_NTU&amp;""),COUNTIF(I11:I41,"&gt;="&amp;limit_CFE_95Pct_in_NTU&amp;""),COUNTIF(K11:K41,"&gt;="&amp;limit_CFE_95Pct_in_NTU&amp;""),COUNTIF(M11:M41,"&gt;="&amp;limit_CFE_95Pct_in_NTU&amp;""))</f>
        <v>0</v>
      </c>
    </row>
  </sheetData>
  <sheetProtection algorithmName="SHA-512" hashValue="heP4zcsBdqqvyGBR4lL4256hc3tjTErEJB4v5YO53yR9GIzHS7js/2JQ0LwFZsT+AWzs0cbWLN+S4L7X7xczXQ==" saltValue="UCUUVMY5T1Zss1KE8AIDYA==" spinCount="100000" sheet="1" objects="1" scenarios="1"/>
  <phoneticPr fontId="40" type="noConversion"/>
  <conditionalFormatting sqref="A11:A41">
    <cfRule type="expression" dxfId="43" priority="1" stopIfTrue="1">
      <formula>AND(COUNT(C11,E11,G11,I11,K11,M11)&lt;$N11,LEN($N11)&gt;0)</formula>
    </cfRule>
  </conditionalFormatting>
  <dataValidations count="1">
    <dataValidation type="custom" allowBlank="1" showInputMessage="1" showErrorMessage="1" errorTitle="   IMPORTANT!  Invalid Entry ..." error="Enter a value between 0 and 99.999_x000a__x000a_Please use no more than three (3) decimals._x000a__x000a_Use a blank cell (and NOT zero) to indicate no activity / measurement._x000a__x000a_" sqref="C11:C41 M11:M41 K11:K41 I11:I41 G11:G41 E11:E41" xr:uid="{F7A4D3EB-9B13-44CF-A57B-5DED288B7FD6}">
      <formula1>OR(AND(C11&gt;0.001,C11&lt;=99.999),LEN(C11)=0)</formula1>
    </dataValidation>
  </dataValidations>
  <printOptions horizontalCentered="1" verticalCentered="1"/>
  <pageMargins left="0.25" right="0.25" top="0.25" bottom="0.25" header="0.125" footer="0.125"/>
  <pageSetup orientation="landscape" r:id="rId1"/>
  <headerFooter alignWithMargins="0"/>
  <customProperties>
    <customPr name="SheetID" r:id="rId2"/>
  </customPropertie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ks1940_4_EP_DI">
    <pageSetUpPr fitToPage="1"/>
  </sheetPr>
  <dimension ref="A1:Y49"/>
  <sheetViews>
    <sheetView showGridLines="0" zoomScale="110" zoomScaleNormal="110" workbookViewId="0">
      <pane xSplit="1" ySplit="12" topLeftCell="B20" activePane="bottomRight" state="frozenSplit"/>
      <selection activeCell="L39" sqref="L39"/>
      <selection pane="topRight" activeCell="L39" sqref="L39"/>
      <selection pane="bottomLeft" activeCell="L39" sqref="L39"/>
      <selection pane="bottomRight" activeCell="H53" sqref="H53"/>
    </sheetView>
  </sheetViews>
  <sheetFormatPr defaultColWidth="8.83203125" defaultRowHeight="12.3" x14ac:dyDescent="0.4"/>
  <cols>
    <col min="1" max="1" width="4.27734375" style="449" customWidth="1"/>
    <col min="2" max="2" width="9.83203125" style="449" customWidth="1"/>
    <col min="3" max="3" width="11.5546875" style="449" customWidth="1"/>
    <col min="4" max="4" width="9.83203125" style="449" customWidth="1"/>
    <col min="5" max="5" width="11.5546875" style="449" customWidth="1"/>
    <col min="6" max="6" width="9.83203125" style="449" customWidth="1"/>
    <col min="7" max="7" width="11.5546875" style="449" customWidth="1"/>
    <col min="8" max="8" width="9.83203125" style="449" customWidth="1"/>
    <col min="9" max="9" width="11.5546875" style="449" customWidth="1"/>
    <col min="10" max="10" width="9.83203125" style="449" customWidth="1"/>
    <col min="11" max="11" width="11.5546875" style="449" customWidth="1"/>
    <col min="12" max="12" width="9.83203125" style="449" customWidth="1"/>
    <col min="13" max="13" width="11.5546875" style="449" customWidth="1"/>
    <col min="14" max="15" width="9.1640625" style="449" hidden="1" customWidth="1"/>
    <col min="16" max="24" width="8.83203125" style="449" hidden="1" customWidth="1"/>
    <col min="25" max="25" width="16" style="449" hidden="1" customWidth="1"/>
    <col min="26" max="16384" width="8.83203125" style="449"/>
  </cols>
  <sheetData>
    <row r="1" spans="1:25" s="482" customFormat="1" ht="15" customHeight="1" thickBot="1" x14ac:dyDescent="0.55000000000000004">
      <c r="A1" s="481" t="s">
        <v>158</v>
      </c>
      <c r="B1" s="481"/>
      <c r="C1" s="481"/>
      <c r="D1" s="481"/>
      <c r="E1" s="481"/>
      <c r="F1" s="481"/>
      <c r="G1" s="481"/>
      <c r="H1" s="481"/>
      <c r="I1" s="481"/>
      <c r="J1" s="481"/>
      <c r="K1" s="481"/>
      <c r="L1" s="481"/>
      <c r="M1" s="481"/>
      <c r="N1" s="56">
        <f>set_MinSamplesPerDay_eprd</f>
        <v>0</v>
      </c>
      <c r="O1" s="452"/>
    </row>
    <row r="2" spans="1:25" s="452" customFormat="1" ht="3" hidden="1" customHeight="1" x14ac:dyDescent="0.5">
      <c r="A2" s="453"/>
      <c r="B2" s="453"/>
      <c r="C2" s="453"/>
      <c r="D2" s="453"/>
      <c r="E2" s="453"/>
      <c r="F2" s="453"/>
      <c r="G2" s="453"/>
      <c r="H2" s="453"/>
      <c r="I2" s="453"/>
      <c r="J2" s="453"/>
      <c r="K2" s="453"/>
      <c r="L2" s="453"/>
      <c r="M2" s="453"/>
    </row>
    <row r="3" spans="1:25" s="457" customFormat="1" ht="10.5" hidden="1" customHeight="1" x14ac:dyDescent="0.4">
      <c r="A3" s="345" t="s">
        <v>72</v>
      </c>
      <c r="B3" s="345"/>
      <c r="C3" s="345"/>
      <c r="D3" s="200">
        <f>IF(LEN(FormMasterDate)=0,"",FormMasterDate)</f>
        <v>43525</v>
      </c>
      <c r="E3" s="202"/>
      <c r="F3" s="197"/>
      <c r="G3" s="197"/>
      <c r="H3" s="455" t="s">
        <v>31</v>
      </c>
      <c r="I3" s="455"/>
      <c r="J3" s="214" t="str">
        <f>IF(LEN(FormFacilityID)=0,"",FormFacilityID)</f>
        <v>P01</v>
      </c>
      <c r="K3" s="216"/>
      <c r="L3" s="216"/>
      <c r="M3" s="456"/>
    </row>
    <row r="4" spans="1:25" s="208" customFormat="1" ht="3" hidden="1" customHeight="1" x14ac:dyDescent="0.4">
      <c r="A4" s="345"/>
      <c r="B4" s="197"/>
      <c r="C4" s="197"/>
      <c r="D4" s="197"/>
      <c r="E4" s="197"/>
      <c r="F4" s="197"/>
      <c r="G4" s="197"/>
      <c r="H4" s="455"/>
      <c r="I4" s="197"/>
      <c r="J4" s="197"/>
      <c r="K4" s="197"/>
      <c r="L4" s="197"/>
      <c r="M4" s="223"/>
    </row>
    <row r="5" spans="1:25" s="208" customFormat="1" ht="10.5" hidden="1" x14ac:dyDescent="0.4">
      <c r="A5" s="345" t="s">
        <v>30</v>
      </c>
      <c r="B5" s="345"/>
      <c r="C5" s="197"/>
      <c r="D5" s="342" t="str">
        <f>IF(LEN(FormPWSIDNum)=0,"",FormPWSIDNum)</f>
        <v>NC0392020</v>
      </c>
      <c r="E5" s="344"/>
      <c r="F5" s="197"/>
      <c r="G5" s="197"/>
      <c r="H5" s="455" t="s">
        <v>33</v>
      </c>
      <c r="I5" s="455"/>
      <c r="J5" s="458" t="str">
        <f>IF(LEN(FormFacilityName)=0,"",FormFacilityName)</f>
        <v>Cary Apex WTP</v>
      </c>
      <c r="K5" s="459"/>
      <c r="L5" s="216"/>
      <c r="M5" s="460"/>
    </row>
    <row r="6" spans="1:25" s="208" customFormat="1" ht="3" hidden="1" customHeight="1" x14ac:dyDescent="0.4">
      <c r="A6" s="345"/>
      <c r="B6" s="197"/>
      <c r="C6" s="197"/>
      <c r="D6" s="223"/>
      <c r="E6" s="223"/>
      <c r="F6" s="197"/>
      <c r="G6" s="197"/>
      <c r="H6" s="345"/>
      <c r="I6" s="197"/>
      <c r="J6" s="197"/>
      <c r="K6" s="197"/>
      <c r="L6" s="197"/>
      <c r="M6" s="197"/>
    </row>
    <row r="7" spans="1:25" s="208" customFormat="1" ht="10.5" hidden="1" customHeight="1" x14ac:dyDescent="0.4">
      <c r="A7" s="345" t="s">
        <v>32</v>
      </c>
      <c r="B7" s="345"/>
      <c r="C7" s="345"/>
      <c r="D7" s="342" t="str">
        <f>IF(LEN(FormWaterSysName)=0,"",FormWaterSysName)</f>
        <v>Cary, Town of</v>
      </c>
      <c r="E7" s="344"/>
      <c r="F7" s="197"/>
      <c r="G7" s="197"/>
      <c r="H7" s="455" t="s">
        <v>139</v>
      </c>
      <c r="I7" s="455"/>
      <c r="J7" s="214" t="str">
        <f>IF(LEN(SP_ID_1_eprd)=0,"",SP_ID_1_eprd)</f>
        <v>EP1</v>
      </c>
      <c r="K7" s="216"/>
      <c r="L7" s="216"/>
      <c r="M7" s="460"/>
    </row>
    <row r="8" spans="1:25" s="208" customFormat="1" ht="3" hidden="1" customHeight="1" x14ac:dyDescent="0.4">
      <c r="A8" s="345"/>
      <c r="B8" s="197"/>
      <c r="C8" s="197"/>
      <c r="D8" s="221"/>
      <c r="E8" s="483"/>
      <c r="F8" s="197"/>
      <c r="G8" s="197"/>
      <c r="H8" s="197"/>
      <c r="I8" s="197"/>
      <c r="J8" s="60">
        <f>IF(LEN(SP_Key_1_eprd)=0,"",SP_Key_1_eprd)</f>
        <v>71879</v>
      </c>
      <c r="K8" s="197"/>
      <c r="L8" s="197"/>
      <c r="M8" s="197"/>
    </row>
    <row r="9" spans="1:25" s="208" customFormat="1" ht="10.15" hidden="1" customHeight="1" x14ac:dyDescent="0.4">
      <c r="A9" s="345" t="s">
        <v>159</v>
      </c>
      <c r="B9" s="345"/>
      <c r="C9" s="345"/>
      <c r="D9" s="210" t="s">
        <v>160</v>
      </c>
      <c r="E9" s="212"/>
      <c r="F9" s="197"/>
      <c r="G9" s="197"/>
      <c r="H9" s="335"/>
      <c r="I9" s="335"/>
      <c r="J9" s="335"/>
      <c r="K9" s="335"/>
      <c r="L9" s="335"/>
      <c r="M9" s="335"/>
      <c r="N9" s="449"/>
      <c r="O9" s="449"/>
    </row>
    <row r="10" spans="1:25" s="208" customFormat="1" ht="15" hidden="1" customHeight="1" thickBot="1" x14ac:dyDescent="0.45">
      <c r="A10" s="197"/>
      <c r="B10" s="197"/>
      <c r="C10" s="197"/>
      <c r="D10" s="197"/>
      <c r="E10" s="197"/>
      <c r="F10" s="197"/>
      <c r="G10" s="197"/>
      <c r="H10" s="197"/>
      <c r="I10" s="197"/>
      <c r="J10" s="197"/>
      <c r="K10" s="197"/>
      <c r="L10" s="197"/>
      <c r="M10" s="197"/>
      <c r="N10" s="467"/>
      <c r="O10" s="467"/>
    </row>
    <row r="11" spans="1:25" x14ac:dyDescent="0.4">
      <c r="A11" s="464" t="s">
        <v>140</v>
      </c>
      <c r="B11" s="465" t="s">
        <v>141</v>
      </c>
      <c r="C11" s="465" t="s">
        <v>161</v>
      </c>
      <c r="D11" s="465" t="s">
        <v>141</v>
      </c>
      <c r="E11" s="465" t="s">
        <v>161</v>
      </c>
      <c r="F11" s="465" t="s">
        <v>141</v>
      </c>
      <c r="G11" s="465" t="s">
        <v>161</v>
      </c>
      <c r="H11" s="465" t="s">
        <v>141</v>
      </c>
      <c r="I11" s="465" t="s">
        <v>161</v>
      </c>
      <c r="J11" s="465" t="s">
        <v>141</v>
      </c>
      <c r="K11" s="465" t="s">
        <v>161</v>
      </c>
      <c r="L11" s="465" t="s">
        <v>141</v>
      </c>
      <c r="M11" s="466" t="s">
        <v>161</v>
      </c>
      <c r="O11" s="61"/>
    </row>
    <row r="12" spans="1:25" s="467" customFormat="1" hidden="1" x14ac:dyDescent="0.4">
      <c r="A12" s="289"/>
      <c r="B12" s="287"/>
      <c r="C12" s="287" t="s">
        <v>133</v>
      </c>
      <c r="D12" s="287"/>
      <c r="E12" s="287" t="s">
        <v>133</v>
      </c>
      <c r="F12" s="287"/>
      <c r="G12" s="287" t="s">
        <v>133</v>
      </c>
      <c r="H12" s="287"/>
      <c r="I12" s="287" t="s">
        <v>133</v>
      </c>
      <c r="J12" s="287"/>
      <c r="K12" s="287" t="s">
        <v>133</v>
      </c>
      <c r="L12" s="287"/>
      <c r="M12" s="290" t="s">
        <v>133</v>
      </c>
      <c r="N12" s="53" t="s">
        <v>143</v>
      </c>
      <c r="O12" s="53" t="s">
        <v>144</v>
      </c>
      <c r="P12" s="53" t="s">
        <v>145</v>
      </c>
      <c r="Q12" s="53" t="s">
        <v>162</v>
      </c>
      <c r="R12" s="53" t="s">
        <v>162</v>
      </c>
      <c r="Y12" s="53" t="s">
        <v>146</v>
      </c>
    </row>
    <row r="13" spans="1:25" x14ac:dyDescent="0.4">
      <c r="A13" s="468">
        <v>1</v>
      </c>
      <c r="B13" s="469" t="s">
        <v>147</v>
      </c>
      <c r="C13" s="62">
        <v>2.2000000000000002</v>
      </c>
      <c r="D13" s="469" t="s">
        <v>148</v>
      </c>
      <c r="E13" s="62">
        <v>2.8</v>
      </c>
      <c r="F13" s="469" t="s">
        <v>149</v>
      </c>
      <c r="G13" s="62">
        <v>2.9</v>
      </c>
      <c r="H13" s="469" t="s">
        <v>150</v>
      </c>
      <c r="I13" s="62">
        <v>2.8</v>
      </c>
      <c r="J13" s="469" t="s">
        <v>151</v>
      </c>
      <c r="K13" s="62">
        <v>2.4</v>
      </c>
      <c r="L13" s="469" t="s">
        <v>152</v>
      </c>
      <c r="M13" s="63">
        <v>2.4</v>
      </c>
      <c r="N13" s="56">
        <f t="array" ref="N13:N43">IF(ISERROR(IF(set_MinSamplesPerDay_eprd&gt;0,IF(rng_Hours_FilterOp&gt;0,set_MinSamplesPerDay_eprd*(rng_Hours_FilterOp&gt;0),""),IF(LEN(rng_Hours_PlantOp)&gt;0*rng_Hours_PlantOp&gt;0,ROUNDUP(rng_Hours_PlantOp/4,0),""))),"",IF(set_MinSamplesPerDay_eprd&gt;0,IF(rng_Hours_FilterOp&gt;0,set_MinSamplesPerDay_eprd*(rng_Hours_FilterOp&gt;0),""),IF(LEN(rng_Hours_PlantOp)&gt;0*rng_Hours_PlantOp&gt;0,ROUNDUP(rng_Hours_PlantOp/4,0),"")))</f>
        <v>6</v>
      </c>
      <c r="O13" s="53">
        <f t="shared" ref="O13:O43" si="0">IF(ISERROR($N13-COUNT($C13,$E13,$G13,$I13,$K13,$M13)),0,IF(($N13-COUNT($C13,$E13,$G13,$I13,$K13,$M13))&lt;0,0,$N13-COUNT($C13,$E13,$G13,$I13,$K13,$M13)))</f>
        <v>0</v>
      </c>
      <c r="P13" s="53">
        <f t="shared" ref="P13:P43" si="1">IF(ISERROR(COUNT($C13,$E13,$G13,$I13,$K13,$M13)),0,COUNT($C13,$E13,$G13,$I13,$K13,$M13))</f>
        <v>6</v>
      </c>
      <c r="Q13" s="53">
        <f t="shared" ref="Q13:Q43" si="2">(set_MinSamplesPerDay_eprd&gt;=1)*IF(AND(COUNTA($B13)=0,COUNT($C13)=1),1,0)+(set_MinSamplesPerDay_eprd&gt;=2)*IF(AND(COUNTA($D13)=0,COUNT($E13)=1),1,0)+(set_MinSamplesPerDay_eprd&gt;=3)*IF(AND(COUNTA($F13)=0,COUNT($G13)=1),1,0)+(set_MinSamplesPerDay_eprd&gt;=4)*IF(AND(COUNTA($H13)=0,COUNT($I13)=1),1,0)+(set_MinSamplesPerDay_eprd&gt;=5)*IF(AND(COUNTA($J13)=0,COUNT($K13)=1),1,0)+(set_MinSamplesPerDay_eprd&gt;=6)*IF(AND(COUNTA($L13)=0,COUNT($M13)=1),1,0)</f>
        <v>0</v>
      </c>
      <c r="R13" s="53">
        <f t="shared" ref="R13:R43" si="3">IF(AND(COUNTA($B13)=0,COUNT($C13)=1),1,0)+IF(AND(COUNTA($D13)=0,COUNT($E13)=1),1,0)+IF(AND(COUNTA($F13)=0,COUNT($G13)=1),1,0)+IF(AND(COUNTA($H13)=0,COUNT($I13)=1),1,0)+IF(AND(COUNTA($J13)=0,COUNT($K13)=1),1,0)+IF(AND(COUNTA($L13)=0,COUNT($M13)=1),1,0)-Q13</f>
        <v>0</v>
      </c>
      <c r="S13" s="64" t="str">
        <f t="shared" ref="S13:S43" si="4">IF(LEN(B13)=0,"",B13)</f>
        <v>0:00 - 4:00</v>
      </c>
      <c r="T13" s="64" t="str">
        <f t="shared" ref="T13:T43" si="5">IF(LEN(D13)=0,"",D13)</f>
        <v>4:00 - 8:00</v>
      </c>
      <c r="U13" s="64" t="str">
        <f t="shared" ref="U13:U43" si="6">IF(LEN(F13)=0,"",F13)</f>
        <v>8:00 - 12:00</v>
      </c>
      <c r="V13" s="64" t="str">
        <f t="shared" ref="V13:V43" si="7">IF(LEN(H13)=0,"",H13)</f>
        <v>12:00 - 16:00</v>
      </c>
      <c r="W13" s="64" t="str">
        <f t="shared" ref="W13:W43" si="8">IF(LEN(J13)=0,"",J13)</f>
        <v>16:00 - 20:00</v>
      </c>
      <c r="X13" s="64" t="str">
        <f t="shared" ref="X13:X43" si="9">IF(LEN(L13)=0,"",L13)</f>
        <v>20:00 - 0:00</v>
      </c>
      <c r="Y13" s="53">
        <f t="shared" ref="Y13:Y43" si="10">IF(AND(LEN(N13)=0,P13&gt;0),1,0)</f>
        <v>0</v>
      </c>
    </row>
    <row r="14" spans="1:25" x14ac:dyDescent="0.4">
      <c r="A14" s="468">
        <v>2</v>
      </c>
      <c r="B14" s="469" t="s">
        <v>147</v>
      </c>
      <c r="C14" s="62">
        <v>2.4</v>
      </c>
      <c r="D14" s="469" t="s">
        <v>148</v>
      </c>
      <c r="E14" s="62">
        <v>2.2999999999999998</v>
      </c>
      <c r="F14" s="469" t="s">
        <v>149</v>
      </c>
      <c r="G14" s="62">
        <v>2.2999999999999998</v>
      </c>
      <c r="H14" s="469" t="s">
        <v>150</v>
      </c>
      <c r="I14" s="62">
        <v>2.2000000000000002</v>
      </c>
      <c r="J14" s="469" t="s">
        <v>151</v>
      </c>
      <c r="K14" s="62">
        <v>2.5</v>
      </c>
      <c r="L14" s="469" t="s">
        <v>152</v>
      </c>
      <c r="M14" s="63">
        <v>2.6</v>
      </c>
      <c r="N14" s="56">
        <v>6</v>
      </c>
      <c r="O14" s="53">
        <f t="shared" si="0"/>
        <v>0</v>
      </c>
      <c r="P14" s="53">
        <f t="shared" si="1"/>
        <v>6</v>
      </c>
      <c r="Q14" s="53">
        <f t="shared" si="2"/>
        <v>0</v>
      </c>
      <c r="R14" s="53">
        <f t="shared" si="3"/>
        <v>0</v>
      </c>
      <c r="S14" s="64" t="str">
        <f t="shared" si="4"/>
        <v>0:00 - 4:00</v>
      </c>
      <c r="T14" s="64" t="str">
        <f t="shared" si="5"/>
        <v>4:00 - 8:00</v>
      </c>
      <c r="U14" s="64" t="str">
        <f t="shared" si="6"/>
        <v>8:00 - 12:00</v>
      </c>
      <c r="V14" s="64" t="str">
        <f t="shared" si="7"/>
        <v>12:00 - 16:00</v>
      </c>
      <c r="W14" s="64" t="str">
        <f t="shared" si="8"/>
        <v>16:00 - 20:00</v>
      </c>
      <c r="X14" s="64" t="str">
        <f t="shared" si="9"/>
        <v>20:00 - 0:00</v>
      </c>
      <c r="Y14" s="53">
        <f t="shared" si="10"/>
        <v>0</v>
      </c>
    </row>
    <row r="15" spans="1:25" x14ac:dyDescent="0.4">
      <c r="A15" s="468">
        <v>3</v>
      </c>
      <c r="B15" s="469" t="s">
        <v>147</v>
      </c>
      <c r="C15" s="62">
        <v>2.7</v>
      </c>
      <c r="D15" s="469" t="s">
        <v>148</v>
      </c>
      <c r="E15" s="62">
        <v>2.6</v>
      </c>
      <c r="F15" s="469" t="s">
        <v>149</v>
      </c>
      <c r="G15" s="62">
        <v>2.6</v>
      </c>
      <c r="H15" s="469" t="s">
        <v>150</v>
      </c>
      <c r="I15" s="62">
        <v>2.95</v>
      </c>
      <c r="J15" s="469" t="s">
        <v>151</v>
      </c>
      <c r="K15" s="62">
        <v>3</v>
      </c>
      <c r="L15" s="469" t="s">
        <v>152</v>
      </c>
      <c r="M15" s="63">
        <v>2.2999999999999998</v>
      </c>
      <c r="N15" s="56">
        <v>6</v>
      </c>
      <c r="O15" s="53">
        <f t="shared" si="0"/>
        <v>0</v>
      </c>
      <c r="P15" s="53">
        <f t="shared" si="1"/>
        <v>6</v>
      </c>
      <c r="Q15" s="53">
        <f t="shared" si="2"/>
        <v>0</v>
      </c>
      <c r="R15" s="53">
        <f t="shared" si="3"/>
        <v>0</v>
      </c>
      <c r="S15" s="64" t="str">
        <f t="shared" si="4"/>
        <v>0:00 - 4:00</v>
      </c>
      <c r="T15" s="64" t="str">
        <f t="shared" si="5"/>
        <v>4:00 - 8:00</v>
      </c>
      <c r="U15" s="64" t="str">
        <f t="shared" si="6"/>
        <v>8:00 - 12:00</v>
      </c>
      <c r="V15" s="64" t="str">
        <f t="shared" si="7"/>
        <v>12:00 - 16:00</v>
      </c>
      <c r="W15" s="64" t="str">
        <f t="shared" si="8"/>
        <v>16:00 - 20:00</v>
      </c>
      <c r="X15" s="64" t="str">
        <f t="shared" si="9"/>
        <v>20:00 - 0:00</v>
      </c>
      <c r="Y15" s="53">
        <f t="shared" si="10"/>
        <v>0</v>
      </c>
    </row>
    <row r="16" spans="1:25" x14ac:dyDescent="0.4">
      <c r="A16" s="468">
        <v>4</v>
      </c>
      <c r="B16" s="469" t="s">
        <v>147</v>
      </c>
      <c r="C16" s="62">
        <v>2.4</v>
      </c>
      <c r="D16" s="469" t="s">
        <v>148</v>
      </c>
      <c r="E16" s="62">
        <v>2.4</v>
      </c>
      <c r="F16" s="469" t="s">
        <v>149</v>
      </c>
      <c r="G16" s="62">
        <v>2.4</v>
      </c>
      <c r="H16" s="469" t="s">
        <v>150</v>
      </c>
      <c r="I16" s="62">
        <v>2.6</v>
      </c>
      <c r="J16" s="469" t="s">
        <v>151</v>
      </c>
      <c r="K16" s="62">
        <v>2.2000000000000002</v>
      </c>
      <c r="L16" s="469" t="s">
        <v>152</v>
      </c>
      <c r="M16" s="63">
        <v>2.9</v>
      </c>
      <c r="N16" s="56">
        <v>6</v>
      </c>
      <c r="O16" s="53">
        <f t="shared" si="0"/>
        <v>0</v>
      </c>
      <c r="P16" s="53">
        <f t="shared" si="1"/>
        <v>6</v>
      </c>
      <c r="Q16" s="53">
        <f t="shared" si="2"/>
        <v>0</v>
      </c>
      <c r="R16" s="53">
        <f t="shared" si="3"/>
        <v>0</v>
      </c>
      <c r="S16" s="64" t="str">
        <f t="shared" si="4"/>
        <v>0:00 - 4:00</v>
      </c>
      <c r="T16" s="64" t="str">
        <f t="shared" si="5"/>
        <v>4:00 - 8:00</v>
      </c>
      <c r="U16" s="64" t="str">
        <f t="shared" si="6"/>
        <v>8:00 - 12:00</v>
      </c>
      <c r="V16" s="64" t="str">
        <f t="shared" si="7"/>
        <v>12:00 - 16:00</v>
      </c>
      <c r="W16" s="64" t="str">
        <f t="shared" si="8"/>
        <v>16:00 - 20:00</v>
      </c>
      <c r="X16" s="64" t="str">
        <f t="shared" si="9"/>
        <v>20:00 - 0:00</v>
      </c>
      <c r="Y16" s="53">
        <f t="shared" si="10"/>
        <v>0</v>
      </c>
    </row>
    <row r="17" spans="1:25" x14ac:dyDescent="0.4">
      <c r="A17" s="468">
        <v>5</v>
      </c>
      <c r="B17" s="469" t="s">
        <v>147</v>
      </c>
      <c r="C17" s="62">
        <v>2.2999999999999998</v>
      </c>
      <c r="D17" s="469" t="s">
        <v>148</v>
      </c>
      <c r="E17" s="62">
        <v>2.8</v>
      </c>
      <c r="F17" s="469" t="s">
        <v>149</v>
      </c>
      <c r="G17" s="62">
        <v>3.1</v>
      </c>
      <c r="H17" s="469" t="s">
        <v>150</v>
      </c>
      <c r="I17" s="62">
        <v>2.9</v>
      </c>
      <c r="J17" s="469" t="s">
        <v>151</v>
      </c>
      <c r="K17" s="62">
        <v>2.9</v>
      </c>
      <c r="L17" s="469" t="s">
        <v>152</v>
      </c>
      <c r="M17" s="63">
        <v>2.7</v>
      </c>
      <c r="N17" s="56">
        <v>6</v>
      </c>
      <c r="O17" s="53">
        <f t="shared" si="0"/>
        <v>0</v>
      </c>
      <c r="P17" s="53">
        <f t="shared" si="1"/>
        <v>6</v>
      </c>
      <c r="Q17" s="53">
        <f t="shared" si="2"/>
        <v>0</v>
      </c>
      <c r="R17" s="53">
        <f t="shared" si="3"/>
        <v>0</v>
      </c>
      <c r="S17" s="64" t="str">
        <f t="shared" si="4"/>
        <v>0:00 - 4:00</v>
      </c>
      <c r="T17" s="64" t="str">
        <f t="shared" si="5"/>
        <v>4:00 - 8:00</v>
      </c>
      <c r="U17" s="64" t="str">
        <f t="shared" si="6"/>
        <v>8:00 - 12:00</v>
      </c>
      <c r="V17" s="64" t="str">
        <f t="shared" si="7"/>
        <v>12:00 - 16:00</v>
      </c>
      <c r="W17" s="64" t="str">
        <f t="shared" si="8"/>
        <v>16:00 - 20:00</v>
      </c>
      <c r="X17" s="64" t="str">
        <f t="shared" si="9"/>
        <v>20:00 - 0:00</v>
      </c>
      <c r="Y17" s="53">
        <f t="shared" si="10"/>
        <v>0</v>
      </c>
    </row>
    <row r="18" spans="1:25" x14ac:dyDescent="0.4">
      <c r="A18" s="468">
        <v>6</v>
      </c>
      <c r="B18" s="469" t="s">
        <v>147</v>
      </c>
      <c r="C18" s="62">
        <v>2.7</v>
      </c>
      <c r="D18" s="469" t="s">
        <v>148</v>
      </c>
      <c r="E18" s="62">
        <v>2.7</v>
      </c>
      <c r="F18" s="469" t="s">
        <v>149</v>
      </c>
      <c r="G18" s="62">
        <v>2.8</v>
      </c>
      <c r="H18" s="469" t="s">
        <v>150</v>
      </c>
      <c r="I18" s="62">
        <v>2.6</v>
      </c>
      <c r="J18" s="469" t="s">
        <v>151</v>
      </c>
      <c r="K18" s="62">
        <v>2.8</v>
      </c>
      <c r="L18" s="469" t="s">
        <v>152</v>
      </c>
      <c r="M18" s="63">
        <v>2.8</v>
      </c>
      <c r="N18" s="56">
        <v>6</v>
      </c>
      <c r="O18" s="53">
        <f t="shared" si="0"/>
        <v>0</v>
      </c>
      <c r="P18" s="53">
        <f t="shared" si="1"/>
        <v>6</v>
      </c>
      <c r="Q18" s="53">
        <f t="shared" si="2"/>
        <v>0</v>
      </c>
      <c r="R18" s="53">
        <f t="shared" si="3"/>
        <v>0</v>
      </c>
      <c r="S18" s="64" t="str">
        <f t="shared" si="4"/>
        <v>0:00 - 4:00</v>
      </c>
      <c r="T18" s="64" t="str">
        <f t="shared" si="5"/>
        <v>4:00 - 8:00</v>
      </c>
      <c r="U18" s="64" t="str">
        <f t="shared" si="6"/>
        <v>8:00 - 12:00</v>
      </c>
      <c r="V18" s="64" t="str">
        <f t="shared" si="7"/>
        <v>12:00 - 16:00</v>
      </c>
      <c r="W18" s="64" t="str">
        <f t="shared" si="8"/>
        <v>16:00 - 20:00</v>
      </c>
      <c r="X18" s="64" t="str">
        <f t="shared" si="9"/>
        <v>20:00 - 0:00</v>
      </c>
      <c r="Y18" s="53">
        <f t="shared" si="10"/>
        <v>0</v>
      </c>
    </row>
    <row r="19" spans="1:25" x14ac:dyDescent="0.4">
      <c r="A19" s="468">
        <v>7</v>
      </c>
      <c r="B19" s="469" t="s">
        <v>147</v>
      </c>
      <c r="C19" s="62">
        <v>2.9</v>
      </c>
      <c r="D19" s="469" t="s">
        <v>148</v>
      </c>
      <c r="E19" s="62">
        <v>2.9</v>
      </c>
      <c r="F19" s="469" t="s">
        <v>149</v>
      </c>
      <c r="G19" s="62">
        <v>3.05</v>
      </c>
      <c r="H19" s="469" t="s">
        <v>150</v>
      </c>
      <c r="I19" s="62">
        <v>3.1</v>
      </c>
      <c r="J19" s="469" t="s">
        <v>151</v>
      </c>
      <c r="K19" s="62">
        <v>2.6</v>
      </c>
      <c r="L19" s="469" t="s">
        <v>152</v>
      </c>
      <c r="M19" s="63">
        <v>2.1</v>
      </c>
      <c r="N19" s="56">
        <v>6</v>
      </c>
      <c r="O19" s="53">
        <f t="shared" si="0"/>
        <v>0</v>
      </c>
      <c r="P19" s="53">
        <f t="shared" si="1"/>
        <v>6</v>
      </c>
      <c r="Q19" s="53">
        <f t="shared" si="2"/>
        <v>0</v>
      </c>
      <c r="R19" s="53">
        <f t="shared" si="3"/>
        <v>0</v>
      </c>
      <c r="S19" s="64" t="str">
        <f t="shared" si="4"/>
        <v>0:00 - 4:00</v>
      </c>
      <c r="T19" s="64" t="str">
        <f t="shared" si="5"/>
        <v>4:00 - 8:00</v>
      </c>
      <c r="U19" s="64" t="str">
        <f t="shared" si="6"/>
        <v>8:00 - 12:00</v>
      </c>
      <c r="V19" s="64" t="str">
        <f t="shared" si="7"/>
        <v>12:00 - 16:00</v>
      </c>
      <c r="W19" s="64" t="str">
        <f t="shared" si="8"/>
        <v>16:00 - 20:00</v>
      </c>
      <c r="X19" s="64" t="str">
        <f t="shared" si="9"/>
        <v>20:00 - 0:00</v>
      </c>
      <c r="Y19" s="53">
        <f t="shared" si="10"/>
        <v>0</v>
      </c>
    </row>
    <row r="20" spans="1:25" x14ac:dyDescent="0.4">
      <c r="A20" s="468">
        <v>8</v>
      </c>
      <c r="B20" s="469" t="s">
        <v>147</v>
      </c>
      <c r="C20" s="62">
        <v>2.2999999999999998</v>
      </c>
      <c r="D20" s="469" t="s">
        <v>148</v>
      </c>
      <c r="E20" s="62">
        <v>2.5</v>
      </c>
      <c r="F20" s="469" t="s">
        <v>149</v>
      </c>
      <c r="G20" s="62">
        <v>2.8</v>
      </c>
      <c r="H20" s="469" t="s">
        <v>150</v>
      </c>
      <c r="I20" s="62">
        <v>2.7</v>
      </c>
      <c r="J20" s="469" t="s">
        <v>151</v>
      </c>
      <c r="K20" s="62">
        <v>2.7</v>
      </c>
      <c r="L20" s="469" t="s">
        <v>152</v>
      </c>
      <c r="M20" s="63">
        <v>2.9</v>
      </c>
      <c r="N20" s="56">
        <v>6</v>
      </c>
      <c r="O20" s="53">
        <f t="shared" si="0"/>
        <v>0</v>
      </c>
      <c r="P20" s="53">
        <f t="shared" si="1"/>
        <v>6</v>
      </c>
      <c r="Q20" s="53">
        <f t="shared" si="2"/>
        <v>0</v>
      </c>
      <c r="R20" s="53">
        <f t="shared" si="3"/>
        <v>0</v>
      </c>
      <c r="S20" s="64" t="str">
        <f t="shared" si="4"/>
        <v>0:00 - 4:00</v>
      </c>
      <c r="T20" s="64" t="str">
        <f t="shared" si="5"/>
        <v>4:00 - 8:00</v>
      </c>
      <c r="U20" s="64" t="str">
        <f t="shared" si="6"/>
        <v>8:00 - 12:00</v>
      </c>
      <c r="V20" s="64" t="str">
        <f t="shared" si="7"/>
        <v>12:00 - 16:00</v>
      </c>
      <c r="W20" s="64" t="str">
        <f t="shared" si="8"/>
        <v>16:00 - 20:00</v>
      </c>
      <c r="X20" s="64" t="str">
        <f t="shared" si="9"/>
        <v>20:00 - 0:00</v>
      </c>
      <c r="Y20" s="53">
        <f t="shared" si="10"/>
        <v>0</v>
      </c>
    </row>
    <row r="21" spans="1:25" x14ac:dyDescent="0.4">
      <c r="A21" s="468">
        <v>9</v>
      </c>
      <c r="B21" s="469" t="s">
        <v>147</v>
      </c>
      <c r="C21" s="62">
        <v>2.8</v>
      </c>
      <c r="D21" s="469" t="s">
        <v>148</v>
      </c>
      <c r="E21" s="62">
        <v>2.6</v>
      </c>
      <c r="F21" s="469" t="s">
        <v>149</v>
      </c>
      <c r="G21" s="62">
        <v>2.6</v>
      </c>
      <c r="H21" s="469" t="s">
        <v>150</v>
      </c>
      <c r="I21" s="62">
        <v>2.6</v>
      </c>
      <c r="J21" s="469" t="s">
        <v>151</v>
      </c>
      <c r="K21" s="62">
        <v>2.7</v>
      </c>
      <c r="L21" s="469" t="s">
        <v>152</v>
      </c>
      <c r="M21" s="63">
        <v>2.5</v>
      </c>
      <c r="N21" s="56">
        <v>6</v>
      </c>
      <c r="O21" s="53">
        <f t="shared" si="0"/>
        <v>0</v>
      </c>
      <c r="P21" s="53">
        <f t="shared" si="1"/>
        <v>6</v>
      </c>
      <c r="Q21" s="53">
        <f t="shared" si="2"/>
        <v>0</v>
      </c>
      <c r="R21" s="53">
        <f t="shared" si="3"/>
        <v>0</v>
      </c>
      <c r="S21" s="64" t="str">
        <f t="shared" si="4"/>
        <v>0:00 - 4:00</v>
      </c>
      <c r="T21" s="64" t="str">
        <f t="shared" si="5"/>
        <v>4:00 - 8:00</v>
      </c>
      <c r="U21" s="64" t="str">
        <f t="shared" si="6"/>
        <v>8:00 - 12:00</v>
      </c>
      <c r="V21" s="64" t="str">
        <f t="shared" si="7"/>
        <v>12:00 - 16:00</v>
      </c>
      <c r="W21" s="64" t="str">
        <f t="shared" si="8"/>
        <v>16:00 - 20:00</v>
      </c>
      <c r="X21" s="64" t="str">
        <f t="shared" si="9"/>
        <v>20:00 - 0:00</v>
      </c>
      <c r="Y21" s="53">
        <f t="shared" si="10"/>
        <v>0</v>
      </c>
    </row>
    <row r="22" spans="1:25" x14ac:dyDescent="0.4">
      <c r="A22" s="468">
        <v>10</v>
      </c>
      <c r="B22" s="469" t="s">
        <v>147</v>
      </c>
      <c r="C22" s="62">
        <v>2.1</v>
      </c>
      <c r="D22" s="469" t="s">
        <v>148</v>
      </c>
      <c r="E22" s="62">
        <v>1.9</v>
      </c>
      <c r="F22" s="469" t="s">
        <v>149</v>
      </c>
      <c r="G22" s="62">
        <v>2.7</v>
      </c>
      <c r="H22" s="469" t="s">
        <v>150</v>
      </c>
      <c r="I22" s="62">
        <v>2.7</v>
      </c>
      <c r="J22" s="469" t="s">
        <v>151</v>
      </c>
      <c r="K22" s="62">
        <v>2.7</v>
      </c>
      <c r="L22" s="469" t="s">
        <v>152</v>
      </c>
      <c r="M22" s="63">
        <v>2.6</v>
      </c>
      <c r="N22" s="56">
        <v>6</v>
      </c>
      <c r="O22" s="53">
        <f t="shared" si="0"/>
        <v>0</v>
      </c>
      <c r="P22" s="53">
        <f t="shared" si="1"/>
        <v>6</v>
      </c>
      <c r="Q22" s="53">
        <f t="shared" si="2"/>
        <v>0</v>
      </c>
      <c r="R22" s="53">
        <f t="shared" si="3"/>
        <v>0</v>
      </c>
      <c r="S22" s="64" t="str">
        <f t="shared" si="4"/>
        <v>0:00 - 4:00</v>
      </c>
      <c r="T22" s="64" t="str">
        <f t="shared" si="5"/>
        <v>4:00 - 8:00</v>
      </c>
      <c r="U22" s="64" t="str">
        <f t="shared" si="6"/>
        <v>8:00 - 12:00</v>
      </c>
      <c r="V22" s="64" t="str">
        <f t="shared" si="7"/>
        <v>12:00 - 16:00</v>
      </c>
      <c r="W22" s="64" t="str">
        <f t="shared" si="8"/>
        <v>16:00 - 20:00</v>
      </c>
      <c r="X22" s="64" t="str">
        <f t="shared" si="9"/>
        <v>20:00 - 0:00</v>
      </c>
      <c r="Y22" s="53">
        <f t="shared" si="10"/>
        <v>0</v>
      </c>
    </row>
    <row r="23" spans="1:25" x14ac:dyDescent="0.4">
      <c r="A23" s="468">
        <v>11</v>
      </c>
      <c r="B23" s="469" t="s">
        <v>147</v>
      </c>
      <c r="C23" s="62">
        <v>2.6</v>
      </c>
      <c r="D23" s="469" t="s">
        <v>148</v>
      </c>
      <c r="E23" s="62">
        <v>2.6</v>
      </c>
      <c r="F23" s="469" t="s">
        <v>149</v>
      </c>
      <c r="G23" s="62">
        <v>2.8</v>
      </c>
      <c r="H23" s="469" t="s">
        <v>150</v>
      </c>
      <c r="I23" s="62">
        <v>2.8</v>
      </c>
      <c r="J23" s="469" t="s">
        <v>151</v>
      </c>
      <c r="K23" s="62">
        <v>2.8</v>
      </c>
      <c r="L23" s="469" t="s">
        <v>152</v>
      </c>
      <c r="M23" s="63">
        <v>2.5</v>
      </c>
      <c r="N23" s="56">
        <v>6</v>
      </c>
      <c r="O23" s="53">
        <f t="shared" si="0"/>
        <v>0</v>
      </c>
      <c r="P23" s="53">
        <f t="shared" si="1"/>
        <v>6</v>
      </c>
      <c r="Q23" s="53">
        <f t="shared" si="2"/>
        <v>0</v>
      </c>
      <c r="R23" s="53">
        <f t="shared" si="3"/>
        <v>0</v>
      </c>
      <c r="S23" s="64" t="str">
        <f t="shared" si="4"/>
        <v>0:00 - 4:00</v>
      </c>
      <c r="T23" s="64" t="str">
        <f t="shared" si="5"/>
        <v>4:00 - 8:00</v>
      </c>
      <c r="U23" s="64" t="str">
        <f t="shared" si="6"/>
        <v>8:00 - 12:00</v>
      </c>
      <c r="V23" s="64" t="str">
        <f t="shared" si="7"/>
        <v>12:00 - 16:00</v>
      </c>
      <c r="W23" s="64" t="str">
        <f t="shared" si="8"/>
        <v>16:00 - 20:00</v>
      </c>
      <c r="X23" s="64" t="str">
        <f t="shared" si="9"/>
        <v>20:00 - 0:00</v>
      </c>
      <c r="Y23" s="53">
        <f t="shared" si="10"/>
        <v>0</v>
      </c>
    </row>
    <row r="24" spans="1:25" x14ac:dyDescent="0.4">
      <c r="A24" s="468">
        <v>12</v>
      </c>
      <c r="B24" s="469" t="s">
        <v>147</v>
      </c>
      <c r="C24" s="62">
        <v>2.5</v>
      </c>
      <c r="D24" s="469" t="s">
        <v>148</v>
      </c>
      <c r="E24" s="62">
        <v>2.2999999999999998</v>
      </c>
      <c r="F24" s="469" t="s">
        <v>149</v>
      </c>
      <c r="G24" s="62">
        <v>2.6</v>
      </c>
      <c r="H24" s="469" t="s">
        <v>150</v>
      </c>
      <c r="I24" s="62">
        <v>2.7</v>
      </c>
      <c r="J24" s="469" t="s">
        <v>151</v>
      </c>
      <c r="K24" s="62">
        <v>2.5</v>
      </c>
      <c r="L24" s="469" t="s">
        <v>152</v>
      </c>
      <c r="M24" s="63">
        <v>2.7</v>
      </c>
      <c r="N24" s="56">
        <v>6</v>
      </c>
      <c r="O24" s="53">
        <f t="shared" si="0"/>
        <v>0</v>
      </c>
      <c r="P24" s="53">
        <f t="shared" si="1"/>
        <v>6</v>
      </c>
      <c r="Q24" s="53">
        <f t="shared" si="2"/>
        <v>0</v>
      </c>
      <c r="R24" s="53">
        <f t="shared" si="3"/>
        <v>0</v>
      </c>
      <c r="S24" s="64" t="str">
        <f t="shared" si="4"/>
        <v>0:00 - 4:00</v>
      </c>
      <c r="T24" s="64" t="str">
        <f t="shared" si="5"/>
        <v>4:00 - 8:00</v>
      </c>
      <c r="U24" s="64" t="str">
        <f t="shared" si="6"/>
        <v>8:00 - 12:00</v>
      </c>
      <c r="V24" s="64" t="str">
        <f t="shared" si="7"/>
        <v>12:00 - 16:00</v>
      </c>
      <c r="W24" s="64" t="str">
        <f t="shared" si="8"/>
        <v>16:00 - 20:00</v>
      </c>
      <c r="X24" s="64" t="str">
        <f t="shared" si="9"/>
        <v>20:00 - 0:00</v>
      </c>
      <c r="Y24" s="53">
        <f t="shared" si="10"/>
        <v>0</v>
      </c>
    </row>
    <row r="25" spans="1:25" x14ac:dyDescent="0.4">
      <c r="A25" s="468">
        <v>13</v>
      </c>
      <c r="B25" s="469" t="s">
        <v>147</v>
      </c>
      <c r="C25" s="62">
        <v>1.8</v>
      </c>
      <c r="D25" s="469" t="s">
        <v>148</v>
      </c>
      <c r="E25" s="62">
        <v>2.6</v>
      </c>
      <c r="F25" s="469" t="s">
        <v>149</v>
      </c>
      <c r="G25" s="62">
        <v>2.6</v>
      </c>
      <c r="H25" s="469" t="s">
        <v>150</v>
      </c>
      <c r="I25" s="62">
        <v>2.5</v>
      </c>
      <c r="J25" s="469" t="s">
        <v>151</v>
      </c>
      <c r="K25" s="62">
        <v>2.6</v>
      </c>
      <c r="L25" s="469" t="s">
        <v>152</v>
      </c>
      <c r="M25" s="63">
        <v>2.8</v>
      </c>
      <c r="N25" s="56">
        <v>6</v>
      </c>
      <c r="O25" s="53">
        <f t="shared" si="0"/>
        <v>0</v>
      </c>
      <c r="P25" s="53">
        <f t="shared" si="1"/>
        <v>6</v>
      </c>
      <c r="Q25" s="53">
        <f t="shared" si="2"/>
        <v>0</v>
      </c>
      <c r="R25" s="53">
        <f t="shared" si="3"/>
        <v>0</v>
      </c>
      <c r="S25" s="64" t="str">
        <f t="shared" si="4"/>
        <v>0:00 - 4:00</v>
      </c>
      <c r="T25" s="64" t="str">
        <f t="shared" si="5"/>
        <v>4:00 - 8:00</v>
      </c>
      <c r="U25" s="64" t="str">
        <f t="shared" si="6"/>
        <v>8:00 - 12:00</v>
      </c>
      <c r="V25" s="64" t="str">
        <f t="shared" si="7"/>
        <v>12:00 - 16:00</v>
      </c>
      <c r="W25" s="64" t="str">
        <f t="shared" si="8"/>
        <v>16:00 - 20:00</v>
      </c>
      <c r="X25" s="64" t="str">
        <f t="shared" si="9"/>
        <v>20:00 - 0:00</v>
      </c>
      <c r="Y25" s="53">
        <f t="shared" si="10"/>
        <v>0</v>
      </c>
    </row>
    <row r="26" spans="1:25" x14ac:dyDescent="0.4">
      <c r="A26" s="468">
        <v>14</v>
      </c>
      <c r="B26" s="469" t="s">
        <v>147</v>
      </c>
      <c r="C26" s="62">
        <v>2.6</v>
      </c>
      <c r="D26" s="469" t="s">
        <v>148</v>
      </c>
      <c r="E26" s="62">
        <v>1.9</v>
      </c>
      <c r="F26" s="469" t="s">
        <v>149</v>
      </c>
      <c r="G26" s="62">
        <v>2.6</v>
      </c>
      <c r="H26" s="469" t="s">
        <v>150</v>
      </c>
      <c r="I26" s="62">
        <v>2.5</v>
      </c>
      <c r="J26" s="469" t="s">
        <v>151</v>
      </c>
      <c r="K26" s="62">
        <v>2.4</v>
      </c>
      <c r="L26" s="469" t="s">
        <v>152</v>
      </c>
      <c r="M26" s="63">
        <v>2.8</v>
      </c>
      <c r="N26" s="56">
        <v>6</v>
      </c>
      <c r="O26" s="53">
        <f t="shared" si="0"/>
        <v>0</v>
      </c>
      <c r="P26" s="53">
        <f t="shared" si="1"/>
        <v>6</v>
      </c>
      <c r="Q26" s="53">
        <f t="shared" si="2"/>
        <v>0</v>
      </c>
      <c r="R26" s="53">
        <f t="shared" si="3"/>
        <v>0</v>
      </c>
      <c r="S26" s="64" t="str">
        <f t="shared" si="4"/>
        <v>0:00 - 4:00</v>
      </c>
      <c r="T26" s="64" t="str">
        <f t="shared" si="5"/>
        <v>4:00 - 8:00</v>
      </c>
      <c r="U26" s="64" t="str">
        <f t="shared" si="6"/>
        <v>8:00 - 12:00</v>
      </c>
      <c r="V26" s="64" t="str">
        <f t="shared" si="7"/>
        <v>12:00 - 16:00</v>
      </c>
      <c r="W26" s="64" t="str">
        <f t="shared" si="8"/>
        <v>16:00 - 20:00</v>
      </c>
      <c r="X26" s="64" t="str">
        <f t="shared" si="9"/>
        <v>20:00 - 0:00</v>
      </c>
      <c r="Y26" s="53">
        <f t="shared" si="10"/>
        <v>0</v>
      </c>
    </row>
    <row r="27" spans="1:25" x14ac:dyDescent="0.4">
      <c r="A27" s="468">
        <v>15</v>
      </c>
      <c r="B27" s="469" t="s">
        <v>147</v>
      </c>
      <c r="C27" s="62">
        <v>2.7</v>
      </c>
      <c r="D27" s="469" t="s">
        <v>148</v>
      </c>
      <c r="E27" s="62">
        <v>2.2999999999999998</v>
      </c>
      <c r="F27" s="469" t="s">
        <v>149</v>
      </c>
      <c r="G27" s="62">
        <v>2.8</v>
      </c>
      <c r="H27" s="469" t="s">
        <v>150</v>
      </c>
      <c r="I27" s="62">
        <v>2.6</v>
      </c>
      <c r="J27" s="469" t="s">
        <v>151</v>
      </c>
      <c r="K27" s="62">
        <v>2.8</v>
      </c>
      <c r="L27" s="469" t="s">
        <v>152</v>
      </c>
      <c r="M27" s="63">
        <v>2.6</v>
      </c>
      <c r="N27" s="56">
        <v>6</v>
      </c>
      <c r="O27" s="53">
        <f t="shared" si="0"/>
        <v>0</v>
      </c>
      <c r="P27" s="53">
        <f t="shared" si="1"/>
        <v>6</v>
      </c>
      <c r="Q27" s="53">
        <f t="shared" si="2"/>
        <v>0</v>
      </c>
      <c r="R27" s="53">
        <f t="shared" si="3"/>
        <v>0</v>
      </c>
      <c r="S27" s="64" t="str">
        <f t="shared" si="4"/>
        <v>0:00 - 4:00</v>
      </c>
      <c r="T27" s="64" t="str">
        <f t="shared" si="5"/>
        <v>4:00 - 8:00</v>
      </c>
      <c r="U27" s="64" t="str">
        <f t="shared" si="6"/>
        <v>8:00 - 12:00</v>
      </c>
      <c r="V27" s="64" t="str">
        <f t="shared" si="7"/>
        <v>12:00 - 16:00</v>
      </c>
      <c r="W27" s="64" t="str">
        <f t="shared" si="8"/>
        <v>16:00 - 20:00</v>
      </c>
      <c r="X27" s="64" t="str">
        <f t="shared" si="9"/>
        <v>20:00 - 0:00</v>
      </c>
      <c r="Y27" s="53">
        <f t="shared" si="10"/>
        <v>0</v>
      </c>
    </row>
    <row r="28" spans="1:25" x14ac:dyDescent="0.4">
      <c r="A28" s="468">
        <v>16</v>
      </c>
      <c r="B28" s="469" t="s">
        <v>147</v>
      </c>
      <c r="C28" s="62">
        <v>2.5</v>
      </c>
      <c r="D28" s="469" t="s">
        <v>148</v>
      </c>
      <c r="E28" s="62">
        <v>2.8</v>
      </c>
      <c r="F28" s="469" t="s">
        <v>149</v>
      </c>
      <c r="G28" s="62">
        <v>2.8</v>
      </c>
      <c r="H28" s="469" t="s">
        <v>150</v>
      </c>
      <c r="I28" s="62">
        <v>2.8</v>
      </c>
      <c r="J28" s="469" t="s">
        <v>151</v>
      </c>
      <c r="K28" s="62">
        <v>2.6</v>
      </c>
      <c r="L28" s="469" t="s">
        <v>152</v>
      </c>
      <c r="M28" s="63">
        <v>2.7</v>
      </c>
      <c r="N28" s="56">
        <v>6</v>
      </c>
      <c r="O28" s="53">
        <f t="shared" si="0"/>
        <v>0</v>
      </c>
      <c r="P28" s="53">
        <f t="shared" si="1"/>
        <v>6</v>
      </c>
      <c r="Q28" s="53">
        <f t="shared" si="2"/>
        <v>0</v>
      </c>
      <c r="R28" s="53">
        <f t="shared" si="3"/>
        <v>0</v>
      </c>
      <c r="S28" s="64" t="str">
        <f t="shared" si="4"/>
        <v>0:00 - 4:00</v>
      </c>
      <c r="T28" s="64" t="str">
        <f t="shared" si="5"/>
        <v>4:00 - 8:00</v>
      </c>
      <c r="U28" s="64" t="str">
        <f t="shared" si="6"/>
        <v>8:00 - 12:00</v>
      </c>
      <c r="V28" s="64" t="str">
        <f t="shared" si="7"/>
        <v>12:00 - 16:00</v>
      </c>
      <c r="W28" s="64" t="str">
        <f t="shared" si="8"/>
        <v>16:00 - 20:00</v>
      </c>
      <c r="X28" s="64" t="str">
        <f t="shared" si="9"/>
        <v>20:00 - 0:00</v>
      </c>
      <c r="Y28" s="53">
        <f t="shared" si="10"/>
        <v>0</v>
      </c>
    </row>
    <row r="29" spans="1:25" x14ac:dyDescent="0.4">
      <c r="A29" s="468">
        <v>17</v>
      </c>
      <c r="B29" s="469" t="s">
        <v>147</v>
      </c>
      <c r="C29" s="62">
        <v>2.6</v>
      </c>
      <c r="D29" s="469" t="s">
        <v>148</v>
      </c>
      <c r="E29" s="62">
        <v>2.5</v>
      </c>
      <c r="F29" s="469" t="s">
        <v>149</v>
      </c>
      <c r="G29" s="62">
        <v>2.6</v>
      </c>
      <c r="H29" s="469" t="s">
        <v>150</v>
      </c>
      <c r="I29" s="62">
        <v>3</v>
      </c>
      <c r="J29" s="469" t="s">
        <v>151</v>
      </c>
      <c r="K29" s="62">
        <v>3.1</v>
      </c>
      <c r="L29" s="469" t="s">
        <v>152</v>
      </c>
      <c r="M29" s="63">
        <v>3.5</v>
      </c>
      <c r="N29" s="56">
        <v>6</v>
      </c>
      <c r="O29" s="53">
        <f t="shared" si="0"/>
        <v>0</v>
      </c>
      <c r="P29" s="53">
        <f t="shared" si="1"/>
        <v>6</v>
      </c>
      <c r="Q29" s="53">
        <f t="shared" si="2"/>
        <v>0</v>
      </c>
      <c r="R29" s="53">
        <f t="shared" si="3"/>
        <v>0</v>
      </c>
      <c r="S29" s="64" t="str">
        <f t="shared" si="4"/>
        <v>0:00 - 4:00</v>
      </c>
      <c r="T29" s="64" t="str">
        <f t="shared" si="5"/>
        <v>4:00 - 8:00</v>
      </c>
      <c r="U29" s="64" t="str">
        <f t="shared" si="6"/>
        <v>8:00 - 12:00</v>
      </c>
      <c r="V29" s="64" t="str">
        <f t="shared" si="7"/>
        <v>12:00 - 16:00</v>
      </c>
      <c r="W29" s="64" t="str">
        <f t="shared" si="8"/>
        <v>16:00 - 20:00</v>
      </c>
      <c r="X29" s="64" t="str">
        <f t="shared" si="9"/>
        <v>20:00 - 0:00</v>
      </c>
      <c r="Y29" s="53">
        <f t="shared" si="10"/>
        <v>0</v>
      </c>
    </row>
    <row r="30" spans="1:25" x14ac:dyDescent="0.4">
      <c r="A30" s="468">
        <v>18</v>
      </c>
      <c r="B30" s="469" t="s">
        <v>147</v>
      </c>
      <c r="C30" s="62">
        <v>3.2</v>
      </c>
      <c r="D30" s="469" t="s">
        <v>148</v>
      </c>
      <c r="E30" s="62">
        <v>3.4</v>
      </c>
      <c r="F30" s="469" t="s">
        <v>149</v>
      </c>
      <c r="G30" s="62">
        <v>3</v>
      </c>
      <c r="H30" s="469" t="s">
        <v>150</v>
      </c>
      <c r="I30" s="62">
        <v>2.5</v>
      </c>
      <c r="J30" s="469" t="s">
        <v>151</v>
      </c>
      <c r="K30" s="62">
        <v>2.4</v>
      </c>
      <c r="L30" s="469" t="s">
        <v>152</v>
      </c>
      <c r="M30" s="63">
        <v>2.4</v>
      </c>
      <c r="N30" s="56">
        <v>6</v>
      </c>
      <c r="O30" s="53">
        <f t="shared" si="0"/>
        <v>0</v>
      </c>
      <c r="P30" s="53">
        <f t="shared" si="1"/>
        <v>6</v>
      </c>
      <c r="Q30" s="53">
        <f t="shared" si="2"/>
        <v>0</v>
      </c>
      <c r="R30" s="53">
        <f t="shared" si="3"/>
        <v>0</v>
      </c>
      <c r="S30" s="64" t="str">
        <f t="shared" si="4"/>
        <v>0:00 - 4:00</v>
      </c>
      <c r="T30" s="64" t="str">
        <f t="shared" si="5"/>
        <v>4:00 - 8:00</v>
      </c>
      <c r="U30" s="64" t="str">
        <f t="shared" si="6"/>
        <v>8:00 - 12:00</v>
      </c>
      <c r="V30" s="64" t="str">
        <f t="shared" si="7"/>
        <v>12:00 - 16:00</v>
      </c>
      <c r="W30" s="64" t="str">
        <f t="shared" si="8"/>
        <v>16:00 - 20:00</v>
      </c>
      <c r="X30" s="64" t="str">
        <f t="shared" si="9"/>
        <v>20:00 - 0:00</v>
      </c>
      <c r="Y30" s="53">
        <f t="shared" si="10"/>
        <v>0</v>
      </c>
    </row>
    <row r="31" spans="1:25" x14ac:dyDescent="0.4">
      <c r="A31" s="468">
        <v>19</v>
      </c>
      <c r="B31" s="469" t="s">
        <v>147</v>
      </c>
      <c r="C31" s="62">
        <v>2.4</v>
      </c>
      <c r="D31" s="469" t="s">
        <v>148</v>
      </c>
      <c r="E31" s="62">
        <v>2.5</v>
      </c>
      <c r="F31" s="469" t="s">
        <v>149</v>
      </c>
      <c r="G31" s="62">
        <v>2.7</v>
      </c>
      <c r="H31" s="469" t="s">
        <v>150</v>
      </c>
      <c r="I31" s="62">
        <v>2.7</v>
      </c>
      <c r="J31" s="469" t="s">
        <v>151</v>
      </c>
      <c r="K31" s="62">
        <v>2.1</v>
      </c>
      <c r="L31" s="469" t="s">
        <v>152</v>
      </c>
      <c r="M31" s="63">
        <v>2.5</v>
      </c>
      <c r="N31" s="56">
        <v>6</v>
      </c>
      <c r="O31" s="53">
        <f t="shared" si="0"/>
        <v>0</v>
      </c>
      <c r="P31" s="53">
        <f t="shared" si="1"/>
        <v>6</v>
      </c>
      <c r="Q31" s="53">
        <f t="shared" si="2"/>
        <v>0</v>
      </c>
      <c r="R31" s="53">
        <f t="shared" si="3"/>
        <v>0</v>
      </c>
      <c r="S31" s="64" t="str">
        <f t="shared" si="4"/>
        <v>0:00 - 4:00</v>
      </c>
      <c r="T31" s="64" t="str">
        <f t="shared" si="5"/>
        <v>4:00 - 8:00</v>
      </c>
      <c r="U31" s="64" t="str">
        <f t="shared" si="6"/>
        <v>8:00 - 12:00</v>
      </c>
      <c r="V31" s="64" t="str">
        <f t="shared" si="7"/>
        <v>12:00 - 16:00</v>
      </c>
      <c r="W31" s="64" t="str">
        <f t="shared" si="8"/>
        <v>16:00 - 20:00</v>
      </c>
      <c r="X31" s="64" t="str">
        <f t="shared" si="9"/>
        <v>20:00 - 0:00</v>
      </c>
      <c r="Y31" s="53">
        <f t="shared" si="10"/>
        <v>0</v>
      </c>
    </row>
    <row r="32" spans="1:25" x14ac:dyDescent="0.4">
      <c r="A32" s="468">
        <v>20</v>
      </c>
      <c r="B32" s="469" t="s">
        <v>147</v>
      </c>
      <c r="C32" s="62">
        <v>2.8</v>
      </c>
      <c r="D32" s="469" t="s">
        <v>148</v>
      </c>
      <c r="E32" s="62">
        <v>2.7</v>
      </c>
      <c r="F32" s="469" t="s">
        <v>149</v>
      </c>
      <c r="G32" s="62">
        <v>2.8</v>
      </c>
      <c r="H32" s="469" t="s">
        <v>150</v>
      </c>
      <c r="I32" s="62">
        <v>2.5</v>
      </c>
      <c r="J32" s="469" t="s">
        <v>151</v>
      </c>
      <c r="K32" s="62">
        <v>2.7</v>
      </c>
      <c r="L32" s="469" t="s">
        <v>152</v>
      </c>
      <c r="M32" s="63">
        <v>2.4</v>
      </c>
      <c r="N32" s="56">
        <v>6</v>
      </c>
      <c r="O32" s="53">
        <f t="shared" si="0"/>
        <v>0</v>
      </c>
      <c r="P32" s="53">
        <f t="shared" si="1"/>
        <v>6</v>
      </c>
      <c r="Q32" s="53">
        <f t="shared" si="2"/>
        <v>0</v>
      </c>
      <c r="R32" s="53">
        <f t="shared" si="3"/>
        <v>0</v>
      </c>
      <c r="S32" s="64" t="str">
        <f t="shared" si="4"/>
        <v>0:00 - 4:00</v>
      </c>
      <c r="T32" s="64" t="str">
        <f t="shared" si="5"/>
        <v>4:00 - 8:00</v>
      </c>
      <c r="U32" s="64" t="str">
        <f t="shared" si="6"/>
        <v>8:00 - 12:00</v>
      </c>
      <c r="V32" s="64" t="str">
        <f t="shared" si="7"/>
        <v>12:00 - 16:00</v>
      </c>
      <c r="W32" s="64" t="str">
        <f t="shared" si="8"/>
        <v>16:00 - 20:00</v>
      </c>
      <c r="X32" s="64" t="str">
        <f t="shared" si="9"/>
        <v>20:00 - 0:00</v>
      </c>
      <c r="Y32" s="53">
        <f t="shared" si="10"/>
        <v>0</v>
      </c>
    </row>
    <row r="33" spans="1:25" x14ac:dyDescent="0.4">
      <c r="A33" s="468">
        <v>21</v>
      </c>
      <c r="B33" s="469" t="s">
        <v>147</v>
      </c>
      <c r="C33" s="62">
        <v>2.2999999999999998</v>
      </c>
      <c r="D33" s="469" t="s">
        <v>148</v>
      </c>
      <c r="E33" s="62">
        <v>2.5</v>
      </c>
      <c r="F33" s="469" t="s">
        <v>149</v>
      </c>
      <c r="G33" s="62">
        <v>2.7</v>
      </c>
      <c r="H33" s="469" t="s">
        <v>150</v>
      </c>
      <c r="I33" s="62">
        <v>2.5</v>
      </c>
      <c r="J33" s="469" t="s">
        <v>151</v>
      </c>
      <c r="K33" s="62">
        <v>2.6</v>
      </c>
      <c r="L33" s="469" t="s">
        <v>152</v>
      </c>
      <c r="M33" s="63">
        <v>2.6</v>
      </c>
      <c r="N33" s="56">
        <v>6</v>
      </c>
      <c r="O33" s="53">
        <f t="shared" si="0"/>
        <v>0</v>
      </c>
      <c r="P33" s="53">
        <f t="shared" si="1"/>
        <v>6</v>
      </c>
      <c r="Q33" s="53">
        <f t="shared" si="2"/>
        <v>0</v>
      </c>
      <c r="R33" s="53">
        <f t="shared" si="3"/>
        <v>0</v>
      </c>
      <c r="S33" s="64" t="str">
        <f t="shared" si="4"/>
        <v>0:00 - 4:00</v>
      </c>
      <c r="T33" s="64" t="str">
        <f t="shared" si="5"/>
        <v>4:00 - 8:00</v>
      </c>
      <c r="U33" s="64" t="str">
        <f t="shared" si="6"/>
        <v>8:00 - 12:00</v>
      </c>
      <c r="V33" s="64" t="str">
        <f t="shared" si="7"/>
        <v>12:00 - 16:00</v>
      </c>
      <c r="W33" s="64" t="str">
        <f t="shared" si="8"/>
        <v>16:00 - 20:00</v>
      </c>
      <c r="X33" s="64" t="str">
        <f t="shared" si="9"/>
        <v>20:00 - 0:00</v>
      </c>
      <c r="Y33" s="53">
        <f t="shared" si="10"/>
        <v>0</v>
      </c>
    </row>
    <row r="34" spans="1:25" x14ac:dyDescent="0.4">
      <c r="A34" s="468">
        <v>22</v>
      </c>
      <c r="B34" s="469" t="s">
        <v>147</v>
      </c>
      <c r="C34" s="62">
        <v>2.2000000000000002</v>
      </c>
      <c r="D34" s="469" t="s">
        <v>148</v>
      </c>
      <c r="E34" s="62">
        <v>2.5</v>
      </c>
      <c r="F34" s="469" t="s">
        <v>149</v>
      </c>
      <c r="G34" s="62">
        <v>2.7</v>
      </c>
      <c r="H34" s="469" t="s">
        <v>150</v>
      </c>
      <c r="I34" s="62">
        <v>2.1</v>
      </c>
      <c r="J34" s="469" t="s">
        <v>151</v>
      </c>
      <c r="K34" s="62">
        <v>2.5</v>
      </c>
      <c r="L34" s="469" t="s">
        <v>152</v>
      </c>
      <c r="M34" s="63">
        <v>2.7</v>
      </c>
      <c r="N34" s="56">
        <v>6</v>
      </c>
      <c r="O34" s="53">
        <f t="shared" si="0"/>
        <v>0</v>
      </c>
      <c r="P34" s="53">
        <f t="shared" si="1"/>
        <v>6</v>
      </c>
      <c r="Q34" s="53">
        <f t="shared" si="2"/>
        <v>0</v>
      </c>
      <c r="R34" s="53">
        <f t="shared" si="3"/>
        <v>0</v>
      </c>
      <c r="S34" s="64" t="str">
        <f t="shared" si="4"/>
        <v>0:00 - 4:00</v>
      </c>
      <c r="T34" s="64" t="str">
        <f t="shared" si="5"/>
        <v>4:00 - 8:00</v>
      </c>
      <c r="U34" s="64" t="str">
        <f t="shared" si="6"/>
        <v>8:00 - 12:00</v>
      </c>
      <c r="V34" s="64" t="str">
        <f t="shared" si="7"/>
        <v>12:00 - 16:00</v>
      </c>
      <c r="W34" s="64" t="str">
        <f t="shared" si="8"/>
        <v>16:00 - 20:00</v>
      </c>
      <c r="X34" s="64" t="str">
        <f t="shared" si="9"/>
        <v>20:00 - 0:00</v>
      </c>
      <c r="Y34" s="53">
        <f t="shared" si="10"/>
        <v>0</v>
      </c>
    </row>
    <row r="35" spans="1:25" x14ac:dyDescent="0.4">
      <c r="A35" s="468">
        <v>23</v>
      </c>
      <c r="B35" s="469" t="s">
        <v>147</v>
      </c>
      <c r="C35" s="62">
        <v>2.4</v>
      </c>
      <c r="D35" s="469" t="s">
        <v>148</v>
      </c>
      <c r="E35" s="62">
        <v>2.8</v>
      </c>
      <c r="F35" s="469" t="s">
        <v>149</v>
      </c>
      <c r="G35" s="62">
        <v>2.8</v>
      </c>
      <c r="H35" s="469" t="s">
        <v>150</v>
      </c>
      <c r="I35" s="62">
        <v>2.8</v>
      </c>
      <c r="J35" s="469" t="s">
        <v>151</v>
      </c>
      <c r="K35" s="62">
        <v>2.5</v>
      </c>
      <c r="L35" s="469" t="s">
        <v>152</v>
      </c>
      <c r="M35" s="63">
        <v>2.7</v>
      </c>
      <c r="N35" s="56">
        <v>6</v>
      </c>
      <c r="O35" s="53">
        <f t="shared" si="0"/>
        <v>0</v>
      </c>
      <c r="P35" s="53">
        <f t="shared" si="1"/>
        <v>6</v>
      </c>
      <c r="Q35" s="53">
        <f t="shared" si="2"/>
        <v>0</v>
      </c>
      <c r="R35" s="53">
        <f t="shared" si="3"/>
        <v>0</v>
      </c>
      <c r="S35" s="64" t="str">
        <f t="shared" si="4"/>
        <v>0:00 - 4:00</v>
      </c>
      <c r="T35" s="64" t="str">
        <f t="shared" si="5"/>
        <v>4:00 - 8:00</v>
      </c>
      <c r="U35" s="64" t="str">
        <f t="shared" si="6"/>
        <v>8:00 - 12:00</v>
      </c>
      <c r="V35" s="64" t="str">
        <f t="shared" si="7"/>
        <v>12:00 - 16:00</v>
      </c>
      <c r="W35" s="64" t="str">
        <f t="shared" si="8"/>
        <v>16:00 - 20:00</v>
      </c>
      <c r="X35" s="64" t="str">
        <f t="shared" si="9"/>
        <v>20:00 - 0:00</v>
      </c>
      <c r="Y35" s="53">
        <f t="shared" si="10"/>
        <v>0</v>
      </c>
    </row>
    <row r="36" spans="1:25" x14ac:dyDescent="0.4">
      <c r="A36" s="468">
        <v>24</v>
      </c>
      <c r="B36" s="469" t="s">
        <v>147</v>
      </c>
      <c r="C36" s="62">
        <v>2.6</v>
      </c>
      <c r="D36" s="469" t="s">
        <v>148</v>
      </c>
      <c r="E36" s="62">
        <v>2.7</v>
      </c>
      <c r="F36" s="469" t="s">
        <v>149</v>
      </c>
      <c r="G36" s="62">
        <v>2.7</v>
      </c>
      <c r="H36" s="469" t="s">
        <v>150</v>
      </c>
      <c r="I36" s="62">
        <v>2.7</v>
      </c>
      <c r="J36" s="469" t="s">
        <v>151</v>
      </c>
      <c r="K36" s="62">
        <v>2.4</v>
      </c>
      <c r="L36" s="469" t="s">
        <v>152</v>
      </c>
      <c r="M36" s="63">
        <v>2.6</v>
      </c>
      <c r="N36" s="56">
        <v>6</v>
      </c>
      <c r="O36" s="53">
        <f t="shared" si="0"/>
        <v>0</v>
      </c>
      <c r="P36" s="53">
        <f t="shared" si="1"/>
        <v>6</v>
      </c>
      <c r="Q36" s="53">
        <f t="shared" si="2"/>
        <v>0</v>
      </c>
      <c r="R36" s="53">
        <f t="shared" si="3"/>
        <v>0</v>
      </c>
      <c r="S36" s="64" t="str">
        <f t="shared" si="4"/>
        <v>0:00 - 4:00</v>
      </c>
      <c r="T36" s="64" t="str">
        <f t="shared" si="5"/>
        <v>4:00 - 8:00</v>
      </c>
      <c r="U36" s="64" t="str">
        <f t="shared" si="6"/>
        <v>8:00 - 12:00</v>
      </c>
      <c r="V36" s="64" t="str">
        <f t="shared" si="7"/>
        <v>12:00 - 16:00</v>
      </c>
      <c r="W36" s="64" t="str">
        <f t="shared" si="8"/>
        <v>16:00 - 20:00</v>
      </c>
      <c r="X36" s="64" t="str">
        <f t="shared" si="9"/>
        <v>20:00 - 0:00</v>
      </c>
      <c r="Y36" s="53">
        <f t="shared" si="10"/>
        <v>0</v>
      </c>
    </row>
    <row r="37" spans="1:25" x14ac:dyDescent="0.4">
      <c r="A37" s="468">
        <v>25</v>
      </c>
      <c r="B37" s="469" t="s">
        <v>147</v>
      </c>
      <c r="C37" s="62">
        <v>2.7</v>
      </c>
      <c r="D37" s="469" t="s">
        <v>148</v>
      </c>
      <c r="E37" s="62">
        <v>2.6</v>
      </c>
      <c r="F37" s="469" t="s">
        <v>149</v>
      </c>
      <c r="G37" s="62">
        <v>2.9</v>
      </c>
      <c r="H37" s="469" t="s">
        <v>150</v>
      </c>
      <c r="I37" s="62">
        <v>2.9</v>
      </c>
      <c r="J37" s="469" t="s">
        <v>151</v>
      </c>
      <c r="K37" s="62">
        <v>2.7</v>
      </c>
      <c r="L37" s="469" t="s">
        <v>152</v>
      </c>
      <c r="M37" s="63">
        <v>2.6</v>
      </c>
      <c r="N37" s="56">
        <v>6</v>
      </c>
      <c r="O37" s="53">
        <f t="shared" si="0"/>
        <v>0</v>
      </c>
      <c r="P37" s="53">
        <f t="shared" si="1"/>
        <v>6</v>
      </c>
      <c r="Q37" s="53">
        <f t="shared" si="2"/>
        <v>0</v>
      </c>
      <c r="R37" s="53">
        <f t="shared" si="3"/>
        <v>0</v>
      </c>
      <c r="S37" s="64" t="str">
        <f t="shared" si="4"/>
        <v>0:00 - 4:00</v>
      </c>
      <c r="T37" s="64" t="str">
        <f t="shared" si="5"/>
        <v>4:00 - 8:00</v>
      </c>
      <c r="U37" s="64" t="str">
        <f t="shared" si="6"/>
        <v>8:00 - 12:00</v>
      </c>
      <c r="V37" s="64" t="str">
        <f t="shared" si="7"/>
        <v>12:00 - 16:00</v>
      </c>
      <c r="W37" s="64" t="str">
        <f t="shared" si="8"/>
        <v>16:00 - 20:00</v>
      </c>
      <c r="X37" s="64" t="str">
        <f t="shared" si="9"/>
        <v>20:00 - 0:00</v>
      </c>
      <c r="Y37" s="53">
        <f t="shared" si="10"/>
        <v>0</v>
      </c>
    </row>
    <row r="38" spans="1:25" x14ac:dyDescent="0.4">
      <c r="A38" s="468">
        <v>26</v>
      </c>
      <c r="B38" s="469" t="s">
        <v>147</v>
      </c>
      <c r="C38" s="62">
        <v>2.6</v>
      </c>
      <c r="D38" s="469" t="s">
        <v>148</v>
      </c>
      <c r="E38" s="62">
        <v>2.6</v>
      </c>
      <c r="F38" s="469" t="s">
        <v>149</v>
      </c>
      <c r="G38" s="62">
        <v>2.6</v>
      </c>
      <c r="H38" s="469" t="s">
        <v>150</v>
      </c>
      <c r="I38" s="62">
        <v>2.6</v>
      </c>
      <c r="J38" s="469" t="s">
        <v>151</v>
      </c>
      <c r="K38" s="62">
        <v>2.4</v>
      </c>
      <c r="L38" s="469" t="s">
        <v>152</v>
      </c>
      <c r="M38" s="63">
        <v>2.5</v>
      </c>
      <c r="N38" s="56">
        <v>6</v>
      </c>
      <c r="O38" s="53">
        <f t="shared" si="0"/>
        <v>0</v>
      </c>
      <c r="P38" s="53">
        <f t="shared" si="1"/>
        <v>6</v>
      </c>
      <c r="Q38" s="53">
        <f t="shared" si="2"/>
        <v>0</v>
      </c>
      <c r="R38" s="53">
        <f t="shared" si="3"/>
        <v>0</v>
      </c>
      <c r="S38" s="64" t="str">
        <f t="shared" si="4"/>
        <v>0:00 - 4:00</v>
      </c>
      <c r="T38" s="64" t="str">
        <f t="shared" si="5"/>
        <v>4:00 - 8:00</v>
      </c>
      <c r="U38" s="64" t="str">
        <f t="shared" si="6"/>
        <v>8:00 - 12:00</v>
      </c>
      <c r="V38" s="64" t="str">
        <f t="shared" si="7"/>
        <v>12:00 - 16:00</v>
      </c>
      <c r="W38" s="64" t="str">
        <f t="shared" si="8"/>
        <v>16:00 - 20:00</v>
      </c>
      <c r="X38" s="64" t="str">
        <f t="shared" si="9"/>
        <v>20:00 - 0:00</v>
      </c>
      <c r="Y38" s="53">
        <f t="shared" si="10"/>
        <v>0</v>
      </c>
    </row>
    <row r="39" spans="1:25" x14ac:dyDescent="0.4">
      <c r="A39" s="468">
        <v>27</v>
      </c>
      <c r="B39" s="469" t="s">
        <v>147</v>
      </c>
      <c r="C39" s="62">
        <v>2.4</v>
      </c>
      <c r="D39" s="469" t="s">
        <v>148</v>
      </c>
      <c r="E39" s="62">
        <v>2.5</v>
      </c>
      <c r="F39" s="469" t="s">
        <v>149</v>
      </c>
      <c r="G39" s="62">
        <v>2.6</v>
      </c>
      <c r="H39" s="469" t="s">
        <v>150</v>
      </c>
      <c r="I39" s="62">
        <v>2.7</v>
      </c>
      <c r="J39" s="469" t="s">
        <v>151</v>
      </c>
      <c r="K39" s="62">
        <v>2.7</v>
      </c>
      <c r="L39" s="469" t="s">
        <v>152</v>
      </c>
      <c r="M39" s="63">
        <v>2.8</v>
      </c>
      <c r="N39" s="56">
        <v>6</v>
      </c>
      <c r="O39" s="53">
        <f t="shared" si="0"/>
        <v>0</v>
      </c>
      <c r="P39" s="53">
        <f t="shared" si="1"/>
        <v>6</v>
      </c>
      <c r="Q39" s="53">
        <f t="shared" si="2"/>
        <v>0</v>
      </c>
      <c r="R39" s="53">
        <f t="shared" si="3"/>
        <v>0</v>
      </c>
      <c r="S39" s="64" t="str">
        <f t="shared" si="4"/>
        <v>0:00 - 4:00</v>
      </c>
      <c r="T39" s="64" t="str">
        <f t="shared" si="5"/>
        <v>4:00 - 8:00</v>
      </c>
      <c r="U39" s="64" t="str">
        <f t="shared" si="6"/>
        <v>8:00 - 12:00</v>
      </c>
      <c r="V39" s="64" t="str">
        <f t="shared" si="7"/>
        <v>12:00 - 16:00</v>
      </c>
      <c r="W39" s="64" t="str">
        <f t="shared" si="8"/>
        <v>16:00 - 20:00</v>
      </c>
      <c r="X39" s="64" t="str">
        <f t="shared" si="9"/>
        <v>20:00 - 0:00</v>
      </c>
      <c r="Y39" s="53">
        <f t="shared" si="10"/>
        <v>0</v>
      </c>
    </row>
    <row r="40" spans="1:25" x14ac:dyDescent="0.4">
      <c r="A40" s="468">
        <v>28</v>
      </c>
      <c r="B40" s="469" t="s">
        <v>147</v>
      </c>
      <c r="C40" s="62">
        <v>2.7</v>
      </c>
      <c r="D40" s="469" t="s">
        <v>148</v>
      </c>
      <c r="E40" s="62">
        <v>3</v>
      </c>
      <c r="F40" s="469" t="s">
        <v>149</v>
      </c>
      <c r="G40" s="62">
        <v>2.9</v>
      </c>
      <c r="H40" s="469" t="s">
        <v>150</v>
      </c>
      <c r="I40" s="62">
        <v>2.6</v>
      </c>
      <c r="J40" s="469" t="s">
        <v>151</v>
      </c>
      <c r="K40" s="62">
        <v>2.5</v>
      </c>
      <c r="L40" s="469" t="s">
        <v>152</v>
      </c>
      <c r="M40" s="63">
        <v>2.6</v>
      </c>
      <c r="N40" s="56">
        <v>6</v>
      </c>
      <c r="O40" s="53">
        <f t="shared" si="0"/>
        <v>0</v>
      </c>
      <c r="P40" s="53">
        <f t="shared" si="1"/>
        <v>6</v>
      </c>
      <c r="Q40" s="53">
        <f t="shared" si="2"/>
        <v>0</v>
      </c>
      <c r="R40" s="53">
        <f t="shared" si="3"/>
        <v>0</v>
      </c>
      <c r="S40" s="64" t="str">
        <f t="shared" si="4"/>
        <v>0:00 - 4:00</v>
      </c>
      <c r="T40" s="64" t="str">
        <f t="shared" si="5"/>
        <v>4:00 - 8:00</v>
      </c>
      <c r="U40" s="64" t="str">
        <f t="shared" si="6"/>
        <v>8:00 - 12:00</v>
      </c>
      <c r="V40" s="64" t="str">
        <f t="shared" si="7"/>
        <v>12:00 - 16:00</v>
      </c>
      <c r="W40" s="64" t="str">
        <f t="shared" si="8"/>
        <v>16:00 - 20:00</v>
      </c>
      <c r="X40" s="64" t="str">
        <f t="shared" si="9"/>
        <v>20:00 - 0:00</v>
      </c>
      <c r="Y40" s="53">
        <f t="shared" si="10"/>
        <v>0</v>
      </c>
    </row>
    <row r="41" spans="1:25" x14ac:dyDescent="0.4">
      <c r="A41" s="468">
        <v>29</v>
      </c>
      <c r="B41" s="469" t="s">
        <v>147</v>
      </c>
      <c r="C41" s="62">
        <v>2.7</v>
      </c>
      <c r="D41" s="469" t="s">
        <v>148</v>
      </c>
      <c r="E41" s="62">
        <v>2.8</v>
      </c>
      <c r="F41" s="469" t="s">
        <v>149</v>
      </c>
      <c r="G41" s="62">
        <v>2.9</v>
      </c>
      <c r="H41" s="469" t="s">
        <v>150</v>
      </c>
      <c r="I41" s="62">
        <v>2.7</v>
      </c>
      <c r="J41" s="469" t="s">
        <v>151</v>
      </c>
      <c r="K41" s="62">
        <v>2.6</v>
      </c>
      <c r="L41" s="469" t="s">
        <v>152</v>
      </c>
      <c r="M41" s="63">
        <v>2.5</v>
      </c>
      <c r="N41" s="56">
        <v>6</v>
      </c>
      <c r="O41" s="53">
        <f t="shared" si="0"/>
        <v>0</v>
      </c>
      <c r="P41" s="53">
        <f t="shared" si="1"/>
        <v>6</v>
      </c>
      <c r="Q41" s="53">
        <f t="shared" si="2"/>
        <v>0</v>
      </c>
      <c r="R41" s="53">
        <f t="shared" si="3"/>
        <v>0</v>
      </c>
      <c r="S41" s="64" t="str">
        <f t="shared" si="4"/>
        <v>0:00 - 4:00</v>
      </c>
      <c r="T41" s="64" t="str">
        <f t="shared" si="5"/>
        <v>4:00 - 8:00</v>
      </c>
      <c r="U41" s="64" t="str">
        <f t="shared" si="6"/>
        <v>8:00 - 12:00</v>
      </c>
      <c r="V41" s="64" t="str">
        <f t="shared" si="7"/>
        <v>12:00 - 16:00</v>
      </c>
      <c r="W41" s="64" t="str">
        <f t="shared" si="8"/>
        <v>16:00 - 20:00</v>
      </c>
      <c r="X41" s="64" t="str">
        <f t="shared" si="9"/>
        <v>20:00 - 0:00</v>
      </c>
      <c r="Y41" s="53">
        <f t="shared" si="10"/>
        <v>0</v>
      </c>
    </row>
    <row r="42" spans="1:25" x14ac:dyDescent="0.4">
      <c r="A42" s="468">
        <v>30</v>
      </c>
      <c r="B42" s="469" t="s">
        <v>147</v>
      </c>
      <c r="C42" s="62">
        <v>2.2999999999999998</v>
      </c>
      <c r="D42" s="469" t="s">
        <v>148</v>
      </c>
      <c r="E42" s="62">
        <v>2.6</v>
      </c>
      <c r="F42" s="469" t="s">
        <v>149</v>
      </c>
      <c r="G42" s="62">
        <v>2.6</v>
      </c>
      <c r="H42" s="469" t="s">
        <v>150</v>
      </c>
      <c r="I42" s="62">
        <v>2.5</v>
      </c>
      <c r="J42" s="469" t="s">
        <v>151</v>
      </c>
      <c r="K42" s="62">
        <v>2.6</v>
      </c>
      <c r="L42" s="469" t="s">
        <v>152</v>
      </c>
      <c r="M42" s="63">
        <v>2.2999999999999998</v>
      </c>
      <c r="N42" s="484">
        <v>6</v>
      </c>
      <c r="O42" s="53">
        <f t="shared" si="0"/>
        <v>0</v>
      </c>
      <c r="P42" s="53">
        <f t="shared" si="1"/>
        <v>6</v>
      </c>
      <c r="Q42" s="53">
        <f t="shared" si="2"/>
        <v>0</v>
      </c>
      <c r="R42" s="53">
        <f t="shared" si="3"/>
        <v>0</v>
      </c>
      <c r="S42" s="64" t="str">
        <f t="shared" si="4"/>
        <v>0:00 - 4:00</v>
      </c>
      <c r="T42" s="64" t="str">
        <f t="shared" si="5"/>
        <v>4:00 - 8:00</v>
      </c>
      <c r="U42" s="64" t="str">
        <f t="shared" si="6"/>
        <v>8:00 - 12:00</v>
      </c>
      <c r="V42" s="64" t="str">
        <f t="shared" si="7"/>
        <v>12:00 - 16:00</v>
      </c>
      <c r="W42" s="64" t="str">
        <f t="shared" si="8"/>
        <v>16:00 - 20:00</v>
      </c>
      <c r="X42" s="64" t="str">
        <f t="shared" si="9"/>
        <v>20:00 - 0:00</v>
      </c>
      <c r="Y42" s="53">
        <f t="shared" si="10"/>
        <v>0</v>
      </c>
    </row>
    <row r="43" spans="1:25" ht="12.6" thickBot="1" x14ac:dyDescent="0.45">
      <c r="A43" s="470">
        <v>31</v>
      </c>
      <c r="B43" s="471" t="s">
        <v>147</v>
      </c>
      <c r="C43" s="65">
        <v>2.6</v>
      </c>
      <c r="D43" s="471" t="s">
        <v>148</v>
      </c>
      <c r="E43" s="65">
        <v>2.5</v>
      </c>
      <c r="F43" s="471" t="s">
        <v>149</v>
      </c>
      <c r="G43" s="65">
        <v>2.6</v>
      </c>
      <c r="H43" s="471" t="s">
        <v>150</v>
      </c>
      <c r="I43" s="65">
        <v>2.7</v>
      </c>
      <c r="J43" s="471" t="s">
        <v>151</v>
      </c>
      <c r="K43" s="65">
        <v>2.6</v>
      </c>
      <c r="L43" s="471" t="s">
        <v>152</v>
      </c>
      <c r="M43" s="66">
        <v>2.5</v>
      </c>
      <c r="N43" s="53">
        <v>6</v>
      </c>
      <c r="O43" s="53">
        <f t="shared" si="0"/>
        <v>0</v>
      </c>
      <c r="P43" s="53">
        <f t="shared" si="1"/>
        <v>6</v>
      </c>
      <c r="Q43" s="53">
        <f t="shared" si="2"/>
        <v>0</v>
      </c>
      <c r="R43" s="53">
        <f t="shared" si="3"/>
        <v>0</v>
      </c>
      <c r="S43" s="64" t="str">
        <f t="shared" si="4"/>
        <v>0:00 - 4:00</v>
      </c>
      <c r="T43" s="64" t="str">
        <f t="shared" si="5"/>
        <v>4:00 - 8:00</v>
      </c>
      <c r="U43" s="64" t="str">
        <f t="shared" si="6"/>
        <v>8:00 - 12:00</v>
      </c>
      <c r="V43" s="64" t="str">
        <f t="shared" si="7"/>
        <v>12:00 - 16:00</v>
      </c>
      <c r="W43" s="64" t="str">
        <f t="shared" si="8"/>
        <v>16:00 - 20:00</v>
      </c>
      <c r="X43" s="64" t="str">
        <f t="shared" si="9"/>
        <v>20:00 - 0:00</v>
      </c>
      <c r="Y43" s="53">
        <f t="shared" si="10"/>
        <v>0</v>
      </c>
    </row>
    <row r="44" spans="1:25" ht="6" customHeight="1" x14ac:dyDescent="0.4">
      <c r="A44" s="335"/>
      <c r="B44" s="335"/>
      <c r="C44" s="485"/>
      <c r="D44" s="335"/>
      <c r="E44" s="335"/>
      <c r="F44" s="335"/>
      <c r="G44" s="485"/>
      <c r="H44" s="335"/>
      <c r="I44" s="335"/>
      <c r="J44" s="335"/>
      <c r="K44" s="335"/>
      <c r="L44" s="335"/>
      <c r="M44" s="335"/>
    </row>
    <row r="45" spans="1:25" x14ac:dyDescent="0.4">
      <c r="A45" s="335" t="s">
        <v>163</v>
      </c>
      <c r="B45" s="335"/>
      <c r="C45" s="486">
        <f>IF(COUNT(rng_InputCells)=0,"",IF(ISERROR(MIN(rng_InputCells)),"N/A",MIN(rng_InputCells)))</f>
        <v>1.8</v>
      </c>
      <c r="D45" s="335"/>
      <c r="E45" s="475" t="s">
        <v>154</v>
      </c>
      <c r="F45" s="475"/>
      <c r="G45" s="486">
        <f>IF(COUNT(rng_InputCells)=0,"",IF(ISERROR(AVERAGE(rng_InputCells)),"N/A",AVERAGE(rng_InputCells)))</f>
        <v>2.6182795698924739</v>
      </c>
      <c r="H45" s="335"/>
      <c r="I45" s="335" t="s">
        <v>155</v>
      </c>
      <c r="J45" s="335"/>
      <c r="K45" s="476">
        <f>IF(COUNT(rng_InputCells)=0,"",IF(ISERROR(COUNT(rng_InputCells)),"N/A",COUNT(rng_InputCells)))</f>
        <v>186</v>
      </c>
      <c r="L45" s="335"/>
      <c r="M45" s="335"/>
      <c r="N45" s="484">
        <f>SUM(N13:N44)</f>
        <v>186</v>
      </c>
      <c r="O45" s="484">
        <f>SUM(O13:O44)</f>
        <v>0</v>
      </c>
      <c r="P45" s="484">
        <f>SUM(P13:P44)</f>
        <v>186</v>
      </c>
      <c r="Q45" s="484">
        <f>SUM(Q13:Q44)</f>
        <v>0</v>
      </c>
      <c r="R45" s="484">
        <f>SUM(R13:R44)</f>
        <v>0</v>
      </c>
      <c r="Y45" s="484">
        <f>SUM(Y13:Y44)</f>
        <v>0</v>
      </c>
    </row>
    <row r="46" spans="1:25" ht="6" customHeight="1" x14ac:dyDescent="0.4">
      <c r="A46" s="335"/>
      <c r="B46" s="335"/>
      <c r="C46" s="335"/>
      <c r="D46" s="335"/>
      <c r="E46" s="335"/>
      <c r="F46" s="335"/>
      <c r="G46" s="335"/>
      <c r="H46" s="335"/>
      <c r="I46" s="335"/>
      <c r="J46" s="335"/>
      <c r="K46" s="335"/>
      <c r="L46" s="335"/>
      <c r="M46" s="335"/>
      <c r="N46" s="208"/>
      <c r="O46" s="208"/>
    </row>
    <row r="47" spans="1:25" x14ac:dyDescent="0.4">
      <c r="A47" s="197" t="s">
        <v>67</v>
      </c>
      <c r="B47" s="197"/>
      <c r="C47" s="335"/>
      <c r="D47" s="335"/>
      <c r="E47" s="335"/>
      <c r="F47" s="335"/>
      <c r="G47" s="335"/>
      <c r="H47" s="219" t="s">
        <v>69</v>
      </c>
      <c r="I47" s="219"/>
      <c r="J47" s="22" t="str">
        <f>IF(LEN(ORC)=0,"",ORC)</f>
        <v/>
      </c>
      <c r="K47" s="337"/>
      <c r="L47" s="337"/>
      <c r="M47" s="338"/>
      <c r="N47" s="478" t="s">
        <v>164</v>
      </c>
      <c r="O47" s="484">
        <f>SUM(rng_InputCells)</f>
        <v>487.00000000000017</v>
      </c>
    </row>
    <row r="48" spans="1:25" s="208" customFormat="1" ht="10.5" customHeight="1" x14ac:dyDescent="0.4">
      <c r="A48" s="197" t="s">
        <v>27</v>
      </c>
      <c r="B48" s="197"/>
      <c r="C48" s="197"/>
      <c r="D48" s="197"/>
      <c r="E48" s="197"/>
      <c r="F48" s="197"/>
      <c r="G48" s="197"/>
      <c r="H48" s="475"/>
      <c r="I48" s="335"/>
      <c r="J48" s="335"/>
      <c r="K48" s="335"/>
      <c r="L48" s="335"/>
      <c r="M48" s="335"/>
      <c r="N48" s="449"/>
      <c r="O48" s="449"/>
    </row>
    <row r="49" spans="1:15" s="447" customFormat="1" x14ac:dyDescent="0.4">
      <c r="A49" s="197" t="str">
        <f>Version_complete</f>
        <v>Version: V02.11-01</v>
      </c>
      <c r="B49" s="197"/>
      <c r="C49" s="197"/>
      <c r="D49" s="335"/>
      <c r="E49" s="335"/>
      <c r="F49" s="335"/>
      <c r="G49" s="335"/>
      <c r="H49" s="219" t="s">
        <v>70</v>
      </c>
      <c r="I49" s="219"/>
      <c r="J49" s="24" t="str">
        <f>IF(LEN(CertificateGrade)=0,"",CertificateGrade)</f>
        <v>A</v>
      </c>
      <c r="K49" s="219" t="s">
        <v>157</v>
      </c>
      <c r="L49" s="219"/>
      <c r="M49" s="24" t="str">
        <f>IF(LEN(CertificateNumber)=0,"",CertificateNumber)</f>
        <v>975930</v>
      </c>
      <c r="N49" s="53"/>
      <c r="O49" s="53"/>
    </row>
  </sheetData>
  <sheetProtection algorithmName="SHA-512" hashValue="x9PCNV68PjXg7T76h1BJJIUsZr2Ag7YjLcChrTi/VoKF+3ArhBnKfy47OHY14FjjVQi0EyAUAfHBj8z87C7V4w==" saltValue="bkekAn1LqthlBhNifAEYfA==" spinCount="100000" sheet="1" objects="1" scenarios="1"/>
  <phoneticPr fontId="40" type="noConversion"/>
  <conditionalFormatting sqref="J43">
    <cfRule type="expression" dxfId="42" priority="1" stopIfTrue="1">
      <formula>OR(AND(LEN(J43)=0,LEN(K43)&gt;0),AND(set_MinSamplesPerDay_eprd&gt;=5,OR(LEN(B43)=0,LEN(C43)=0),LEN(N43)&gt;0))</formula>
    </cfRule>
  </conditionalFormatting>
  <conditionalFormatting sqref="A13:A43">
    <cfRule type="expression" dxfId="41" priority="2" stopIfTrue="1">
      <formula>AND(set_MinSamplesPerDay_eprd=0,COUNT(C13,E13,G13,I13,K13,M13)&lt;$N13,LEN($N13)&gt;0)</formula>
    </cfRule>
  </conditionalFormatting>
  <conditionalFormatting sqref="D13:D43">
    <cfRule type="expression" dxfId="40" priority="3" stopIfTrue="1">
      <formula>OR(AND(LEN(D13)=0,LEN(E13)&gt;0),AND(set_MinSamplesPerDay_eprd&gt;=2,OR(LEN(D13)=0,LEN(E13)=0),LEN(N13)&gt;0))</formula>
    </cfRule>
  </conditionalFormatting>
  <conditionalFormatting sqref="B13:B43">
    <cfRule type="expression" dxfId="39" priority="4" stopIfTrue="1">
      <formula>OR(AND(LEN(B13)=0,LEN(C13)&gt;0),AND(set_MinSamplesPerDay_eprd&gt;=1,OR(LEN(B13)=0,LEN(C13)=0),LEN(N13)&gt;0))</formula>
    </cfRule>
  </conditionalFormatting>
  <conditionalFormatting sqref="F13:F43">
    <cfRule type="expression" dxfId="38" priority="5" stopIfTrue="1">
      <formula>OR(AND(LEN(F13)=0,LEN(G13)&gt;0),AND(set_MinSamplesPerDay_eprd&gt;=3,OR(LEN(F13)=0,LEN(G13)=0),LEN(N13)&gt;0))</formula>
    </cfRule>
  </conditionalFormatting>
  <conditionalFormatting sqref="H13:H43">
    <cfRule type="expression" dxfId="37" priority="6" stopIfTrue="1">
      <formula>OR(AND(LEN(H13)=0,LEN(I13)&gt;0),AND(set_MinSamplesPerDay_eprd&gt;=4,OR(LEN(H13)=0,LEN(I13)=0),LEN(N13)&gt;0))</formula>
    </cfRule>
  </conditionalFormatting>
  <conditionalFormatting sqref="J13:J42">
    <cfRule type="expression" dxfId="36" priority="7" stopIfTrue="1">
      <formula>OR(AND(LEN(J13)=0,LEN(K13)&gt;0),AND(set_MinSamplesPerDay_eprd&gt;=5,OR(LEN(J13)=0,LEN(K13)=0),LEN(N13)&gt;0))</formula>
    </cfRule>
  </conditionalFormatting>
  <conditionalFormatting sqref="L13:L43">
    <cfRule type="expression" dxfId="35" priority="8" stopIfTrue="1">
      <formula>OR(AND(LEN(L13)=0,LEN(M13)&gt;0),AND(set_MinSamplesPerDay_eprd&gt;=6,OR(LEN(L13)=0,LEN(M13)=0),LEN(N13)&gt;0))</formula>
    </cfRule>
  </conditionalFormatting>
  <dataValidations count="2">
    <dataValidation type="time" allowBlank="1" showInputMessage="1" showErrorMessage="1" errorTitle="   IMPORTANT!  Invalid Entry ..." error="Enter a value between 0 (midnight) and 23:59 (one minute before midnight). _x000a__x000a_Alternatively, enter times following 12 (noon) in the normal convention of &quot;11:59 PM&quot; to indicate one minute before midnight._x000a__x000a_" sqref="L13:L43 F13:F43 H13:H43 D13:D43 S13:X43 J13:J43 B13:B43" xr:uid="{00000000-0002-0000-0400-000000000000}">
      <formula1>0</formula1>
      <formula2>0.999305555555556</formula2>
    </dataValidation>
    <dataValidation type="custom" allowBlank="1" showInputMessage="1" showErrorMessage="1" errorTitle="   IMPORTANT!  Invalid Entry ..." error="Enter a value between 0 and 99.9999_x000a__x000a_Please use no more than four (4) decimal(s)._x000a__x000a_Use a blank cell (and NOT zero) to indicate no activity / measurement._x000a__x000a_" sqref="C13:C43 M13:M43 K13:K43 I13:I43 G13:G43 E13:E43" xr:uid="{E20CD5D4-F36C-4F15-B17C-20EF4B050B2A}">
      <formula1>OR(AND(C13&gt;=0,C13&lt;=99.9999),LEN(C13)=0)</formula1>
    </dataValidation>
  </dataValidations>
  <printOptions horizontalCentered="1" verticalCentered="1"/>
  <pageMargins left="0.25" right="0.25" top="0.25" bottom="0.25" header="0.125" footer="0.125"/>
  <pageSetup orientation="landscape" r:id="rId1"/>
  <headerFooter alignWithMargins="0"/>
  <customProperties>
    <customPr name="SheetID" r:id="rId2"/>
  </customProperties>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ks1940_5_IFE_Turb">
    <pageSetUpPr fitToPage="1"/>
  </sheetPr>
  <dimension ref="A1:Q46"/>
  <sheetViews>
    <sheetView showGridLines="0" workbookViewId="0">
      <selection activeCell="R56" sqref="R56"/>
    </sheetView>
  </sheetViews>
  <sheetFormatPr defaultColWidth="8.83203125" defaultRowHeight="12.3" x14ac:dyDescent="0.4"/>
  <cols>
    <col min="1" max="1" width="7" style="447" customWidth="1"/>
    <col min="2" max="2" width="0.71875" style="447" hidden="1" customWidth="1"/>
    <col min="3" max="3" width="7" style="447" hidden="1" customWidth="1"/>
    <col min="4" max="4" width="0.71875" style="447" hidden="1" customWidth="1"/>
    <col min="5" max="5" width="7" style="447" hidden="1" customWidth="1"/>
    <col min="6" max="6" width="0.71875" style="447" hidden="1" customWidth="1"/>
    <col min="7" max="7" width="7" style="447" hidden="1" customWidth="1"/>
    <col min="8" max="8" width="0.71875" style="447" hidden="1" customWidth="1"/>
    <col min="9" max="9" width="7" style="447" hidden="1" customWidth="1"/>
    <col min="10" max="10" width="0.71875" style="447" customWidth="1"/>
    <col min="11" max="11" width="3.5546875" style="447" customWidth="1"/>
    <col min="12" max="12" width="7" style="447" customWidth="1"/>
    <col min="13" max="13" width="10" style="447" customWidth="1"/>
    <col min="14" max="14" width="23.44140625" style="447" customWidth="1"/>
    <col min="15" max="15" width="40.71875" style="447" customWidth="1"/>
    <col min="16" max="16" width="43.1640625" style="447" customWidth="1"/>
    <col min="17" max="17" width="3.71875" style="447" hidden="1" customWidth="1"/>
    <col min="18" max="16384" width="8.83203125" style="447"/>
  </cols>
  <sheetData>
    <row r="1" spans="1:16" ht="15" customHeight="1" x14ac:dyDescent="0.5">
      <c r="A1" s="451" t="s">
        <v>165</v>
      </c>
      <c r="B1" s="451"/>
      <c r="C1" s="451"/>
      <c r="D1" s="451"/>
      <c r="E1" s="451"/>
      <c r="F1" s="451"/>
      <c r="G1" s="451"/>
      <c r="H1" s="451"/>
      <c r="I1" s="451"/>
      <c r="J1" s="451"/>
      <c r="K1" s="451"/>
      <c r="L1" s="451"/>
      <c r="M1" s="451"/>
      <c r="N1" s="451"/>
      <c r="O1" s="451"/>
      <c r="P1" s="451"/>
    </row>
    <row r="2" spans="1:16" s="208" customFormat="1" ht="10.5" x14ac:dyDescent="0.4">
      <c r="A2" s="345" t="s">
        <v>166</v>
      </c>
      <c r="B2" s="345"/>
      <c r="C2" s="345"/>
      <c r="D2" s="345"/>
      <c r="E2" s="345"/>
      <c r="F2" s="345"/>
      <c r="G2" s="345"/>
      <c r="H2" s="345"/>
      <c r="I2" s="345"/>
      <c r="J2" s="345"/>
      <c r="K2" s="345"/>
      <c r="L2" s="345"/>
      <c r="M2" s="200">
        <f>IF(LEN(FormMasterDate)=0,"",FormMasterDate)</f>
        <v>43525</v>
      </c>
      <c r="N2" s="202"/>
      <c r="O2" s="197"/>
      <c r="P2" s="448"/>
    </row>
    <row r="3" spans="1:16" s="208" customFormat="1" ht="3" customHeight="1" x14ac:dyDescent="0.35">
      <c r="A3" s="197"/>
      <c r="B3" s="197"/>
      <c r="C3" s="197"/>
      <c r="D3" s="197"/>
      <c r="E3" s="197"/>
      <c r="F3" s="197"/>
      <c r="G3" s="197"/>
      <c r="H3" s="197"/>
      <c r="I3" s="197"/>
      <c r="J3" s="197"/>
      <c r="K3" s="197"/>
      <c r="L3" s="197"/>
      <c r="M3" s="197"/>
      <c r="N3" s="197"/>
      <c r="O3" s="197"/>
      <c r="P3" s="197"/>
    </row>
    <row r="4" spans="1:16" s="208" customFormat="1" ht="10.15" customHeight="1" x14ac:dyDescent="0.4">
      <c r="A4" s="209" t="s">
        <v>30</v>
      </c>
      <c r="B4" s="209"/>
      <c r="C4" s="209"/>
      <c r="D4" s="209"/>
      <c r="E4" s="209"/>
      <c r="F4" s="209"/>
      <c r="G4" s="209"/>
      <c r="H4" s="209"/>
      <c r="I4" s="209"/>
      <c r="J4" s="209"/>
      <c r="K4" s="209"/>
      <c r="L4" s="197"/>
      <c r="M4" s="342" t="str">
        <f>IF(LEN(FormPWSIDNum)=0,"",FormPWSIDNum)</f>
        <v>NC0392020</v>
      </c>
      <c r="N4" s="344"/>
      <c r="O4" s="487" t="s">
        <v>167</v>
      </c>
      <c r="P4" s="488" t="str">
        <f>IF(LEN(FormFacilityID)=0,"",FormFacilityID)</f>
        <v>P01</v>
      </c>
    </row>
    <row r="5" spans="1:16" s="208" customFormat="1" ht="3" customHeight="1" x14ac:dyDescent="0.4">
      <c r="A5" s="345"/>
      <c r="B5" s="345"/>
      <c r="C5" s="345"/>
      <c r="D5" s="345"/>
      <c r="E5" s="345"/>
      <c r="F5" s="345"/>
      <c r="G5" s="345"/>
      <c r="H5" s="345"/>
      <c r="I5" s="345"/>
      <c r="J5" s="345"/>
      <c r="K5" s="345"/>
      <c r="L5" s="197"/>
      <c r="M5" s="223"/>
      <c r="N5" s="197"/>
      <c r="O5" s="487"/>
      <c r="P5" s="197"/>
    </row>
    <row r="6" spans="1:16" s="208" customFormat="1" ht="10.15" customHeight="1" x14ac:dyDescent="0.4">
      <c r="A6" s="209" t="s">
        <v>32</v>
      </c>
      <c r="B6" s="209"/>
      <c r="C6" s="209"/>
      <c r="D6" s="209"/>
      <c r="E6" s="209"/>
      <c r="F6" s="209"/>
      <c r="G6" s="209"/>
      <c r="H6" s="209"/>
      <c r="I6" s="209"/>
      <c r="J6" s="209"/>
      <c r="K6" s="209"/>
      <c r="L6" s="209"/>
      <c r="M6" s="342" t="str">
        <f>IF(LEN(FormWaterSysName)=0,"",FormWaterSysName)</f>
        <v>Cary, Town of</v>
      </c>
      <c r="N6" s="344"/>
      <c r="O6" s="487" t="s">
        <v>168</v>
      </c>
      <c r="P6" s="488" t="str">
        <f>IF(LEN(FormFacilityName)=0,"",FormFacilityName)</f>
        <v>Cary Apex WTP</v>
      </c>
    </row>
    <row r="7" spans="1:16" s="208" customFormat="1" ht="6" customHeight="1" thickBot="1" x14ac:dyDescent="0.45">
      <c r="A7" s="345"/>
      <c r="B7" s="345"/>
      <c r="C7" s="345"/>
      <c r="D7" s="345"/>
      <c r="E7" s="345"/>
      <c r="F7" s="345"/>
      <c r="G7" s="345"/>
      <c r="H7" s="345"/>
      <c r="I7" s="345"/>
      <c r="J7" s="345"/>
      <c r="K7" s="345"/>
      <c r="L7" s="197"/>
      <c r="M7" s="197"/>
      <c r="N7" s="197"/>
      <c r="O7" s="489"/>
      <c r="P7" s="223"/>
    </row>
    <row r="8" spans="1:16" ht="6" customHeight="1" x14ac:dyDescent="0.65">
      <c r="A8" s="490"/>
      <c r="B8" s="490"/>
      <c r="C8" s="490"/>
      <c r="D8" s="490"/>
      <c r="E8" s="490"/>
      <c r="F8" s="490"/>
      <c r="G8" s="490"/>
      <c r="H8" s="490"/>
      <c r="I8" s="490"/>
      <c r="J8" s="490"/>
      <c r="K8" s="490"/>
      <c r="L8" s="491"/>
      <c r="M8" s="492"/>
      <c r="N8" s="492"/>
      <c r="O8" s="492"/>
      <c r="P8" s="492"/>
    </row>
    <row r="9" spans="1:16" ht="19.149999999999999" customHeight="1" x14ac:dyDescent="0.65">
      <c r="A9" s="493"/>
      <c r="B9" s="493"/>
      <c r="C9" s="493"/>
      <c r="D9" s="493"/>
      <c r="E9" s="493"/>
      <c r="F9" s="493"/>
      <c r="G9" s="493"/>
      <c r="H9" s="493"/>
      <c r="I9" s="493"/>
      <c r="J9" s="493"/>
      <c r="K9" s="493"/>
      <c r="L9" s="1148" t="s">
        <v>169</v>
      </c>
      <c r="M9" s="1149"/>
      <c r="N9" s="1149"/>
      <c r="O9" s="1149"/>
      <c r="P9" s="1150"/>
    </row>
    <row r="10" spans="1:16" s="499" customFormat="1" ht="18.7" customHeight="1" x14ac:dyDescent="0.5">
      <c r="A10" s="67" t="str">
        <f>IF(LEN(SP_ID_1_cfe)=0,"",SP_ID_1_cfe)</f>
        <v>EP1</v>
      </c>
      <c r="B10" s="494"/>
      <c r="C10" s="67" t="str">
        <f>IF(LEN(SP_ID_2_cfe)=0,"",SP_ID_2_cfe)</f>
        <v/>
      </c>
      <c r="D10" s="494"/>
      <c r="E10" s="67" t="str">
        <f>IF(LEN(SP_ID_3_cfe)=0,"",SP_ID_3_cfe)</f>
        <v/>
      </c>
      <c r="F10" s="494"/>
      <c r="G10" s="67" t="str">
        <f>IF(LEN(SP_ID_4_cfe)=0,"",SP_ID_4_cfe)</f>
        <v/>
      </c>
      <c r="H10" s="494"/>
      <c r="I10" s="67" t="str">
        <f>IF(LEN(SP_ID_5_cfe)=0,"",SP_ID_5_cfe)</f>
        <v/>
      </c>
      <c r="J10" s="68">
        <f>5-SUM(LEN(A10)=0,LEN(C10)=0,LEN(E10)=0,LEN(G10)=0,LEN(I10)=0)</f>
        <v>1</v>
      </c>
      <c r="K10" s="495"/>
      <c r="L10" s="496"/>
      <c r="M10" s="1096" t="s">
        <v>170</v>
      </c>
      <c r="N10" s="497"/>
      <c r="O10" s="497"/>
      <c r="P10" s="498"/>
    </row>
    <row r="11" spans="1:16" ht="3" customHeight="1" x14ac:dyDescent="0.65">
      <c r="A11" s="500"/>
      <c r="B11" s="500"/>
      <c r="C11" s="500"/>
      <c r="D11" s="500"/>
      <c r="E11" s="500"/>
      <c r="F11" s="500"/>
      <c r="G11" s="500"/>
      <c r="H11" s="500"/>
      <c r="I11" s="500"/>
      <c r="J11" s="500"/>
      <c r="K11" s="500"/>
      <c r="L11" s="335"/>
      <c r="M11" s="501"/>
      <c r="N11" s="501"/>
      <c r="O11" s="501"/>
      <c r="P11" s="501"/>
    </row>
    <row r="12" spans="1:16" s="506" customFormat="1" ht="15" customHeight="1" x14ac:dyDescent="0.4">
      <c r="A12" s="69" t="s">
        <v>284</v>
      </c>
      <c r="B12" s="503"/>
      <c r="C12" s="502"/>
      <c r="D12" s="503"/>
      <c r="E12" s="502"/>
      <c r="F12" s="503"/>
      <c r="G12" s="502"/>
      <c r="H12" s="503"/>
      <c r="I12" s="502"/>
      <c r="J12" s="504"/>
      <c r="K12" s="505"/>
      <c r="L12" s="1151" t="s">
        <v>171</v>
      </c>
      <c r="M12" s="1152"/>
      <c r="N12" s="1152"/>
      <c r="O12" s="1152"/>
      <c r="P12" s="1153"/>
    </row>
    <row r="13" spans="1:16" s="506" customFormat="1" ht="6" customHeight="1" x14ac:dyDescent="0.4">
      <c r="A13" s="507"/>
      <c r="B13" s="507"/>
      <c r="C13" s="507"/>
      <c r="D13" s="507"/>
      <c r="E13" s="507"/>
      <c r="F13" s="507"/>
      <c r="G13" s="507"/>
      <c r="H13" s="507"/>
      <c r="I13" s="507"/>
      <c r="J13" s="507"/>
      <c r="K13" s="507"/>
      <c r="L13" s="503"/>
      <c r="M13" s="206"/>
      <c r="N13" s="508"/>
      <c r="O13" s="508"/>
      <c r="P13" s="508"/>
    </row>
    <row r="14" spans="1:16" s="506" customFormat="1" ht="15" hidden="1" x14ac:dyDescent="0.4">
      <c r="A14" s="69"/>
      <c r="B14" s="503"/>
      <c r="C14" s="502"/>
      <c r="D14" s="503"/>
      <c r="E14" s="502"/>
      <c r="F14" s="503"/>
      <c r="G14" s="502"/>
      <c r="H14" s="503"/>
      <c r="I14" s="502"/>
      <c r="J14" s="504"/>
      <c r="K14" s="505"/>
      <c r="L14" s="1147" t="s">
        <v>172</v>
      </c>
      <c r="M14" s="1127"/>
      <c r="N14" s="1127"/>
      <c r="O14" s="1127"/>
      <c r="P14" s="1128"/>
    </row>
    <row r="15" spans="1:16" s="506" customFormat="1" ht="6" hidden="1" customHeight="1" x14ac:dyDescent="0.4">
      <c r="A15" s="507"/>
      <c r="B15" s="507"/>
      <c r="C15" s="507"/>
      <c r="D15" s="507"/>
      <c r="E15" s="507"/>
      <c r="F15" s="507"/>
      <c r="G15" s="507"/>
      <c r="H15" s="507"/>
      <c r="I15" s="507"/>
      <c r="J15" s="507"/>
      <c r="K15" s="503"/>
      <c r="L15" s="206"/>
      <c r="M15" s="508"/>
      <c r="N15" s="508"/>
      <c r="O15" s="508"/>
      <c r="P15" s="509"/>
    </row>
    <row r="16" spans="1:16" s="506" customFormat="1" ht="15" hidden="1" customHeight="1" x14ac:dyDescent="0.4">
      <c r="A16" s="69"/>
      <c r="B16" s="503"/>
      <c r="C16" s="502"/>
      <c r="D16" s="503"/>
      <c r="E16" s="502"/>
      <c r="F16" s="503"/>
      <c r="G16" s="502"/>
      <c r="H16" s="503"/>
      <c r="I16" s="502"/>
      <c r="J16" s="504"/>
      <c r="K16" s="505"/>
      <c r="L16" s="1147" t="s">
        <v>173</v>
      </c>
      <c r="M16" s="1127"/>
      <c r="N16" s="1127"/>
      <c r="O16" s="1127"/>
      <c r="P16" s="1128"/>
    </row>
    <row r="17" spans="1:17" s="506" customFormat="1" ht="6" hidden="1" customHeight="1" x14ac:dyDescent="0.4">
      <c r="A17" s="507"/>
      <c r="B17" s="507"/>
      <c r="C17" s="507"/>
      <c r="D17" s="507"/>
      <c r="E17" s="507"/>
      <c r="F17" s="507"/>
      <c r="G17" s="507"/>
      <c r="H17" s="507"/>
      <c r="I17" s="507"/>
      <c r="J17" s="507"/>
      <c r="K17" s="507"/>
      <c r="L17" s="503"/>
      <c r="M17" s="206"/>
      <c r="N17" s="508"/>
      <c r="O17" s="508"/>
      <c r="P17" s="508"/>
    </row>
    <row r="18" spans="1:17" s="506" customFormat="1" ht="15" x14ac:dyDescent="0.4">
      <c r="A18" s="69" t="s">
        <v>284</v>
      </c>
      <c r="B18" s="503"/>
      <c r="C18" s="502"/>
      <c r="D18" s="503"/>
      <c r="E18" s="502"/>
      <c r="F18" s="503"/>
      <c r="G18" s="502"/>
      <c r="H18" s="503"/>
      <c r="I18" s="502"/>
      <c r="J18" s="504"/>
      <c r="K18" s="505"/>
      <c r="L18" s="1129" t="s">
        <v>174</v>
      </c>
      <c r="M18" s="1130"/>
      <c r="N18" s="1130"/>
      <c r="O18" s="1130"/>
      <c r="P18" s="1131"/>
    </row>
    <row r="19" spans="1:17" s="506" customFormat="1" ht="6" customHeight="1" x14ac:dyDescent="0.4">
      <c r="A19" s="507"/>
      <c r="B19" s="507"/>
      <c r="C19" s="507"/>
      <c r="D19" s="507"/>
      <c r="E19" s="507"/>
      <c r="F19" s="507"/>
      <c r="G19" s="507"/>
      <c r="H19" s="507"/>
      <c r="I19" s="507"/>
      <c r="J19" s="507"/>
      <c r="K19" s="503"/>
      <c r="L19" s="206"/>
      <c r="M19" s="508"/>
      <c r="N19" s="508"/>
      <c r="O19" s="508"/>
      <c r="P19" s="509"/>
    </row>
    <row r="20" spans="1:17" s="506" customFormat="1" ht="15" x14ac:dyDescent="0.4">
      <c r="A20" s="69" t="s">
        <v>285</v>
      </c>
      <c r="B20" s="503"/>
      <c r="C20" s="502"/>
      <c r="D20" s="503"/>
      <c r="E20" s="502"/>
      <c r="F20" s="503"/>
      <c r="G20" s="502"/>
      <c r="H20" s="503"/>
      <c r="I20" s="502"/>
      <c r="J20" s="504"/>
      <c r="K20" s="505"/>
      <c r="L20" s="1129" t="s">
        <v>175</v>
      </c>
      <c r="M20" s="1130"/>
      <c r="N20" s="1130"/>
      <c r="O20" s="1130"/>
      <c r="P20" s="1131"/>
    </row>
    <row r="21" spans="1:17" s="506" customFormat="1" ht="6" customHeight="1" x14ac:dyDescent="0.4">
      <c r="A21" s="507"/>
      <c r="B21" s="507"/>
      <c r="C21" s="507"/>
      <c r="D21" s="507"/>
      <c r="E21" s="507"/>
      <c r="F21" s="507"/>
      <c r="G21" s="507"/>
      <c r="H21" s="507"/>
      <c r="I21" s="507"/>
      <c r="J21" s="507"/>
      <c r="K21" s="503"/>
      <c r="L21" s="206"/>
      <c r="M21" s="508"/>
      <c r="N21" s="508"/>
      <c r="O21" s="508"/>
      <c r="P21" s="509"/>
    </row>
    <row r="22" spans="1:17" s="506" customFormat="1" ht="27" hidden="1" customHeight="1" x14ac:dyDescent="0.4">
      <c r="A22" s="69"/>
      <c r="B22" s="503"/>
      <c r="C22" s="502"/>
      <c r="D22" s="503"/>
      <c r="E22" s="502"/>
      <c r="F22" s="503"/>
      <c r="G22" s="502"/>
      <c r="H22" s="503"/>
      <c r="I22" s="502"/>
      <c r="J22" s="504"/>
      <c r="K22" s="510"/>
      <c r="L22" s="1127" t="s">
        <v>176</v>
      </c>
      <c r="M22" s="1127"/>
      <c r="N22" s="1127"/>
      <c r="O22" s="1127"/>
      <c r="P22" s="1128"/>
    </row>
    <row r="23" spans="1:17" s="506" customFormat="1" ht="6" hidden="1" customHeight="1" x14ac:dyDescent="0.4">
      <c r="A23" s="507"/>
      <c r="B23" s="507"/>
      <c r="C23" s="507"/>
      <c r="D23" s="507"/>
      <c r="E23" s="507"/>
      <c r="F23" s="507"/>
      <c r="G23" s="507"/>
      <c r="H23" s="507"/>
      <c r="I23" s="507"/>
      <c r="J23" s="507"/>
      <c r="K23" s="503"/>
      <c r="L23" s="206"/>
      <c r="M23" s="508"/>
      <c r="N23" s="508"/>
      <c r="O23" s="508"/>
      <c r="P23" s="509"/>
    </row>
    <row r="24" spans="1:17" s="506" customFormat="1" ht="15" hidden="1" customHeight="1" x14ac:dyDescent="0.4">
      <c r="A24" s="69"/>
      <c r="B24" s="503"/>
      <c r="C24" s="502"/>
      <c r="D24" s="503"/>
      <c r="E24" s="502"/>
      <c r="F24" s="503"/>
      <c r="G24" s="502"/>
      <c r="H24" s="503"/>
      <c r="I24" s="502"/>
      <c r="J24" s="504"/>
      <c r="K24" s="505"/>
      <c r="L24" s="1147" t="s">
        <v>177</v>
      </c>
      <c r="M24" s="1127"/>
      <c r="N24" s="1127"/>
      <c r="O24" s="1127"/>
      <c r="P24" s="1128"/>
    </row>
    <row r="25" spans="1:17" s="506" customFormat="1" ht="6" hidden="1" customHeight="1" x14ac:dyDescent="0.4">
      <c r="A25" s="507"/>
      <c r="B25" s="507"/>
      <c r="C25" s="507"/>
      <c r="D25" s="507"/>
      <c r="E25" s="507"/>
      <c r="F25" s="507"/>
      <c r="G25" s="507"/>
      <c r="H25" s="507"/>
      <c r="I25" s="507"/>
      <c r="J25" s="507"/>
      <c r="K25" s="503"/>
      <c r="L25" s="206"/>
      <c r="M25" s="508"/>
      <c r="N25" s="508"/>
      <c r="O25" s="508"/>
      <c r="P25" s="509"/>
    </row>
    <row r="26" spans="1:17" s="506" customFormat="1" ht="15" hidden="1" x14ac:dyDescent="0.4">
      <c r="A26" s="69"/>
      <c r="B26" s="503"/>
      <c r="C26" s="502"/>
      <c r="D26" s="503"/>
      <c r="E26" s="502"/>
      <c r="F26" s="503"/>
      <c r="G26" s="502"/>
      <c r="H26" s="503"/>
      <c r="I26" s="502"/>
      <c r="J26" s="504"/>
      <c r="K26" s="510"/>
      <c r="L26" s="1127" t="s">
        <v>178</v>
      </c>
      <c r="M26" s="1127"/>
      <c r="N26" s="1127"/>
      <c r="O26" s="1127"/>
      <c r="P26" s="1128"/>
    </row>
    <row r="27" spans="1:17" s="506" customFormat="1" ht="6" hidden="1" customHeight="1" x14ac:dyDescent="0.4">
      <c r="A27" s="507"/>
      <c r="B27" s="507"/>
      <c r="C27" s="507"/>
      <c r="D27" s="507"/>
      <c r="E27" s="507"/>
      <c r="F27" s="507"/>
      <c r="G27" s="507"/>
      <c r="H27" s="507"/>
      <c r="I27" s="507"/>
      <c r="J27" s="507"/>
      <c r="K27" s="503"/>
      <c r="L27" s="206"/>
      <c r="M27" s="508"/>
      <c r="N27" s="508"/>
      <c r="O27" s="508"/>
      <c r="P27" s="509"/>
    </row>
    <row r="28" spans="1:17" s="506" customFormat="1" ht="15" x14ac:dyDescent="0.4">
      <c r="A28" s="69" t="s">
        <v>285</v>
      </c>
      <c r="B28" s="503"/>
      <c r="C28" s="502"/>
      <c r="D28" s="503"/>
      <c r="E28" s="502"/>
      <c r="F28" s="503"/>
      <c r="G28" s="502"/>
      <c r="H28" s="503"/>
      <c r="I28" s="502"/>
      <c r="J28" s="504"/>
      <c r="K28" s="505"/>
      <c r="L28" s="1129" t="s">
        <v>179</v>
      </c>
      <c r="M28" s="1130"/>
      <c r="N28" s="1130"/>
      <c r="O28" s="1130"/>
      <c r="P28" s="1131"/>
      <c r="Q28" s="70">
        <f>COUNTIF(A28:I28,"Yes")</f>
        <v>0</v>
      </c>
    </row>
    <row r="29" spans="1:17" s="506" customFormat="1" ht="6" customHeight="1" x14ac:dyDescent="0.4">
      <c r="A29" s="507"/>
      <c r="B29" s="507"/>
      <c r="C29" s="507"/>
      <c r="D29" s="507"/>
      <c r="E29" s="507"/>
      <c r="F29" s="507"/>
      <c r="G29" s="507"/>
      <c r="H29" s="507"/>
      <c r="I29" s="507"/>
      <c r="J29" s="507"/>
      <c r="K29" s="503"/>
      <c r="L29" s="206"/>
      <c r="M29" s="508"/>
      <c r="N29" s="508"/>
      <c r="O29" s="508"/>
      <c r="P29" s="509"/>
    </row>
    <row r="30" spans="1:17" s="506" customFormat="1" ht="27" customHeight="1" x14ac:dyDescent="0.4">
      <c r="A30" s="69" t="s">
        <v>285</v>
      </c>
      <c r="B30" s="503"/>
      <c r="C30" s="502"/>
      <c r="D30" s="503"/>
      <c r="E30" s="502"/>
      <c r="F30" s="503"/>
      <c r="G30" s="502"/>
      <c r="H30" s="503"/>
      <c r="I30" s="502"/>
      <c r="J30" s="504"/>
      <c r="K30" s="505"/>
      <c r="L30" s="1129" t="s">
        <v>180</v>
      </c>
      <c r="M30" s="1130"/>
      <c r="N30" s="1130"/>
      <c r="O30" s="1130"/>
      <c r="P30" s="1131"/>
      <c r="Q30" s="70">
        <f>COUNTIF(A30:I30,"Yes")</f>
        <v>0</v>
      </c>
    </row>
    <row r="31" spans="1:17" s="506" customFormat="1" ht="6" customHeight="1" x14ac:dyDescent="0.4">
      <c r="A31" s="507"/>
      <c r="B31" s="507"/>
      <c r="C31" s="507"/>
      <c r="D31" s="507"/>
      <c r="E31" s="507"/>
      <c r="F31" s="507"/>
      <c r="G31" s="507"/>
      <c r="H31" s="507"/>
      <c r="I31" s="507"/>
      <c r="J31" s="507"/>
      <c r="K31" s="503"/>
      <c r="L31" s="206"/>
      <c r="M31" s="508"/>
      <c r="N31" s="508"/>
      <c r="O31" s="508"/>
      <c r="P31" s="509"/>
    </row>
    <row r="32" spans="1:17" s="506" customFormat="1" ht="15" x14ac:dyDescent="0.4">
      <c r="A32" s="69" t="s">
        <v>285</v>
      </c>
      <c r="B32" s="503"/>
      <c r="C32" s="502"/>
      <c r="D32" s="503"/>
      <c r="E32" s="502"/>
      <c r="F32" s="503"/>
      <c r="G32" s="502"/>
      <c r="H32" s="503"/>
      <c r="I32" s="502"/>
      <c r="J32" s="504"/>
      <c r="K32" s="505"/>
      <c r="L32" s="1129" t="s">
        <v>181</v>
      </c>
      <c r="M32" s="1130"/>
      <c r="N32" s="1130"/>
      <c r="O32" s="1130"/>
      <c r="P32" s="1131"/>
      <c r="Q32" s="70">
        <f>COUNTIF(A32:I32,"Yes")</f>
        <v>0</v>
      </c>
    </row>
    <row r="33" spans="1:17" s="506" customFormat="1" ht="6" customHeight="1" x14ac:dyDescent="0.4">
      <c r="A33" s="507"/>
      <c r="B33" s="507"/>
      <c r="C33" s="507"/>
      <c r="D33" s="507"/>
      <c r="E33" s="507"/>
      <c r="F33" s="507"/>
      <c r="G33" s="507"/>
      <c r="H33" s="507"/>
      <c r="I33" s="507"/>
      <c r="J33" s="507"/>
      <c r="K33" s="503"/>
      <c r="L33" s="206"/>
      <c r="M33" s="508"/>
      <c r="N33" s="508"/>
      <c r="O33" s="508"/>
      <c r="P33" s="509"/>
    </row>
    <row r="34" spans="1:17" s="506" customFormat="1" ht="15" x14ac:dyDescent="0.4">
      <c r="A34" s="69" t="s">
        <v>285</v>
      </c>
      <c r="B34" s="503"/>
      <c r="C34" s="502"/>
      <c r="D34" s="503"/>
      <c r="E34" s="502"/>
      <c r="F34" s="503"/>
      <c r="G34" s="502"/>
      <c r="H34" s="503"/>
      <c r="I34" s="502"/>
      <c r="J34" s="504"/>
      <c r="K34" s="505"/>
      <c r="L34" s="1129" t="s">
        <v>182</v>
      </c>
      <c r="M34" s="1130"/>
      <c r="N34" s="1130"/>
      <c r="O34" s="1130"/>
      <c r="P34" s="1131"/>
      <c r="Q34" s="70">
        <f>COUNTIF(A34:I34,"Yes")</f>
        <v>0</v>
      </c>
    </row>
    <row r="35" spans="1:17" ht="6" customHeight="1" x14ac:dyDescent="0.4">
      <c r="A35" s="71">
        <f>COUNTA(rng_ContinuouslyMonitored_1,rng_ResultsRecorded_1,rng_MonitorFailure_1,rng_Turb_Above_1_0_Within_Month_1,rng_Turb_Above_0_5_Within_Month_1,rng_Turb_Above_1_0_Within_3_Months_1,rng_Turb_Above_2_0_Within_3_Months_1)</f>
        <v>7</v>
      </c>
      <c r="B35" s="71"/>
      <c r="C35" s="71">
        <f>COUNTA(rng_ContinuouslyMonitored_2,rng_ResultsRecorded_2,rng_MonitorFailure_2,rng_Turb_Above_1_0_Within_Month_2,rng_Turb_Above_0_5_Within_Month_2,rng_Turb_Above_1_0_Within_3_Months_2,rng_Turb_Above_2_0_Within_3_Months_2)</f>
        <v>0</v>
      </c>
      <c r="D35" s="71"/>
      <c r="E35" s="71">
        <f>COUNTA(rng_ContinuouslyMonitored_3,rng_ResultsRecorded_3,rng_MonitorFailure_3,rng_Turb_Above_1_0_Within_Month_3,rng_Turb_Above_0_5_Within_Month_3,rng_Turb_Above_1_0_Within_3_Months_3,rng_Turb_Above_2_0_Within_3_Months_3)</f>
        <v>0</v>
      </c>
      <c r="F35" s="71"/>
      <c r="G35" s="71">
        <f>COUNTA(rng_ContinuouslyMonitored_4,rng_ResultsRecorded_4,rng_MonitorFailure_4,rng_Turb_Above_1_0_Within_Month_4,rng_Turb_Above_0_5_Within_Month_4,rng_Turb_Above_1_0_Within_3_Months_4,rng_Turb_Above_2_0_Within_3_Months_4)</f>
        <v>0</v>
      </c>
      <c r="H35" s="71"/>
      <c r="I35" s="71">
        <f>COUNTA(rng_ContinuouslyMonitored_5,rng_ResultsRecorded_5,rng_MonitorFailure_5,rng_Turb_Above_1_0_Within_Month_5,rng_Turb_Above_0_5_Within_Month_5,rng_Turb_Above_1_0_Within_3_Months_5,rng_Turb_Above_2_0_Within_3_Months_5)</f>
        <v>0</v>
      </c>
      <c r="J35" s="71"/>
      <c r="K35" s="366"/>
      <c r="L35" s="51"/>
      <c r="M35" s="335"/>
      <c r="N35" s="335"/>
      <c r="O35" s="335"/>
      <c r="P35" s="335"/>
    </row>
    <row r="36" spans="1:17" ht="6" customHeight="1" thickBot="1" x14ac:dyDescent="0.45">
      <c r="A36" s="71">
        <f>COUNTIF(rng_Turb_Above_1_0_Within_Month_1:rng_Turb_Above_2_0_Within_3_Months_1,"Yes")</f>
        <v>0</v>
      </c>
      <c r="B36" s="71"/>
      <c r="C36" s="71">
        <f>COUNTIF(rng_Turb_Above_1_0_Within_Month_2:rng_Turb_Above_2_0_Within_3_Months_2,"Yes")</f>
        <v>0</v>
      </c>
      <c r="D36" s="71"/>
      <c r="E36" s="71">
        <f>COUNTIF(rng_Turb_Above_1_0_Within_Month_3:rng_Turb_Above_2_0_Within_3_Months_3,"Yes")</f>
        <v>0</v>
      </c>
      <c r="F36" s="71"/>
      <c r="G36" s="71">
        <f>COUNTIF(rng_Turb_Above_1_0_Within_Month_4:rng_Turb_Above_2_0_Within_3_Months_4,"Yes")</f>
        <v>0</v>
      </c>
      <c r="H36" s="71"/>
      <c r="I36" s="71">
        <f>COUNTIF(rng_Turb_Above_1_0_Within_Month_5:rng_Turb_Above_2_0_Within_3_Months_5,"Yes")</f>
        <v>0</v>
      </c>
      <c r="J36" s="366"/>
      <c r="K36" s="366"/>
      <c r="L36" s="51"/>
      <c r="M36" s="335"/>
      <c r="N36" s="335"/>
      <c r="O36" s="335"/>
      <c r="P36" s="335"/>
    </row>
    <row r="37" spans="1:17" s="514" customFormat="1" ht="31.9" customHeight="1" thickBot="1" x14ac:dyDescent="0.45">
      <c r="A37" s="1137" t="s">
        <v>183</v>
      </c>
      <c r="B37" s="1138"/>
      <c r="C37" s="1138"/>
      <c r="D37" s="1138"/>
      <c r="E37" s="1138"/>
      <c r="F37" s="1138"/>
      <c r="G37" s="1138"/>
      <c r="H37" s="1138"/>
      <c r="I37" s="1138"/>
      <c r="J37" s="1138"/>
      <c r="K37" s="1139"/>
      <c r="L37" s="1140" t="s">
        <v>184</v>
      </c>
      <c r="M37" s="1141"/>
      <c r="N37" s="511" t="s">
        <v>185</v>
      </c>
      <c r="O37" s="512" t="s">
        <v>186</v>
      </c>
      <c r="P37" s="513" t="s">
        <v>187</v>
      </c>
      <c r="Q37" s="70">
        <f>SUM(Q28:Q36)</f>
        <v>0</v>
      </c>
    </row>
    <row r="38" spans="1:17" s="506" customFormat="1" ht="6" customHeight="1" x14ac:dyDescent="0.4">
      <c r="A38" s="515"/>
      <c r="B38" s="515"/>
      <c r="C38" s="515"/>
      <c r="D38" s="515"/>
      <c r="E38" s="515"/>
      <c r="F38" s="515"/>
      <c r="G38" s="515"/>
      <c r="H38" s="515"/>
      <c r="I38" s="515"/>
      <c r="J38" s="515"/>
      <c r="K38" s="515"/>
      <c r="L38" s="516"/>
      <c r="M38" s="516"/>
      <c r="N38" s="516"/>
      <c r="O38" s="516"/>
      <c r="P38" s="516"/>
    </row>
    <row r="39" spans="1:17" s="518" customFormat="1" ht="10.199999999999999" hidden="1" x14ac:dyDescent="0.4">
      <c r="A39" s="1142" t="s">
        <v>188</v>
      </c>
      <c r="B39" s="1143"/>
      <c r="C39" s="1143"/>
      <c r="D39" s="1143"/>
      <c r="E39" s="1143"/>
      <c r="F39" s="1143"/>
      <c r="G39" s="1143"/>
      <c r="H39" s="1143"/>
      <c r="I39" s="1143"/>
      <c r="J39" s="1143"/>
      <c r="K39" s="1144"/>
      <c r="L39" s="1145" t="s">
        <v>132</v>
      </c>
      <c r="M39" s="1146"/>
      <c r="N39" s="517" t="s">
        <v>140</v>
      </c>
      <c r="O39" s="517" t="s">
        <v>189</v>
      </c>
      <c r="P39" s="517" t="s">
        <v>189</v>
      </c>
    </row>
    <row r="40" spans="1:17" s="519" customFormat="1" ht="13.15" hidden="1" customHeight="1" x14ac:dyDescent="0.4">
      <c r="A40" s="1132"/>
      <c r="B40" s="1133"/>
      <c r="C40" s="1133"/>
      <c r="D40" s="1133"/>
      <c r="E40" s="1133"/>
      <c r="F40" s="1133"/>
      <c r="G40" s="1133"/>
      <c r="H40" s="1133"/>
      <c r="I40" s="1133"/>
      <c r="J40" s="1133"/>
      <c r="K40" s="1134"/>
      <c r="L40" s="1135"/>
      <c r="M40" s="1136"/>
      <c r="N40" s="72"/>
      <c r="O40" s="73"/>
      <c r="P40" s="73"/>
      <c r="Q40" s="70">
        <f>IF(SUM(rng_EntryCount_Last_4Qs_1:rng_EntryCount_Last_4Qs_5)&gt;0,COUNTA($A40:$P40),0)</f>
        <v>0</v>
      </c>
    </row>
    <row r="41" spans="1:17" s="519" customFormat="1" ht="13.15" customHeight="1" x14ac:dyDescent="0.4">
      <c r="A41" s="1132" t="s">
        <v>208</v>
      </c>
      <c r="B41" s="1133"/>
      <c r="C41" s="1133"/>
      <c r="D41" s="1133"/>
      <c r="E41" s="1133"/>
      <c r="F41" s="1133"/>
      <c r="G41" s="1133"/>
      <c r="H41" s="1133"/>
      <c r="I41" s="1133"/>
      <c r="J41" s="1133"/>
      <c r="K41" s="1134"/>
      <c r="L41" s="1135"/>
      <c r="M41" s="1136"/>
      <c r="N41" s="72"/>
      <c r="O41" s="73"/>
      <c r="P41" s="73"/>
      <c r="Q41" s="70">
        <f>IF(SUM(rng_EntryCount_Last_4Qs_1:rng_EntryCount_Last_4Qs_5)&gt;0,COUNTA($A41:$P41),0)</f>
        <v>0</v>
      </c>
    </row>
    <row r="42" spans="1:17" s="519" customFormat="1" ht="13.15" customHeight="1" x14ac:dyDescent="0.4">
      <c r="A42" s="1132" t="s">
        <v>208</v>
      </c>
      <c r="B42" s="1133"/>
      <c r="C42" s="1133"/>
      <c r="D42" s="1133"/>
      <c r="E42" s="1133"/>
      <c r="F42" s="1133"/>
      <c r="G42" s="1133"/>
      <c r="H42" s="1133"/>
      <c r="I42" s="1133"/>
      <c r="J42" s="1133"/>
      <c r="K42" s="1134"/>
      <c r="L42" s="1135"/>
      <c r="M42" s="1136"/>
      <c r="N42" s="72"/>
      <c r="O42" s="73"/>
      <c r="P42" s="73"/>
      <c r="Q42" s="70">
        <f>IF(SUM(rng_EntryCount_Last_4Qs_1:rng_EntryCount_Last_4Qs_5)&gt;0,COUNTA($A42:$P42),0)</f>
        <v>0</v>
      </c>
    </row>
    <row r="43" spans="1:17" ht="6" customHeight="1" x14ac:dyDescent="0.4">
      <c r="A43" s="520"/>
      <c r="B43" s="520"/>
      <c r="C43" s="520"/>
      <c r="D43" s="520"/>
      <c r="E43" s="520"/>
      <c r="F43" s="520"/>
      <c r="G43" s="520"/>
      <c r="H43" s="520"/>
      <c r="I43" s="520"/>
      <c r="J43" s="520"/>
      <c r="K43" s="520"/>
      <c r="L43" s="335"/>
      <c r="M43" s="520"/>
      <c r="N43" s="520"/>
      <c r="O43" s="520"/>
      <c r="P43" s="520"/>
    </row>
    <row r="44" spans="1:17" s="208" customFormat="1" ht="10.199999999999999" x14ac:dyDescent="0.35">
      <c r="A44" s="197" t="s">
        <v>67</v>
      </c>
      <c r="B44" s="197"/>
      <c r="C44" s="197"/>
      <c r="D44" s="197"/>
      <c r="E44" s="197"/>
      <c r="F44" s="197"/>
      <c r="G44" s="197"/>
      <c r="H44" s="197"/>
      <c r="I44" s="197"/>
      <c r="J44" s="197"/>
      <c r="K44" s="197"/>
      <c r="L44" s="197"/>
      <c r="M44" s="197"/>
      <c r="N44" s="197"/>
      <c r="O44" s="521" t="s">
        <v>69</v>
      </c>
      <c r="P44" s="74" t="str">
        <f>IF(LEN(ORC)=0,"",ORC)</f>
        <v/>
      </c>
    </row>
    <row r="45" spans="1:17" s="208" customFormat="1" ht="10.199999999999999" x14ac:dyDescent="0.35">
      <c r="A45" s="197" t="s">
        <v>27</v>
      </c>
      <c r="B45" s="197"/>
      <c r="C45" s="197"/>
      <c r="D45" s="197"/>
      <c r="E45" s="197"/>
      <c r="F45" s="197"/>
      <c r="G45" s="197"/>
      <c r="H45" s="197"/>
      <c r="I45" s="197"/>
      <c r="J45" s="197"/>
      <c r="K45" s="197"/>
      <c r="L45" s="197"/>
      <c r="M45" s="197"/>
      <c r="N45" s="197"/>
      <c r="O45" s="521" t="s">
        <v>70</v>
      </c>
      <c r="P45" s="75" t="str">
        <f>IF(LEN(CertificateGrade)=0,"",CertificateGrade)</f>
        <v>A</v>
      </c>
    </row>
    <row r="46" spans="1:17" s="208" customFormat="1" ht="10.199999999999999" x14ac:dyDescent="0.35">
      <c r="A46" s="197" t="str">
        <f>Version_complete</f>
        <v>Version: V02.11-01</v>
      </c>
      <c r="B46" s="197"/>
      <c r="C46" s="197"/>
      <c r="D46" s="197"/>
      <c r="E46" s="197"/>
      <c r="F46" s="197"/>
      <c r="G46" s="197"/>
      <c r="H46" s="197"/>
      <c r="I46" s="197"/>
      <c r="J46" s="197"/>
      <c r="K46" s="197"/>
      <c r="L46" s="197"/>
      <c r="M46" s="197"/>
      <c r="N46" s="197"/>
      <c r="O46" s="521" t="s">
        <v>157</v>
      </c>
      <c r="P46" s="75" t="str">
        <f>IF(LEN(CertificateNumber)=0,"",CertificateNumber)</f>
        <v>975930</v>
      </c>
    </row>
  </sheetData>
  <sheetProtection algorithmName="SHA-512" hashValue="5yVlopA4m94yInPVnSBShhsMXwgbpFtiHmNBrUSnnJqclNZtPA5SlV+gAGNEDXoa3M940cR9P+kTDpcmvZcyYw==" saltValue="fjbJJYXQOgGMv/vUo6qaXw==" spinCount="100000" sheet="1" objects="1" scenarios="1"/>
  <mergeCells count="23">
    <mergeCell ref="L18:P18"/>
    <mergeCell ref="L20:P20"/>
    <mergeCell ref="L22:P22"/>
    <mergeCell ref="L24:P24"/>
    <mergeCell ref="L9:P9"/>
    <mergeCell ref="L12:P12"/>
    <mergeCell ref="L14:P14"/>
    <mergeCell ref="L16:P16"/>
    <mergeCell ref="L26:P26"/>
    <mergeCell ref="L28:P28"/>
    <mergeCell ref="L30:P30"/>
    <mergeCell ref="L32:P32"/>
    <mergeCell ref="A42:K42"/>
    <mergeCell ref="L42:M42"/>
    <mergeCell ref="A40:K40"/>
    <mergeCell ref="L40:M40"/>
    <mergeCell ref="A41:K41"/>
    <mergeCell ref="L41:M41"/>
    <mergeCell ref="L34:P34"/>
    <mergeCell ref="A37:K37"/>
    <mergeCell ref="L37:M37"/>
    <mergeCell ref="A39:K39"/>
    <mergeCell ref="L39:M39"/>
  </mergeCells>
  <phoneticPr fontId="40" type="noConversion"/>
  <conditionalFormatting sqref="K12 K14 K16 K18 K20 K22 K24 K26 K28 K30 K32 K34">
    <cfRule type="expression" dxfId="34" priority="1" stopIfTrue="1">
      <formula>COUNTA($A12:$J12)&lt;&gt;rng_CFE_SheetCnt</formula>
    </cfRule>
  </conditionalFormatting>
  <conditionalFormatting sqref="A41:P41">
    <cfRule type="expression" dxfId="33" priority="2" stopIfTrue="1">
      <formula>OR(AND(LEN(A41)=0,$Q41&gt;0,$Q41&lt;5),AND(rng_EntryCount_Yes_Last_4Qs&gt;0,LEN(A41)=0))</formula>
    </cfRule>
  </conditionalFormatting>
  <conditionalFormatting sqref="L40:P40 L42:P42">
    <cfRule type="expression" dxfId="32" priority="3" stopIfTrue="1">
      <formula>AND(LEN($A40)&gt;0,LEN(L40)=0)</formula>
    </cfRule>
  </conditionalFormatting>
  <conditionalFormatting sqref="A37 L37:P37">
    <cfRule type="expression" dxfId="31" priority="4" stopIfTrue="1">
      <formula>rng_EntryCount_Last_4Qs&gt;0</formula>
    </cfRule>
  </conditionalFormatting>
  <dataValidations count="8">
    <dataValidation type="list" allowBlank="1" showInputMessage="1" showErrorMessage="1" error="   IMPORTANT!  Compliance Alert ..." sqref="I12 E32 E34 E12 G28 E28 I34 G22 E30 E18 E20 C20 C28 C30 C32 C34 C12 G26 G18 G32 G12 G20 C18 A18 A20 A28 A30 A32 A34 A12 G24 G14 G30 G34 G16 I32 I30 I28 I20 I18 I26 I16 I14 I24 I22" xr:uid="{00000000-0002-0000-0500-000000000000}">
      <formula1>val_Yes_No</formula1>
    </dataValidation>
    <dataValidation allowBlank="1" showInputMessage="1" showErrorMessage="1" sqref="D12:D34 K17 K13 J12:J34 H12:H34 F12:F34" xr:uid="{00000000-0002-0000-0500-000001000000}"/>
    <dataValidation type="textLength" operator="lessThan" allowBlank="1" showInputMessage="1" showErrorMessage="1" errorTitle="   IMPORTANT!  Invalid Entry ..." error="Filter numbers MUST be less than 11 characters in length._x000a_" sqref="A40 A42 A41:K41" xr:uid="{00000000-0002-0000-0500-000002000000}">
      <formula1>11</formula1>
    </dataValidation>
    <dataValidation type="custom" allowBlank="1" showInputMessage="1" showErrorMessage="1" errorTitle="   IMPORTANT!  Invalid Entry ..." error="Enter a value between 0 and 99.999_x000a__x000a_Please use no more than three (3) decimals._x000a__x000a_Use a blank cell (and NOT zero) to indicate no activity / measurement._x000a__x000a_" sqref="L40 L41:M42" xr:uid="{00000000-0002-0000-0500-000003000000}">
      <formula1>OR(AND(L40&gt;0.001,L40&lt;=99.999),LEN(L40)=0)</formula1>
    </dataValidation>
    <dataValidation type="date" allowBlank="1" showInputMessage="1" showErrorMessage="1" errorTitle="   IMPORTANT!  Invalid Entry ..." error="Enter a valid date within the current month only." sqref="N40:N42" xr:uid="{00000000-0002-0000-0500-000004000000}">
      <formula1>FormMasterDate-7</formula1>
      <formula2>FormLastDate+7</formula2>
    </dataValidation>
    <dataValidation type="textLength" operator="lessThan" allowBlank="1" showInputMessage="1" showErrorMessage="1" errorTitle="   IMPORTANT!  Invalid Entry ..." error="Please limit explanatory text to less than 256 characters in length._x000a_" sqref="O40:P42" xr:uid="{00000000-0002-0000-0500-000005000000}">
      <formula1>256</formula1>
    </dataValidation>
    <dataValidation type="list" allowBlank="1" showInputMessage="1" showErrorMessage="1" errorTitle="   IMPORTANT!  Invalid Entry ..." error="The value entered is NOT on this cell's drop-down list of valid choices._x000a__x000a_Press the CANCEL button and then make a selection from the drop-down menu in this cell._x000a__x000a_Please DO NOT use the RETRY button." sqref="A14 E16 A16 E14" xr:uid="{00000000-0002-0000-0500-000006000000}">
      <formula1>val_Yes_No</formula1>
    </dataValidation>
    <dataValidation type="list" allowBlank="1" showInputMessage="1" showErrorMessage="1" errorTitle="   IMPORTANT!  Invalid Entry ..." error="The value entered is NOT on this cell's drop-down list of valid choices._x000a__x000a_Press the CANCEL button and then make a selection from the drop-down menu in this cell._x000a__x000a_Please DO NOT use the RETRY button." sqref="C14 C22 E22 C24 E24 C26 E26 C16 A26 A24 A22" xr:uid="{00000000-0002-0000-0500-000007000000}">
      <formula1>val_NotApplicable</formula1>
    </dataValidation>
  </dataValidations>
  <printOptions horizontalCentered="1" verticalCentered="1"/>
  <pageMargins left="0.25" right="0.25" top="0.25" bottom="0.25" header="0.125" footer="0.125"/>
  <pageSetup orientation="landscape" r:id="rId1"/>
  <headerFooter alignWithMargins="0"/>
  <customProperties>
    <customPr name="SheetID" r:id="rId2"/>
  </customProperties>
  <drawing r:id="rId3"/>
  <legacyDrawing r:id="rId4"/>
  <controls>
    <mc:AlternateContent xmlns:mc="http://schemas.openxmlformats.org/markup-compatibility/2006">
      <mc:Choice Requires="x14">
        <control shapeId="54366" r:id="rId5" name="chkPopulateDefaultSettings">
          <controlPr defaultSize="0" autoFill="0" autoLine="0" r:id="rId6">
            <anchor moveWithCells="1">
              <from>
                <xdr:col>11</xdr:col>
                <xdr:colOff>285750</xdr:colOff>
                <xdr:row>8</xdr:row>
                <xdr:rowOff>209550</xdr:rowOff>
              </from>
              <to>
                <xdr:col>11</xdr:col>
                <xdr:colOff>468630</xdr:colOff>
                <xdr:row>9</xdr:row>
                <xdr:rowOff>160020</xdr:rowOff>
              </to>
            </anchor>
          </controlPr>
        </control>
      </mc:Choice>
      <mc:Fallback>
        <control shapeId="54366" r:id="rId5" name="chkPopulateDefaultSettings"/>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Chloramination">
    <pageSetUpPr fitToPage="1"/>
  </sheetPr>
  <dimension ref="A1:N51"/>
  <sheetViews>
    <sheetView showGridLines="0" zoomScale="110" zoomScaleNormal="110" workbookViewId="0">
      <pane xSplit="1" ySplit="12" topLeftCell="B13" activePane="bottomRight" state="frozenSplit"/>
      <selection pane="topRight"/>
      <selection pane="bottomLeft"/>
      <selection pane="bottomRight"/>
    </sheetView>
  </sheetViews>
  <sheetFormatPr defaultColWidth="12.44140625" defaultRowHeight="12.3" x14ac:dyDescent="0.4"/>
  <cols>
    <col min="1" max="1" width="9.71875" style="449" customWidth="1"/>
    <col min="2" max="2" width="10.71875" style="449" customWidth="1"/>
    <col min="3" max="3" width="14.71875" style="449" customWidth="1"/>
    <col min="4" max="4" width="16" style="449" customWidth="1"/>
    <col min="5" max="5" width="12" style="449" customWidth="1"/>
    <col min="6" max="6" width="15" style="449" customWidth="1"/>
    <col min="7" max="7" width="7.71875" style="449" customWidth="1"/>
    <col min="8" max="8" width="9.27734375" style="449" customWidth="1"/>
    <col min="9" max="9" width="10.71875" style="449" customWidth="1"/>
    <col min="10" max="10" width="8" style="449" customWidth="1"/>
    <col min="11" max="12" width="9.83203125" style="449" customWidth="1"/>
    <col min="13" max="14" width="7" style="447" hidden="1" customWidth="1"/>
    <col min="15" max="16384" width="12.44140625" style="449"/>
  </cols>
  <sheetData>
    <row r="1" spans="1:14" ht="15" x14ac:dyDescent="0.5">
      <c r="A1" s="451" t="s">
        <v>190</v>
      </c>
      <c r="B1" s="451"/>
      <c r="C1" s="451"/>
      <c r="D1" s="451"/>
      <c r="E1" s="451"/>
      <c r="F1" s="451"/>
      <c r="G1" s="451"/>
      <c r="H1" s="451"/>
      <c r="I1" s="451"/>
      <c r="J1" s="451"/>
      <c r="K1" s="451"/>
      <c r="L1" s="451"/>
      <c r="M1" s="506"/>
      <c r="N1" s="506"/>
    </row>
    <row r="2" spans="1:14" ht="3" customHeight="1" thickBot="1" x14ac:dyDescent="0.55000000000000004">
      <c r="A2" s="453"/>
      <c r="B2" s="522"/>
      <c r="C2" s="522"/>
      <c r="D2" s="522"/>
      <c r="E2" s="522"/>
      <c r="F2" s="522"/>
      <c r="G2" s="522"/>
      <c r="H2" s="522"/>
      <c r="I2" s="522"/>
      <c r="J2" s="522"/>
      <c r="K2" s="522"/>
      <c r="L2" s="522"/>
      <c r="M2" s="506"/>
      <c r="N2" s="506"/>
    </row>
    <row r="3" spans="1:14" s="205" customFormat="1" ht="10.5" hidden="1" x14ac:dyDescent="0.4">
      <c r="A3" s="199" t="s">
        <v>72</v>
      </c>
      <c r="B3" s="199"/>
      <c r="C3" s="200">
        <f>FormMasterDate</f>
        <v>43525</v>
      </c>
      <c r="D3" s="201"/>
      <c r="E3" s="523"/>
      <c r="F3" s="213" t="s">
        <v>31</v>
      </c>
      <c r="G3" s="197"/>
      <c r="H3" s="214" t="str">
        <f>IF(LEN(FormFacilityID)=0,"",FormFacilityID)</f>
        <v>P01</v>
      </c>
      <c r="I3" s="216"/>
      <c r="J3" s="524"/>
      <c r="K3" s="524"/>
      <c r="L3" s="460"/>
    </row>
    <row r="4" spans="1:14" s="208" customFormat="1" ht="3" hidden="1" customHeight="1" x14ac:dyDescent="0.4">
      <c r="A4" s="197"/>
      <c r="B4" s="197"/>
      <c r="C4" s="366"/>
      <c r="D4" s="197"/>
      <c r="E4" s="525"/>
      <c r="F4" s="192"/>
      <c r="G4" s="197"/>
      <c r="H4" s="197"/>
      <c r="I4" s="197"/>
      <c r="J4" s="197"/>
      <c r="K4" s="197"/>
      <c r="L4" s="197"/>
      <c r="M4" s="205"/>
      <c r="N4" s="205"/>
    </row>
    <row r="5" spans="1:14" s="208" customFormat="1" ht="10.5" hidden="1" x14ac:dyDescent="0.4">
      <c r="A5" s="209" t="s">
        <v>30</v>
      </c>
      <c r="B5" s="197"/>
      <c r="C5" s="210" t="str">
        <f>IF(LEN(FormPWSIDNum)=0,"",FormPWSIDNum)</f>
        <v>NC0392020</v>
      </c>
      <c r="D5" s="211"/>
      <c r="E5" s="525"/>
      <c r="F5" s="213" t="s">
        <v>33</v>
      </c>
      <c r="G5" s="213"/>
      <c r="H5" s="214" t="str">
        <f>IF(LEN(FormFacilityName)=0,"",FormFacilityName)</f>
        <v>Cary Apex WTP</v>
      </c>
      <c r="I5" s="217"/>
      <c r="J5" s="216"/>
      <c r="K5" s="216"/>
      <c r="L5" s="460"/>
      <c r="M5" s="205"/>
      <c r="N5" s="205"/>
    </row>
    <row r="6" spans="1:14" s="208" customFormat="1" ht="3" hidden="1" customHeight="1" x14ac:dyDescent="0.4">
      <c r="A6"/>
      <c r="B6"/>
      <c r="C6" s="526"/>
      <c r="D6" s="527"/>
      <c r="E6" s="346"/>
      <c r="F6" s="197"/>
      <c r="G6" s="197"/>
      <c r="H6" s="197"/>
      <c r="I6" s="197"/>
      <c r="J6" s="197"/>
      <c r="K6" s="197"/>
      <c r="L6" s="197"/>
      <c r="M6" s="205"/>
      <c r="N6" s="205"/>
    </row>
    <row r="7" spans="1:14" s="208" customFormat="1" hidden="1" x14ac:dyDescent="0.4">
      <c r="A7" s="209" t="s">
        <v>32</v>
      </c>
      <c r="B7" s="209"/>
      <c r="C7" s="528" t="str">
        <f>IF(LEN(FormWaterSysName)=0,"",FormWaterSysName)</f>
        <v>Cary, Town of</v>
      </c>
      <c r="D7" s="529"/>
      <c r="E7" s="346"/>
      <c r="F7" s="213" t="s">
        <v>139</v>
      </c>
      <c r="G7" s="213"/>
      <c r="H7" s="214" t="str">
        <f>IF(LEN(SP_ID_1_eprd)=0,"",SP_ID_1_eprd)</f>
        <v>EP1</v>
      </c>
      <c r="I7" s="216"/>
      <c r="J7" s="216"/>
      <c r="K7" s="216"/>
      <c r="L7" s="460"/>
      <c r="M7" s="205"/>
      <c r="N7" s="205"/>
    </row>
    <row r="8" spans="1:14" s="208" customFormat="1" ht="7.9" hidden="1" customHeight="1" thickBot="1" x14ac:dyDescent="0.4">
      <c r="A8" s="197"/>
      <c r="B8" s="197"/>
      <c r="C8" s="76" t="s">
        <v>160</v>
      </c>
      <c r="D8" s="197"/>
      <c r="E8" s="366"/>
      <c r="F8" s="197"/>
      <c r="G8" s="197"/>
      <c r="H8" s="60">
        <f>IF(LEN(SP_Key_1_eprd)=0,"",SP_Key_1_eprd)</f>
        <v>71879</v>
      </c>
      <c r="I8" s="197"/>
      <c r="J8" s="197"/>
      <c r="K8" s="197"/>
      <c r="L8" s="197"/>
      <c r="M8" s="205"/>
      <c r="N8" s="205"/>
    </row>
    <row r="9" spans="1:14" ht="12" customHeight="1" x14ac:dyDescent="0.4">
      <c r="A9" s="530"/>
      <c r="B9" s="1154" t="s">
        <v>191</v>
      </c>
      <c r="C9" s="1155"/>
      <c r="D9" s="1155"/>
      <c r="E9" s="1156"/>
      <c r="F9" s="1160" t="s">
        <v>192</v>
      </c>
      <c r="G9" s="1161"/>
      <c r="H9" s="1161"/>
      <c r="I9" s="1161"/>
      <c r="J9" s="1161"/>
      <c r="K9" s="1161"/>
      <c r="L9" s="1162"/>
      <c r="M9" s="205"/>
      <c r="N9" s="205"/>
    </row>
    <row r="10" spans="1:14" ht="12" customHeight="1" x14ac:dyDescent="0.4">
      <c r="A10" s="531"/>
      <c r="B10" s="1157"/>
      <c r="C10" s="1158"/>
      <c r="D10" s="1158"/>
      <c r="E10" s="1159"/>
      <c r="F10" s="1163"/>
      <c r="G10" s="1164"/>
      <c r="H10" s="1164"/>
      <c r="I10" s="1164"/>
      <c r="J10" s="1164"/>
      <c r="K10" s="1164"/>
      <c r="L10" s="1165"/>
      <c r="M10" s="205"/>
      <c r="N10" s="205"/>
    </row>
    <row r="11" spans="1:14" s="539" customFormat="1" ht="35.5" customHeight="1" x14ac:dyDescent="0.35">
      <c r="A11" s="534" t="s">
        <v>38</v>
      </c>
      <c r="B11" s="535" t="s">
        <v>193</v>
      </c>
      <c r="C11" s="536" t="s">
        <v>194</v>
      </c>
      <c r="D11" s="536" t="s">
        <v>195</v>
      </c>
      <c r="E11" s="532" t="s">
        <v>196</v>
      </c>
      <c r="F11" s="537" t="s">
        <v>197</v>
      </c>
      <c r="G11" s="536" t="s">
        <v>198</v>
      </c>
      <c r="H11" s="538" t="s">
        <v>199</v>
      </c>
      <c r="I11" s="538" t="s">
        <v>200</v>
      </c>
      <c r="J11" s="538" t="s">
        <v>80</v>
      </c>
      <c r="K11" s="536" t="s">
        <v>201</v>
      </c>
      <c r="L11" s="533" t="s">
        <v>202</v>
      </c>
      <c r="M11" s="77" t="s">
        <v>203</v>
      </c>
      <c r="N11" s="78" t="s">
        <v>204</v>
      </c>
    </row>
    <row r="12" spans="1:14" s="545" customFormat="1" ht="10.5" hidden="1" customHeight="1" x14ac:dyDescent="0.4">
      <c r="A12" s="540"/>
      <c r="B12" s="541" t="s">
        <v>205</v>
      </c>
      <c r="C12" s="542" t="s">
        <v>55</v>
      </c>
      <c r="D12" s="541" t="s">
        <v>205</v>
      </c>
      <c r="E12" s="542" t="s">
        <v>58</v>
      </c>
      <c r="F12" s="541" t="s">
        <v>133</v>
      </c>
      <c r="G12" s="543" t="s">
        <v>133</v>
      </c>
      <c r="H12" s="543" t="s">
        <v>55</v>
      </c>
      <c r="I12" s="543" t="s">
        <v>55</v>
      </c>
      <c r="J12" s="543" t="s">
        <v>127</v>
      </c>
      <c r="K12" s="543" t="s">
        <v>55</v>
      </c>
      <c r="L12" s="544" t="s">
        <v>55</v>
      </c>
      <c r="M12" s="79"/>
      <c r="N12" s="80"/>
    </row>
    <row r="13" spans="1:14" s="547" customFormat="1" ht="11.4" x14ac:dyDescent="0.4">
      <c r="A13" s="162">
        <v>1</v>
      </c>
      <c r="B13" s="81"/>
      <c r="C13" s="82">
        <f>'User Data'!AC7</f>
        <v>3</v>
      </c>
      <c r="D13" s="83"/>
      <c r="E13" s="84" t="str">
        <f>IF(OR($C13=0,'1940 - Plant Op.'!$AK16=0,LEN('1940 - Plant Op.'!$AK16)=0),"",$C13/'1940 - Plant Op.'!$AK16)</f>
        <v/>
      </c>
      <c r="F13" s="85">
        <f>'User Data'!AE7</f>
        <v>0</v>
      </c>
      <c r="G13" s="86">
        <f>'User Data'!AD7</f>
        <v>2.74</v>
      </c>
      <c r="H13" s="82">
        <f>'User Data'!AF7</f>
        <v>0</v>
      </c>
      <c r="I13" s="82">
        <f>'User Data'!CS11</f>
        <v>0</v>
      </c>
      <c r="J13" s="87">
        <f>'User Data'!AS7</f>
        <v>7.83</v>
      </c>
      <c r="K13" s="82"/>
      <c r="L13" s="88"/>
      <c r="M13" s="546">
        <f t="shared" ref="M13:M43" si="0">IF(UPPER(rng_DisinfectantUsed)="CHLORAMINES",COUNT(F13,H13:J13),0)</f>
        <v>0</v>
      </c>
      <c r="N13" s="546">
        <f t="shared" ref="N13:N43" si="1">IF(AND(COUNT(B13:L13)&gt;0,COUNT(F13,H13:J13)=0,COUNT(G13)=0),1,0)</f>
        <v>0</v>
      </c>
    </row>
    <row r="14" spans="1:14" s="547" customFormat="1" ht="11.4" x14ac:dyDescent="0.4">
      <c r="A14" s="162">
        <v>2</v>
      </c>
      <c r="B14" s="81"/>
      <c r="C14" s="82">
        <f>'User Data'!AC8</f>
        <v>3.06</v>
      </c>
      <c r="D14" s="83"/>
      <c r="E14" s="84" t="str">
        <f>IF(OR($C14=0,'1940 - Plant Op.'!$AK17=0,LEN('1940 - Plant Op.'!$AK17)=0),"",$C14/'1940 - Plant Op.'!$AK17)</f>
        <v/>
      </c>
      <c r="F14" s="85">
        <f>'User Data'!AE8</f>
        <v>0</v>
      </c>
      <c r="G14" s="86">
        <f>'User Data'!AD8</f>
        <v>2.56</v>
      </c>
      <c r="H14" s="82">
        <f>'User Data'!AF8</f>
        <v>0</v>
      </c>
      <c r="I14" s="82">
        <f>'User Data'!CS12</f>
        <v>0</v>
      </c>
      <c r="J14" s="87">
        <f>'User Data'!AS8</f>
        <v>7.81</v>
      </c>
      <c r="K14" s="82"/>
      <c r="L14" s="88"/>
      <c r="M14" s="546">
        <f t="shared" si="0"/>
        <v>0</v>
      </c>
      <c r="N14" s="546">
        <f t="shared" si="1"/>
        <v>0</v>
      </c>
    </row>
    <row r="15" spans="1:14" s="547" customFormat="1" ht="11.4" x14ac:dyDescent="0.4">
      <c r="A15" s="162">
        <v>3</v>
      </c>
      <c r="B15" s="81"/>
      <c r="C15" s="82">
        <f>'User Data'!AC9</f>
        <v>3.01</v>
      </c>
      <c r="D15" s="83"/>
      <c r="E15" s="84" t="str">
        <f>IF(OR($C15=0,'1940 - Plant Op.'!$AK18=0,LEN('1940 - Plant Op.'!$AK18)=0),"",$C15/'1940 - Plant Op.'!$AK18)</f>
        <v/>
      </c>
      <c r="F15" s="85">
        <f>'User Data'!AE9</f>
        <v>0</v>
      </c>
      <c r="G15" s="86">
        <f>'User Data'!AD9</f>
        <v>2.78</v>
      </c>
      <c r="H15" s="82">
        <f>'User Data'!AF9</f>
        <v>0</v>
      </c>
      <c r="I15" s="82">
        <f>'User Data'!CS13</f>
        <v>0</v>
      </c>
      <c r="J15" s="87">
        <f>'User Data'!AS9</f>
        <v>7.85</v>
      </c>
      <c r="K15" s="82"/>
      <c r="L15" s="88"/>
      <c r="M15" s="546">
        <f t="shared" si="0"/>
        <v>0</v>
      </c>
      <c r="N15" s="546">
        <f t="shared" si="1"/>
        <v>0</v>
      </c>
    </row>
    <row r="16" spans="1:14" s="547" customFormat="1" ht="11.4" x14ac:dyDescent="0.4">
      <c r="A16" s="162">
        <v>4</v>
      </c>
      <c r="B16" s="81"/>
      <c r="C16" s="82">
        <f>'User Data'!AC10</f>
        <v>3.17</v>
      </c>
      <c r="D16" s="83"/>
      <c r="E16" s="84" t="str">
        <f>IF(OR($C16=0,'1940 - Plant Op.'!$AK19=0,LEN('1940 - Plant Op.'!$AK19)=0),"",$C16/'1940 - Plant Op.'!$AK19)</f>
        <v/>
      </c>
      <c r="F16" s="85">
        <f>'User Data'!AE10</f>
        <v>0</v>
      </c>
      <c r="G16" s="86">
        <f>'User Data'!AD10</f>
        <v>2.68</v>
      </c>
      <c r="H16" s="82">
        <f>'User Data'!AF10</f>
        <v>0</v>
      </c>
      <c r="I16" s="82">
        <f>'User Data'!CS14</f>
        <v>0</v>
      </c>
      <c r="J16" s="87">
        <f>'User Data'!AS10</f>
        <v>7.87</v>
      </c>
      <c r="K16" s="82"/>
      <c r="L16" s="88"/>
      <c r="M16" s="546">
        <f t="shared" si="0"/>
        <v>0</v>
      </c>
      <c r="N16" s="546">
        <f t="shared" si="1"/>
        <v>0</v>
      </c>
    </row>
    <row r="17" spans="1:14" s="547" customFormat="1" ht="11.4" x14ac:dyDescent="0.4">
      <c r="A17" s="162">
        <v>5</v>
      </c>
      <c r="B17" s="81"/>
      <c r="C17" s="82">
        <f>'User Data'!AC11</f>
        <v>3.22</v>
      </c>
      <c r="D17" s="83"/>
      <c r="E17" s="84" t="str">
        <f>IF(OR($C17=0,'1940 - Plant Op.'!$AK20=0,LEN('1940 - Plant Op.'!$AK20)=0),"",$C17/'1940 - Plant Op.'!$AK20)</f>
        <v/>
      </c>
      <c r="F17" s="85">
        <f>'User Data'!AE11</f>
        <v>0</v>
      </c>
      <c r="G17" s="86">
        <f>'User Data'!AD11</f>
        <v>2.93</v>
      </c>
      <c r="H17" s="82">
        <f>'User Data'!AF11</f>
        <v>0</v>
      </c>
      <c r="I17" s="82">
        <f>'User Data'!CS15</f>
        <v>0</v>
      </c>
      <c r="J17" s="87">
        <f>'User Data'!AS11</f>
        <v>7.94</v>
      </c>
      <c r="K17" s="82"/>
      <c r="L17" s="88"/>
      <c r="M17" s="546">
        <f t="shared" si="0"/>
        <v>0</v>
      </c>
      <c r="N17" s="546">
        <f t="shared" si="1"/>
        <v>0</v>
      </c>
    </row>
    <row r="18" spans="1:14" s="547" customFormat="1" ht="11.4" x14ac:dyDescent="0.4">
      <c r="A18" s="162">
        <v>6</v>
      </c>
      <c r="B18" s="81"/>
      <c r="C18" s="82">
        <f>'User Data'!AC12</f>
        <v>3.3</v>
      </c>
      <c r="D18" s="83"/>
      <c r="E18" s="84" t="str">
        <f>IF(OR($C18=0,'1940 - Plant Op.'!$AK21=0,LEN('1940 - Plant Op.'!$AK21)=0),"",$C18/'1940 - Plant Op.'!$AK21)</f>
        <v/>
      </c>
      <c r="F18" s="85">
        <f>'User Data'!AE12</f>
        <v>0</v>
      </c>
      <c r="G18" s="86">
        <f>'User Data'!AD12</f>
        <v>2.87</v>
      </c>
      <c r="H18" s="82">
        <f>'User Data'!AF12</f>
        <v>0</v>
      </c>
      <c r="I18" s="82">
        <f>'User Data'!CS16</f>
        <v>0</v>
      </c>
      <c r="J18" s="87">
        <f>'User Data'!AS12</f>
        <v>7.69</v>
      </c>
      <c r="K18" s="82"/>
      <c r="L18" s="88"/>
      <c r="M18" s="546">
        <f t="shared" si="0"/>
        <v>0</v>
      </c>
      <c r="N18" s="546">
        <f t="shared" si="1"/>
        <v>0</v>
      </c>
    </row>
    <row r="19" spans="1:14" s="547" customFormat="1" ht="11.4" x14ac:dyDescent="0.4">
      <c r="A19" s="162">
        <v>7</v>
      </c>
      <c r="B19" s="81"/>
      <c r="C19" s="82">
        <f>'User Data'!AC13</f>
        <v>3.06</v>
      </c>
      <c r="D19" s="83"/>
      <c r="E19" s="84" t="str">
        <f>IF(OR($C19=0,'1940 - Plant Op.'!$AK22=0,LEN('1940 - Plant Op.'!$AK22)=0),"",$C19/'1940 - Plant Op.'!$AK22)</f>
        <v/>
      </c>
      <c r="F19" s="85">
        <f>'User Data'!AE13</f>
        <v>0</v>
      </c>
      <c r="G19" s="86">
        <f>'User Data'!AD13</f>
        <v>2.95</v>
      </c>
      <c r="H19" s="82">
        <f>'User Data'!AF13</f>
        <v>0</v>
      </c>
      <c r="I19" s="82">
        <f>'User Data'!CS17</f>
        <v>0</v>
      </c>
      <c r="J19" s="87">
        <f>'User Data'!AS13</f>
        <v>7.94</v>
      </c>
      <c r="K19" s="82"/>
      <c r="L19" s="88"/>
      <c r="M19" s="546">
        <f t="shared" si="0"/>
        <v>0</v>
      </c>
      <c r="N19" s="546">
        <f t="shared" si="1"/>
        <v>0</v>
      </c>
    </row>
    <row r="20" spans="1:14" s="547" customFormat="1" ht="11.4" x14ac:dyDescent="0.4">
      <c r="A20" s="162">
        <v>8</v>
      </c>
      <c r="B20" s="81"/>
      <c r="C20" s="82">
        <f>'User Data'!AC14</f>
        <v>3.1</v>
      </c>
      <c r="D20" s="83"/>
      <c r="E20" s="84" t="str">
        <f>IF(OR($C20=0,'1940 - Plant Op.'!$AK23=0,LEN('1940 - Plant Op.'!$AK23)=0),"",$C20/'1940 - Plant Op.'!$AK23)</f>
        <v/>
      </c>
      <c r="F20" s="85">
        <f>'User Data'!AE14</f>
        <v>0</v>
      </c>
      <c r="G20" s="86">
        <f>'User Data'!AD14</f>
        <v>2.71</v>
      </c>
      <c r="H20" s="82">
        <f>'User Data'!AF14</f>
        <v>0</v>
      </c>
      <c r="I20" s="82">
        <f>'User Data'!CS18</f>
        <v>0</v>
      </c>
      <c r="J20" s="87">
        <f>'User Data'!AS14</f>
        <v>7.92</v>
      </c>
      <c r="K20" s="82"/>
      <c r="L20" s="88"/>
      <c r="M20" s="546">
        <f t="shared" si="0"/>
        <v>0</v>
      </c>
      <c r="N20" s="546">
        <f t="shared" si="1"/>
        <v>0</v>
      </c>
    </row>
    <row r="21" spans="1:14" s="547" customFormat="1" ht="11.4" x14ac:dyDescent="0.4">
      <c r="A21" s="162">
        <v>9</v>
      </c>
      <c r="B21" s="81"/>
      <c r="C21" s="82">
        <f>'User Data'!AC15</f>
        <v>2.99</v>
      </c>
      <c r="D21" s="83"/>
      <c r="E21" s="84" t="str">
        <f>IF(OR($C21=0,'1940 - Plant Op.'!$AK24=0,LEN('1940 - Plant Op.'!$AK24)=0),"",$C21/'1940 - Plant Op.'!$AK24)</f>
        <v/>
      </c>
      <c r="F21" s="85">
        <f>'User Data'!AE15</f>
        <v>0</v>
      </c>
      <c r="G21" s="86">
        <f>'User Data'!AD15</f>
        <v>2.72</v>
      </c>
      <c r="H21" s="82">
        <f>'User Data'!AF15</f>
        <v>0</v>
      </c>
      <c r="I21" s="82">
        <f>'User Data'!CS19</f>
        <v>0</v>
      </c>
      <c r="J21" s="87">
        <f>'User Data'!AS15</f>
        <v>7.76</v>
      </c>
      <c r="K21" s="82"/>
      <c r="L21" s="88"/>
      <c r="M21" s="546">
        <f t="shared" si="0"/>
        <v>0</v>
      </c>
      <c r="N21" s="546">
        <f t="shared" si="1"/>
        <v>0</v>
      </c>
    </row>
    <row r="22" spans="1:14" s="547" customFormat="1" ht="11.4" x14ac:dyDescent="0.4">
      <c r="A22" s="162">
        <v>10</v>
      </c>
      <c r="B22" s="81"/>
      <c r="C22" s="82">
        <f>'User Data'!AC16</f>
        <v>2.96</v>
      </c>
      <c r="D22" s="83"/>
      <c r="E22" s="84" t="str">
        <f>IF(OR($C22=0,'1940 - Plant Op.'!$AK25=0,LEN('1940 - Plant Op.'!$AK25)=0),"",$C22/'1940 - Plant Op.'!$AK25)</f>
        <v/>
      </c>
      <c r="F22" s="85">
        <f>'User Data'!AE16</f>
        <v>0</v>
      </c>
      <c r="G22" s="86">
        <f>'User Data'!AD16</f>
        <v>2.7</v>
      </c>
      <c r="H22" s="82">
        <f>'User Data'!AF16</f>
        <v>0</v>
      </c>
      <c r="I22" s="82">
        <f>'User Data'!CS20</f>
        <v>0</v>
      </c>
      <c r="J22" s="87">
        <f>'User Data'!AS16</f>
        <v>7.72</v>
      </c>
      <c r="K22" s="82"/>
      <c r="L22" s="88"/>
      <c r="M22" s="546">
        <f t="shared" si="0"/>
        <v>0</v>
      </c>
      <c r="N22" s="546">
        <f t="shared" si="1"/>
        <v>0</v>
      </c>
    </row>
    <row r="23" spans="1:14" s="547" customFormat="1" ht="11.4" x14ac:dyDescent="0.4">
      <c r="A23" s="162">
        <v>11</v>
      </c>
      <c r="B23" s="81"/>
      <c r="C23" s="82">
        <f>'User Data'!AC17</f>
        <v>2.93</v>
      </c>
      <c r="D23" s="83"/>
      <c r="E23" s="84" t="str">
        <f>IF(OR($C23=0,'1940 - Plant Op.'!$AK26=0,LEN('1940 - Plant Op.'!$AK26)=0),"",$C23/'1940 - Plant Op.'!$AK26)</f>
        <v/>
      </c>
      <c r="F23" s="85">
        <f>'User Data'!AE17</f>
        <v>0</v>
      </c>
      <c r="G23" s="86">
        <f>'User Data'!AD17</f>
        <v>2.76</v>
      </c>
      <c r="H23" s="82">
        <f>'User Data'!AF17</f>
        <v>0</v>
      </c>
      <c r="I23" s="82">
        <f>'User Data'!CS21</f>
        <v>0</v>
      </c>
      <c r="J23" s="87">
        <f>'User Data'!AS17</f>
        <v>7.66</v>
      </c>
      <c r="K23" s="82"/>
      <c r="L23" s="88"/>
      <c r="M23" s="546">
        <f t="shared" si="0"/>
        <v>0</v>
      </c>
      <c r="N23" s="546">
        <f t="shared" si="1"/>
        <v>0</v>
      </c>
    </row>
    <row r="24" spans="1:14" s="547" customFormat="1" ht="11.4" x14ac:dyDescent="0.4">
      <c r="A24" s="162">
        <v>12</v>
      </c>
      <c r="B24" s="81"/>
      <c r="C24" s="82">
        <f>'User Data'!AC18</f>
        <v>2.96</v>
      </c>
      <c r="D24" s="83"/>
      <c r="E24" s="84" t="str">
        <f>IF(OR($C24=0,'1940 - Plant Op.'!$AK27=0,LEN('1940 - Plant Op.'!$AK27)=0),"",$C24/'1940 - Plant Op.'!$AK27)</f>
        <v/>
      </c>
      <c r="F24" s="85">
        <f>'User Data'!AE18</f>
        <v>0</v>
      </c>
      <c r="G24" s="86">
        <f>'User Data'!AD18</f>
        <v>2.63</v>
      </c>
      <c r="H24" s="82">
        <f>'User Data'!AF18</f>
        <v>0</v>
      </c>
      <c r="I24" s="82">
        <f>'User Data'!CS22</f>
        <v>0</v>
      </c>
      <c r="J24" s="87">
        <f>'User Data'!AS18</f>
        <v>7.85</v>
      </c>
      <c r="K24" s="82"/>
      <c r="L24" s="88"/>
      <c r="M24" s="546">
        <f t="shared" si="0"/>
        <v>0</v>
      </c>
      <c r="N24" s="546">
        <f t="shared" si="1"/>
        <v>0</v>
      </c>
    </row>
    <row r="25" spans="1:14" s="547" customFormat="1" ht="11.4" x14ac:dyDescent="0.4">
      <c r="A25" s="162">
        <v>13</v>
      </c>
      <c r="B25" s="81"/>
      <c r="C25" s="82">
        <f>'User Data'!AC19</f>
        <v>2.96</v>
      </c>
      <c r="D25" s="83"/>
      <c r="E25" s="84" t="str">
        <f>IF(OR($C25=0,'1940 - Plant Op.'!$AK28=0,LEN('1940 - Plant Op.'!$AK28)=0),"",$C25/'1940 - Plant Op.'!$AK28)</f>
        <v/>
      </c>
      <c r="F25" s="85">
        <f>'User Data'!AE19</f>
        <v>0</v>
      </c>
      <c r="G25" s="86">
        <f>'User Data'!AD19</f>
        <v>2.66</v>
      </c>
      <c r="H25" s="82">
        <f>'User Data'!AF19</f>
        <v>0</v>
      </c>
      <c r="I25" s="82">
        <f>'User Data'!CS23</f>
        <v>0</v>
      </c>
      <c r="J25" s="87">
        <f>'User Data'!AS19</f>
        <v>7.9</v>
      </c>
      <c r="K25" s="82"/>
      <c r="L25" s="88"/>
      <c r="M25" s="546">
        <f t="shared" si="0"/>
        <v>0</v>
      </c>
      <c r="N25" s="546">
        <f t="shared" si="1"/>
        <v>0</v>
      </c>
    </row>
    <row r="26" spans="1:14" s="547" customFormat="1" ht="11.4" x14ac:dyDescent="0.4">
      <c r="A26" s="162">
        <v>14</v>
      </c>
      <c r="B26" s="81"/>
      <c r="C26" s="82">
        <f>'User Data'!AC20</f>
        <v>3.03</v>
      </c>
      <c r="D26" s="83"/>
      <c r="E26" s="84" t="str">
        <f>IF(OR($C26=0,'1940 - Plant Op.'!$AK29=0,LEN('1940 - Plant Op.'!$AK29)=0),"",$C26/'1940 - Plant Op.'!$AK29)</f>
        <v/>
      </c>
      <c r="F26" s="85">
        <f>'User Data'!AE20</f>
        <v>0</v>
      </c>
      <c r="G26" s="86">
        <f>'User Data'!AD20</f>
        <v>2.65</v>
      </c>
      <c r="H26" s="82">
        <f>'User Data'!AF20</f>
        <v>0</v>
      </c>
      <c r="I26" s="82">
        <f>'User Data'!CS24</f>
        <v>0</v>
      </c>
      <c r="J26" s="87">
        <f>'User Data'!AS20</f>
        <v>7.64</v>
      </c>
      <c r="K26" s="82"/>
      <c r="L26" s="88"/>
      <c r="M26" s="546">
        <f t="shared" si="0"/>
        <v>0</v>
      </c>
      <c r="N26" s="546">
        <f t="shared" si="1"/>
        <v>0</v>
      </c>
    </row>
    <row r="27" spans="1:14" s="547" customFormat="1" ht="11.4" x14ac:dyDescent="0.4">
      <c r="A27" s="162">
        <v>15</v>
      </c>
      <c r="B27" s="81"/>
      <c r="C27" s="82">
        <f>'User Data'!AC21</f>
        <v>3</v>
      </c>
      <c r="D27" s="83"/>
      <c r="E27" s="84" t="str">
        <f>IF(OR($C27=0,'1940 - Plant Op.'!$AK30=0,LEN('1940 - Plant Op.'!$AK30)=0),"",$C27/'1940 - Plant Op.'!$AK30)</f>
        <v/>
      </c>
      <c r="F27" s="85">
        <f>'User Data'!AE21</f>
        <v>0</v>
      </c>
      <c r="G27" s="86">
        <f>'User Data'!AD21</f>
        <v>2.77</v>
      </c>
      <c r="H27" s="82">
        <f>'User Data'!AF21</f>
        <v>0</v>
      </c>
      <c r="I27" s="82">
        <f>'User Data'!CS25</f>
        <v>0</v>
      </c>
      <c r="J27" s="87">
        <f>'User Data'!AS21</f>
        <v>7.92</v>
      </c>
      <c r="K27" s="82"/>
      <c r="L27" s="88"/>
      <c r="M27" s="546">
        <f t="shared" si="0"/>
        <v>0</v>
      </c>
      <c r="N27" s="546">
        <f t="shared" si="1"/>
        <v>0</v>
      </c>
    </row>
    <row r="28" spans="1:14" s="547" customFormat="1" ht="11.4" x14ac:dyDescent="0.4">
      <c r="A28" s="162">
        <v>16</v>
      </c>
      <c r="B28" s="81"/>
      <c r="C28" s="82">
        <f>'User Data'!AC22</f>
        <v>3</v>
      </c>
      <c r="D28" s="83"/>
      <c r="E28" s="84" t="str">
        <f>IF(OR($C28=0,'1940 - Plant Op.'!$AK31=0,LEN('1940 - Plant Op.'!$AK31)=0),"",$C28/'1940 - Plant Op.'!$AK31)</f>
        <v/>
      </c>
      <c r="F28" s="85">
        <f>'User Data'!AE22</f>
        <v>0</v>
      </c>
      <c r="G28" s="86">
        <f>'User Data'!AD22</f>
        <v>2.75</v>
      </c>
      <c r="H28" s="82">
        <f>'User Data'!AF22</f>
        <v>0</v>
      </c>
      <c r="I28" s="82">
        <f>'User Data'!CS26</f>
        <v>0</v>
      </c>
      <c r="J28" s="87">
        <f>'User Data'!AS22</f>
        <v>7.83</v>
      </c>
      <c r="K28" s="82"/>
      <c r="L28" s="88"/>
      <c r="M28" s="546">
        <f t="shared" si="0"/>
        <v>0</v>
      </c>
      <c r="N28" s="546">
        <f t="shared" si="1"/>
        <v>0</v>
      </c>
    </row>
    <row r="29" spans="1:14" s="547" customFormat="1" ht="11.4" x14ac:dyDescent="0.4">
      <c r="A29" s="162">
        <v>17</v>
      </c>
      <c r="B29" s="81"/>
      <c r="C29" s="82">
        <f>'User Data'!AC23</f>
        <v>2.66</v>
      </c>
      <c r="D29" s="83"/>
      <c r="E29" s="84" t="str">
        <f>IF(OR($C29=0,'1940 - Plant Op.'!$AK32=0,LEN('1940 - Plant Op.'!$AK32)=0),"",$C29/'1940 - Plant Op.'!$AK32)</f>
        <v/>
      </c>
      <c r="F29" s="85">
        <f>'User Data'!AE23</f>
        <v>0</v>
      </c>
      <c r="G29" s="86">
        <f>'User Data'!AD23</f>
        <v>3</v>
      </c>
      <c r="H29" s="82">
        <f>'User Data'!AF23</f>
        <v>0</v>
      </c>
      <c r="I29" s="82">
        <f>'User Data'!CS27</f>
        <v>0</v>
      </c>
      <c r="J29" s="87">
        <f>'User Data'!AS23</f>
        <v>8.02</v>
      </c>
      <c r="K29" s="82"/>
      <c r="L29" s="88"/>
      <c r="M29" s="546">
        <f t="shared" si="0"/>
        <v>0</v>
      </c>
      <c r="N29" s="546">
        <f t="shared" si="1"/>
        <v>0</v>
      </c>
    </row>
    <row r="30" spans="1:14" s="547" customFormat="1" ht="11.4" x14ac:dyDescent="0.4">
      <c r="A30" s="162">
        <v>18</v>
      </c>
      <c r="B30" s="81"/>
      <c r="C30" s="82">
        <f>'User Data'!AC24</f>
        <v>2.88</v>
      </c>
      <c r="D30" s="83"/>
      <c r="E30" s="84" t="str">
        <f>IF(OR($C30=0,'1940 - Plant Op.'!$AK33=0,LEN('1940 - Plant Op.'!$AK33)=0),"",$C30/'1940 - Plant Op.'!$AK33)</f>
        <v/>
      </c>
      <c r="F30" s="85">
        <f>'User Data'!AE24</f>
        <v>0</v>
      </c>
      <c r="G30" s="86">
        <f>'User Data'!AD24</f>
        <v>2.91</v>
      </c>
      <c r="H30" s="82">
        <f>'User Data'!AF24</f>
        <v>0</v>
      </c>
      <c r="I30" s="82">
        <f>'User Data'!CS28</f>
        <v>0</v>
      </c>
      <c r="J30" s="87">
        <f>'User Data'!AS24</f>
        <v>7.8</v>
      </c>
      <c r="K30" s="82"/>
      <c r="L30" s="88"/>
      <c r="M30" s="546">
        <f t="shared" si="0"/>
        <v>0</v>
      </c>
      <c r="N30" s="546">
        <f t="shared" si="1"/>
        <v>0</v>
      </c>
    </row>
    <row r="31" spans="1:14" s="547" customFormat="1" ht="11.4" x14ac:dyDescent="0.4">
      <c r="A31" s="162">
        <v>19</v>
      </c>
      <c r="B31" s="81"/>
      <c r="C31" s="82">
        <f>'User Data'!AC25</f>
        <v>3</v>
      </c>
      <c r="D31" s="83"/>
      <c r="E31" s="84" t="str">
        <f>IF(OR($C31=0,'1940 - Plant Op.'!$AK34=0,LEN('1940 - Plant Op.'!$AK34)=0),"",$C31/'1940 - Plant Op.'!$AK34)</f>
        <v/>
      </c>
      <c r="F31" s="85">
        <f>'User Data'!AE25</f>
        <v>0</v>
      </c>
      <c r="G31" s="86">
        <f>'User Data'!AD25</f>
        <v>2.62</v>
      </c>
      <c r="H31" s="82">
        <f>'User Data'!AF25</f>
        <v>0</v>
      </c>
      <c r="I31" s="82">
        <f>'User Data'!CS29</f>
        <v>0</v>
      </c>
      <c r="J31" s="87">
        <f>'User Data'!AS25</f>
        <v>7.7</v>
      </c>
      <c r="K31" s="82"/>
      <c r="L31" s="88"/>
      <c r="M31" s="546">
        <f t="shared" si="0"/>
        <v>0</v>
      </c>
      <c r="N31" s="546">
        <f t="shared" si="1"/>
        <v>0</v>
      </c>
    </row>
    <row r="32" spans="1:14" s="547" customFormat="1" ht="11.4" x14ac:dyDescent="0.4">
      <c r="A32" s="162">
        <v>20</v>
      </c>
      <c r="B32" s="81"/>
      <c r="C32" s="82">
        <f>'User Data'!AC26</f>
        <v>2.9</v>
      </c>
      <c r="D32" s="83"/>
      <c r="E32" s="84" t="str">
        <f>IF(OR($C32=0,'1940 - Plant Op.'!$AK35=0,LEN('1940 - Plant Op.'!$AK35)=0),"",$C32/'1940 - Plant Op.'!$AK35)</f>
        <v/>
      </c>
      <c r="F32" s="85">
        <f>'User Data'!AE26</f>
        <v>0</v>
      </c>
      <c r="G32" s="86">
        <f>'User Data'!AD26</f>
        <v>2.74</v>
      </c>
      <c r="H32" s="82">
        <f>'User Data'!AF26</f>
        <v>0</v>
      </c>
      <c r="I32" s="82">
        <f>'User Data'!CS30</f>
        <v>0</v>
      </c>
      <c r="J32" s="87">
        <f>'User Data'!AS26</f>
        <v>7.74</v>
      </c>
      <c r="K32" s="82"/>
      <c r="L32" s="88"/>
      <c r="M32" s="546">
        <f t="shared" si="0"/>
        <v>0</v>
      </c>
      <c r="N32" s="546">
        <f t="shared" si="1"/>
        <v>0</v>
      </c>
    </row>
    <row r="33" spans="1:14" s="547" customFormat="1" ht="11.4" x14ac:dyDescent="0.4">
      <c r="A33" s="162">
        <v>21</v>
      </c>
      <c r="B33" s="81"/>
      <c r="C33" s="82">
        <f>'User Data'!AC27</f>
        <v>2.76</v>
      </c>
      <c r="D33" s="83"/>
      <c r="E33" s="84" t="str">
        <f>IF(OR($C33=0,'1940 - Plant Op.'!$AK36=0,LEN('1940 - Plant Op.'!$AK36)=0),"",$C33/'1940 - Plant Op.'!$AK36)</f>
        <v/>
      </c>
      <c r="F33" s="85">
        <f>'User Data'!AE27</f>
        <v>0</v>
      </c>
      <c r="G33" s="86">
        <f>'User Data'!AD27</f>
        <v>2.61</v>
      </c>
      <c r="H33" s="82">
        <f>'User Data'!AF27</f>
        <v>0</v>
      </c>
      <c r="I33" s="82">
        <f>'User Data'!CS31</f>
        <v>0</v>
      </c>
      <c r="J33" s="87">
        <f>'User Data'!AS27</f>
        <v>7.91</v>
      </c>
      <c r="K33" s="82"/>
      <c r="L33" s="88"/>
      <c r="M33" s="546">
        <f t="shared" si="0"/>
        <v>0</v>
      </c>
      <c r="N33" s="546">
        <f t="shared" si="1"/>
        <v>0</v>
      </c>
    </row>
    <row r="34" spans="1:14" s="547" customFormat="1" ht="11.4" x14ac:dyDescent="0.4">
      <c r="A34" s="162">
        <v>22</v>
      </c>
      <c r="B34" s="81"/>
      <c r="C34" s="82">
        <f>'User Data'!AC28</f>
        <v>3</v>
      </c>
      <c r="D34" s="83"/>
      <c r="E34" s="84" t="str">
        <f>IF(OR($C34=0,'1940 - Plant Op.'!$AK37=0,LEN('1940 - Plant Op.'!$AK37)=0),"",$C34/'1940 - Plant Op.'!$AK37)</f>
        <v/>
      </c>
      <c r="F34" s="85">
        <f>'User Data'!AE28</f>
        <v>0</v>
      </c>
      <c r="G34" s="86">
        <f>'User Data'!AD28</f>
        <v>2.6</v>
      </c>
      <c r="H34" s="82">
        <f>'User Data'!AF28</f>
        <v>0</v>
      </c>
      <c r="I34" s="82">
        <f>'User Data'!CS32</f>
        <v>0</v>
      </c>
      <c r="J34" s="87">
        <f>'User Data'!AS28</f>
        <v>7.94</v>
      </c>
      <c r="K34" s="82"/>
      <c r="L34" s="88"/>
      <c r="M34" s="546">
        <f t="shared" si="0"/>
        <v>0</v>
      </c>
      <c r="N34" s="546">
        <f t="shared" si="1"/>
        <v>0</v>
      </c>
    </row>
    <row r="35" spans="1:14" s="547" customFormat="1" ht="11.4" x14ac:dyDescent="0.4">
      <c r="A35" s="162">
        <v>23</v>
      </c>
      <c r="B35" s="81"/>
      <c r="C35" s="82">
        <f>'User Data'!AC29</f>
        <v>3.04</v>
      </c>
      <c r="D35" s="83"/>
      <c r="E35" s="84" t="str">
        <f>IF(OR($C35=0,'1940 - Plant Op.'!$AK38=0,LEN('1940 - Plant Op.'!$AK38)=0),"",$C35/'1940 - Plant Op.'!$AK38)</f>
        <v/>
      </c>
      <c r="F35" s="85">
        <f>'User Data'!AE29</f>
        <v>0</v>
      </c>
      <c r="G35" s="86">
        <f>'User Data'!AD29</f>
        <v>2.76</v>
      </c>
      <c r="H35" s="82">
        <f>'User Data'!AF29</f>
        <v>0</v>
      </c>
      <c r="I35" s="82">
        <f>'User Data'!CS33</f>
        <v>0</v>
      </c>
      <c r="J35" s="87">
        <f>'User Data'!AS29</f>
        <v>7.71</v>
      </c>
      <c r="K35" s="82"/>
      <c r="L35" s="88"/>
      <c r="M35" s="546">
        <f t="shared" si="0"/>
        <v>0</v>
      </c>
      <c r="N35" s="546">
        <f t="shared" si="1"/>
        <v>0</v>
      </c>
    </row>
    <row r="36" spans="1:14" s="547" customFormat="1" ht="11.4" x14ac:dyDescent="0.4">
      <c r="A36" s="162">
        <v>24</v>
      </c>
      <c r="B36" s="81"/>
      <c r="C36" s="82">
        <f>'User Data'!AC30</f>
        <v>2.94</v>
      </c>
      <c r="D36" s="83"/>
      <c r="E36" s="84" t="str">
        <f>IF(OR($C36=0,'1940 - Plant Op.'!$AK39=0,LEN('1940 - Plant Op.'!$AK39)=0),"",$C36/'1940 - Plant Op.'!$AK39)</f>
        <v/>
      </c>
      <c r="F36" s="85">
        <f>'User Data'!AE30</f>
        <v>0</v>
      </c>
      <c r="G36" s="86">
        <f>'User Data'!AD30</f>
        <v>2.64</v>
      </c>
      <c r="H36" s="82">
        <f>'User Data'!AF30</f>
        <v>0</v>
      </c>
      <c r="I36" s="82">
        <f>'User Data'!CS34</f>
        <v>0</v>
      </c>
      <c r="J36" s="87">
        <f>'User Data'!AS30</f>
        <v>7.85</v>
      </c>
      <c r="K36" s="82"/>
      <c r="L36" s="88"/>
      <c r="M36" s="546">
        <f t="shared" si="0"/>
        <v>0</v>
      </c>
      <c r="N36" s="546">
        <f t="shared" si="1"/>
        <v>0</v>
      </c>
    </row>
    <row r="37" spans="1:14" s="547" customFormat="1" ht="11.4" x14ac:dyDescent="0.4">
      <c r="A37" s="162">
        <v>25</v>
      </c>
      <c r="B37" s="81"/>
      <c r="C37" s="82">
        <f>'User Data'!AC31</f>
        <v>3.04</v>
      </c>
      <c r="D37" s="83"/>
      <c r="E37" s="84" t="str">
        <f>IF(OR($C37=0,'1940 - Plant Op.'!$AK40=0,LEN('1940 - Plant Op.'!$AK40)=0),"",$C37/'1940 - Plant Op.'!$AK40)</f>
        <v/>
      </c>
      <c r="F37" s="85">
        <f>'User Data'!AE31</f>
        <v>0</v>
      </c>
      <c r="G37" s="86">
        <f>'User Data'!AD31</f>
        <v>2.78</v>
      </c>
      <c r="H37" s="82">
        <f>'User Data'!AF31</f>
        <v>0</v>
      </c>
      <c r="I37" s="82">
        <f>'User Data'!CS35</f>
        <v>0</v>
      </c>
      <c r="J37" s="87">
        <f>'User Data'!AS31</f>
        <v>7.6</v>
      </c>
      <c r="K37" s="82"/>
      <c r="L37" s="88"/>
      <c r="M37" s="546">
        <f t="shared" si="0"/>
        <v>0</v>
      </c>
      <c r="N37" s="546">
        <f t="shared" si="1"/>
        <v>0</v>
      </c>
    </row>
    <row r="38" spans="1:14" s="547" customFormat="1" ht="11.4" x14ac:dyDescent="0.4">
      <c r="A38" s="162">
        <v>26</v>
      </c>
      <c r="B38" s="81"/>
      <c r="C38" s="82">
        <f>'User Data'!AC32</f>
        <v>2.93</v>
      </c>
      <c r="D38" s="83"/>
      <c r="E38" s="84" t="str">
        <f>IF(OR($C38=0,'1940 - Plant Op.'!$AK41=0,LEN('1940 - Plant Op.'!$AK41)=0),"",$C38/'1940 - Plant Op.'!$AK41)</f>
        <v/>
      </c>
      <c r="F38" s="85">
        <f>'User Data'!AE32</f>
        <v>0</v>
      </c>
      <c r="G38" s="86">
        <f>'User Data'!AD32</f>
        <v>2.65</v>
      </c>
      <c r="H38" s="82">
        <f>'User Data'!AF32</f>
        <v>0</v>
      </c>
      <c r="I38" s="82">
        <f>'User Data'!CS36</f>
        <v>0</v>
      </c>
      <c r="J38" s="87">
        <f>'User Data'!AS32</f>
        <v>7.78</v>
      </c>
      <c r="K38" s="82"/>
      <c r="L38" s="88"/>
      <c r="M38" s="546">
        <f t="shared" si="0"/>
        <v>0</v>
      </c>
      <c r="N38" s="546">
        <f t="shared" si="1"/>
        <v>0</v>
      </c>
    </row>
    <row r="39" spans="1:14" s="547" customFormat="1" ht="11.4" x14ac:dyDescent="0.4">
      <c r="A39" s="162">
        <v>27</v>
      </c>
      <c r="B39" s="81"/>
      <c r="C39" s="82">
        <f>'User Data'!AC33</f>
        <v>3.03</v>
      </c>
      <c r="D39" s="83"/>
      <c r="E39" s="84" t="str">
        <f>IF(OR($C39=0,'1940 - Plant Op.'!$AK42=0,LEN('1940 - Plant Op.'!$AK42)=0),"",$C39/'1940 - Plant Op.'!$AK42)</f>
        <v/>
      </c>
      <c r="F39" s="85">
        <f>'User Data'!AE33</f>
        <v>0</v>
      </c>
      <c r="G39" s="86">
        <f>'User Data'!AD33</f>
        <v>2.7</v>
      </c>
      <c r="H39" s="82">
        <f>'User Data'!AF33</f>
        <v>0</v>
      </c>
      <c r="I39" s="82">
        <f>'User Data'!CS37</f>
        <v>0</v>
      </c>
      <c r="J39" s="87">
        <f>'User Data'!AS33</f>
        <v>7.96</v>
      </c>
      <c r="K39" s="82"/>
      <c r="L39" s="88"/>
      <c r="M39" s="546">
        <f t="shared" si="0"/>
        <v>0</v>
      </c>
      <c r="N39" s="546">
        <f t="shared" si="1"/>
        <v>0</v>
      </c>
    </row>
    <row r="40" spans="1:14" s="547" customFormat="1" ht="11.4" x14ac:dyDescent="0.4">
      <c r="A40" s="162">
        <v>28</v>
      </c>
      <c r="B40" s="81"/>
      <c r="C40" s="82">
        <f>'User Data'!AC34</f>
        <v>3.09</v>
      </c>
      <c r="D40" s="83"/>
      <c r="E40" s="84" t="str">
        <f>IF(OR($C40=0,'1940 - Plant Op.'!$AK43=0,LEN('1940 - Plant Op.'!$AK43)=0),"",$C40/'1940 - Plant Op.'!$AK43)</f>
        <v/>
      </c>
      <c r="F40" s="85">
        <f>'User Data'!AE34</f>
        <v>0</v>
      </c>
      <c r="G40" s="86">
        <f>'User Data'!AD34</f>
        <v>2.83</v>
      </c>
      <c r="H40" s="82">
        <f>'User Data'!AF34</f>
        <v>0</v>
      </c>
      <c r="I40" s="82">
        <f>'User Data'!CS40</f>
        <v>0</v>
      </c>
      <c r="J40" s="87">
        <f>'User Data'!AS34</f>
        <v>7.76</v>
      </c>
      <c r="K40" s="82"/>
      <c r="L40" s="88"/>
      <c r="M40" s="546">
        <f t="shared" si="0"/>
        <v>0</v>
      </c>
      <c r="N40" s="546">
        <f t="shared" si="1"/>
        <v>0</v>
      </c>
    </row>
    <row r="41" spans="1:14" s="547" customFormat="1" ht="11.4" x14ac:dyDescent="0.4">
      <c r="A41" s="162">
        <v>29</v>
      </c>
      <c r="B41" s="81"/>
      <c r="C41" s="82"/>
      <c r="D41" s="83"/>
      <c r="E41" s="84" t="str">
        <f>IF(OR($C41=0,'1940 - Plant Op.'!$AK44=0,LEN('1940 - Plant Op.'!$AK44)=0),"",$C41/'1940 - Plant Op.'!$AK44)</f>
        <v/>
      </c>
      <c r="F41" s="85"/>
      <c r="G41" s="86"/>
      <c r="H41" s="82"/>
      <c r="I41" s="82"/>
      <c r="J41" s="87"/>
      <c r="K41" s="82"/>
      <c r="L41" s="88"/>
      <c r="M41" s="546">
        <f t="shared" si="0"/>
        <v>0</v>
      </c>
      <c r="N41" s="546">
        <f t="shared" si="1"/>
        <v>0</v>
      </c>
    </row>
    <row r="42" spans="1:14" s="547" customFormat="1" ht="11.4" x14ac:dyDescent="0.4">
      <c r="A42" s="162">
        <v>30</v>
      </c>
      <c r="B42" s="81"/>
      <c r="C42" s="82"/>
      <c r="D42" s="83"/>
      <c r="E42" s="84" t="str">
        <f>IF(OR($C42=0,'1940 - Plant Op.'!$AK45=0,LEN('1940 - Plant Op.'!$AK45)=0),"",$C42/'1940 - Plant Op.'!$AK45)</f>
        <v/>
      </c>
      <c r="F42" s="85"/>
      <c r="G42" s="86"/>
      <c r="H42" s="82"/>
      <c r="I42" s="82"/>
      <c r="J42" s="87"/>
      <c r="K42" s="82"/>
      <c r="L42" s="88"/>
      <c r="M42" s="546">
        <f t="shared" si="0"/>
        <v>0</v>
      </c>
      <c r="N42" s="546">
        <f t="shared" si="1"/>
        <v>0</v>
      </c>
    </row>
    <row r="43" spans="1:14" s="547" customFormat="1" ht="11.7" thickBot="1" x14ac:dyDescent="0.45">
      <c r="A43" s="163">
        <v>31</v>
      </c>
      <c r="B43" s="89"/>
      <c r="C43" s="90"/>
      <c r="D43" s="89"/>
      <c r="E43" s="91" t="str">
        <f>IF(OR($C43=0,'1940 - Plant Op.'!$AK46=0,LEN('1940 - Plant Op.'!$AK46)=0),"",$C43/'1940 - Plant Op.'!$AK46)</f>
        <v/>
      </c>
      <c r="F43" s="92"/>
      <c r="G43" s="93"/>
      <c r="H43" s="90"/>
      <c r="I43" s="90"/>
      <c r="J43" s="94"/>
      <c r="K43" s="90"/>
      <c r="L43" s="95"/>
      <c r="M43" s="546">
        <f t="shared" si="0"/>
        <v>0</v>
      </c>
      <c r="N43" s="546">
        <f t="shared" si="1"/>
        <v>0</v>
      </c>
    </row>
    <row r="44" spans="1:14" s="555" customFormat="1" ht="12" hidden="1" thickTop="1" thickBot="1" x14ac:dyDescent="0.45">
      <c r="A44" s="548" t="s">
        <v>60</v>
      </c>
      <c r="B44" s="549"/>
      <c r="C44" s="549"/>
      <c r="D44" s="549"/>
      <c r="E44" s="550"/>
      <c r="F44" s="551"/>
      <c r="G44" s="552"/>
      <c r="H44" s="552"/>
      <c r="I44" s="552"/>
      <c r="J44" s="553"/>
      <c r="K44" s="552"/>
      <c r="L44" s="554"/>
    </row>
    <row r="45" spans="1:14" s="555" customFormat="1" ht="11.7" thickTop="1" x14ac:dyDescent="0.4">
      <c r="A45" s="548" t="s">
        <v>61</v>
      </c>
      <c r="B45" s="556" t="str">
        <f t="array" ref="B45">IF(COUNT(B$13:B$43)=0,"",IF(ISERROR(AVERAGE(B$13:B$43)),"N/A",AVERAGE(B$13:B$43)))</f>
        <v/>
      </c>
      <c r="C45" s="549">
        <f t="array" ref="C45">IF(COUNT(C$13:C$43)=0,"",IF(ISERROR(AVERAGE(C$13:C$43)),"N/A",AVERAGE(C$13:C$43)))</f>
        <v>3.0007142857142872</v>
      </c>
      <c r="D45" s="556" t="str">
        <f t="array" ref="D45">IF(COUNT(D$13:D$43)=0,"",IF(ISERROR(AVERAGE(D$13:D$43)),"N/A",AVERAGE(D$13:D$43)))</f>
        <v/>
      </c>
      <c r="E45" s="550" t="str">
        <f t="array" ref="E45">IF(COUNT(E$13:E$43)=0,"",IF(ISERROR(AVERAGE(E$13:E$43)),"N/A",AVERAGE(E$13:E$43)))</f>
        <v/>
      </c>
      <c r="F45" s="557">
        <f t="array" ref="F45">IF(COUNT(F$13:F$43)=0,"",IF(ISERROR(AVERAGE(F$13:F$43)),"N/A",AVERAGE(F$13:F$43)))</f>
        <v>0</v>
      </c>
      <c r="G45" s="558">
        <f t="array" ref="G45">IF(COUNT(G$13:G$43)=0,"",IF(ISERROR(AVERAGE(G$13:G$43)),"N/A",AVERAGE(G$13:G$43)))</f>
        <v>2.7392857142857143</v>
      </c>
      <c r="H45" s="552">
        <f t="array" ref="H45">IF(COUNT(H$13:H$43)=0,"",IF(ISERROR(AVERAGE(H$13:H$43)),"N/A",AVERAGE(H$13:H$43)))</f>
        <v>0</v>
      </c>
      <c r="I45" s="552">
        <f t="array" ref="I45">IF(COUNT(I$13:I$43)=0,"",IF(ISERROR(AVERAGE(I$13:I$43)),"N/A",AVERAGE(I$13:I$43)))</f>
        <v>0</v>
      </c>
      <c r="J45" s="553">
        <f t="array" ref="J45">IF(COUNT(J$13:J$43)=0,"",IF(ISERROR(AVERAGE(J$13:J$43)),"N/A",AVERAGE(J$13:J$43)))</f>
        <v>7.8178571428571431</v>
      </c>
      <c r="K45" s="552" t="str">
        <f t="array" ref="K45">IF(COUNT(K$13:K$43)=0,"",IF(ISERROR(AVERAGE(K$13:K$43)),"N/A",AVERAGE(K$13:K$43)))</f>
        <v/>
      </c>
      <c r="L45" s="554" t="str">
        <f t="array" ref="L45">IF(COUNT(L$13:L$43)=0,"",IF(ISERROR(AVERAGE(L$13:L$43)),"N/A",AVERAGE(L$13:L$43)))</f>
        <v/>
      </c>
      <c r="M45" s="559">
        <f>COUNTIF(M13:M43,"1")+COUNTIF(M13:M43,"2")+COUNTIF(M13:M43,"3")</f>
        <v>0</v>
      </c>
      <c r="N45" s="559">
        <f>COUNTIF(N13:N43,"1")+COUNTIF(N13:N43,"2")+COUNTIF(N13:N43,"3")</f>
        <v>0</v>
      </c>
    </row>
    <row r="46" spans="1:14" s="555" customFormat="1" ht="11.4" x14ac:dyDescent="0.4">
      <c r="A46" s="548" t="s">
        <v>62</v>
      </c>
      <c r="B46" s="556" t="str">
        <f t="array" ref="B46">IF(COUNT(B$13:B$43)=0,"",MAX(IF(ISERROR(B$13:B$43),"",B$13:B$43)))</f>
        <v/>
      </c>
      <c r="C46" s="549">
        <f t="array" ref="C46">IF(COUNT(C$13:C$43)=0,"",MAX(IF(ISERROR(C$13:C$43),"",C$13:C$43)))</f>
        <v>3.3</v>
      </c>
      <c r="D46" s="556" t="str">
        <f t="array" ref="D46">IF(COUNT(D$13:D$43)=0,"",MAX(IF(ISERROR(D$13:D$43),"",D$13:D$43)))</f>
        <v/>
      </c>
      <c r="E46" s="550" t="str">
        <f t="array" ref="E46">IF(COUNT(E$13:E$43)=0,"",MAX(IF(ISERROR(E$13:E$43),"",E$13:E$43)))</f>
        <v/>
      </c>
      <c r="F46" s="557">
        <f t="array" ref="F46">IF(COUNT(F$13:F$43)=0,"",MAX(IF(ISERROR(F$13:F$43),"",F$13:F$43)))</f>
        <v>0</v>
      </c>
      <c r="G46" s="558">
        <f t="array" ref="G46">IF(COUNT(G$13:G$43)=0,"",MAX(IF(ISERROR(G$13:G$43),"",G$13:G$43)))</f>
        <v>3</v>
      </c>
      <c r="H46" s="552">
        <f t="array" ref="H46">IF(COUNT(H$13:H$43)=0,"",MAX(IF(ISERROR(H$13:H$43),"",H$13:H$43)))</f>
        <v>0</v>
      </c>
      <c r="I46" s="552">
        <f t="array" ref="I46">IF(COUNT(I$13:I$43)=0,"",MAX(IF(ISERROR(I$13:I$43),"",I$13:I$43)))</f>
        <v>0</v>
      </c>
      <c r="J46" s="553">
        <f t="array" ref="J46">IF(COUNT(J$13:J$43)=0,"",MAX(IF(ISERROR(J$13:J$43),"",J$13:J$43)))</f>
        <v>8.02</v>
      </c>
      <c r="K46" s="552" t="str">
        <f t="array" ref="K46">IF(COUNT(K$13:K$43)=0,"",MAX(IF(ISERROR(K$13:K$43),"",K$13:K$43)))</f>
        <v/>
      </c>
      <c r="L46" s="554" t="str">
        <f t="array" ref="L46">IF(COUNT(L$13:L$43)=0,"",MAX(IF(ISERROR(L$13:L$43),"",L$13:L$43)))</f>
        <v/>
      </c>
    </row>
    <row r="47" spans="1:14" s="555" customFormat="1" ht="11.7" thickBot="1" x14ac:dyDescent="0.45">
      <c r="A47" s="560" t="s">
        <v>63</v>
      </c>
      <c r="B47" s="561" t="str">
        <f t="array" ref="B47">IF(COUNT(B$13:B$43)=0,"",IF(ISERROR(MIN(B$13:B$43)),"N/A",MIN(B$13:B$43)))</f>
        <v/>
      </c>
      <c r="C47" s="562">
        <f t="array" ref="C47">IF(COUNT(C$13:C$43)=0,"",IF(ISERROR(MIN(C$13:C$43)),"N/A",MIN(C$13:C$43)))</f>
        <v>2.66</v>
      </c>
      <c r="D47" s="561" t="str">
        <f t="array" ref="D47">IF(COUNT(D$13:D$43)=0,"",IF(ISERROR(MIN(D$13:D$43)),"N/A",MIN(D$13:D$43)))</f>
        <v/>
      </c>
      <c r="E47" s="563" t="str">
        <f t="array" ref="E47">IF(COUNT(E$13:E$43)=0,"",IF(ISERROR(MIN(E$13:E$43)),"N/A",MIN(E$13:E$43)))</f>
        <v/>
      </c>
      <c r="F47" s="564">
        <f t="array" ref="F47">IF(COUNT(F$13:F$43)=0,"",IF(ISERROR(MIN(F$13:F$43)),"N/A",MIN(F$13:F$43)))</f>
        <v>0</v>
      </c>
      <c r="G47" s="565">
        <f t="array" ref="G47">IF(COUNT(G$13:G$43)=0,"",IF(ISERROR(MIN(G$13:G$43)),"N/A",MIN(G$13:G$43)))</f>
        <v>2.56</v>
      </c>
      <c r="H47" s="566">
        <f t="array" ref="H47">IF(COUNT(H$13:H$43)=0,"",IF(ISERROR(MIN(H$13:H$43)),"N/A",MIN(H$13:H$43)))</f>
        <v>0</v>
      </c>
      <c r="I47" s="566">
        <f t="array" ref="I47">IF(COUNT(I$13:I$43)=0,"",IF(ISERROR(MIN(I$13:I$43)),"N/A",MIN(I$13:I$43)))</f>
        <v>0</v>
      </c>
      <c r="J47" s="567">
        <f t="array" ref="J47">IF(COUNT(J$13:J$43)=0,"",IF(ISERROR(MIN(J$13:J$43)),"N/A",MIN(J$13:J$43)))</f>
        <v>7.6</v>
      </c>
      <c r="K47" s="566" t="str">
        <f t="array" ref="K47">IF(COUNT(K$13:K$43)=0,"",IF(ISERROR(MIN(K$13:K$43)),"N/A",MIN(K$13:K$43)))</f>
        <v/>
      </c>
      <c r="L47" s="568" t="str">
        <f t="array" ref="L47">IF(COUNT(L$13:L$43)=0,"",IF(ISERROR(MIN(L$13:L$43)),"N/A",MIN(L$13:L$43)))</f>
        <v/>
      </c>
    </row>
    <row r="48" spans="1:14" s="317" customFormat="1" ht="6" customHeight="1" x14ac:dyDescent="0.4">
      <c r="A48" s="331"/>
      <c r="B48" s="332"/>
      <c r="C48" s="332"/>
      <c r="D48" s="332"/>
      <c r="E48" s="332"/>
      <c r="F48" s="332"/>
      <c r="G48" s="332"/>
      <c r="H48" s="332"/>
      <c r="I48" s="332"/>
      <c r="J48" s="332"/>
      <c r="K48" s="332"/>
      <c r="L48" s="332"/>
      <c r="M48" s="555"/>
      <c r="N48" s="555"/>
    </row>
    <row r="49" spans="1:14" s="208" customFormat="1" ht="10.15" customHeight="1" x14ac:dyDescent="0.4">
      <c r="A49" s="197" t="s">
        <v>67</v>
      </c>
      <c r="B49" s="197"/>
      <c r="C49" s="197"/>
      <c r="D49" s="197"/>
      <c r="E49" s="197"/>
      <c r="F49" s="334" t="s">
        <v>69</v>
      </c>
      <c r="G49" s="334"/>
      <c r="H49" s="22" t="str">
        <f>IF(LEN(ORC)=0,"",ORC)</f>
        <v/>
      </c>
      <c r="I49" s="337"/>
      <c r="J49" s="337"/>
      <c r="K49" s="337"/>
      <c r="L49" s="338"/>
      <c r="M49" s="555"/>
      <c r="N49" s="555"/>
    </row>
    <row r="50" spans="1:14" s="208" customFormat="1" ht="11.4" x14ac:dyDescent="0.4">
      <c r="A50" s="197" t="s">
        <v>27</v>
      </c>
      <c r="B50" s="197"/>
      <c r="C50" s="197"/>
      <c r="D50" s="197"/>
      <c r="E50" s="197"/>
      <c r="F50" s="334"/>
      <c r="G50" s="197"/>
      <c r="H50" s="197"/>
      <c r="I50" s="197"/>
      <c r="J50" s="197"/>
      <c r="K50" s="197"/>
      <c r="L50" s="197"/>
      <c r="M50" s="555"/>
      <c r="N50" s="555"/>
    </row>
    <row r="51" spans="1:14" s="208" customFormat="1" x14ac:dyDescent="0.4">
      <c r="A51" s="197" t="str">
        <f>Version_complete</f>
        <v>Version: V02.11-01</v>
      </c>
      <c r="B51" s="197"/>
      <c r="C51" s="197"/>
      <c r="D51" s="197"/>
      <c r="E51" s="197"/>
      <c r="F51" s="334" t="s">
        <v>70</v>
      </c>
      <c r="G51" s="334"/>
      <c r="H51" s="23" t="str">
        <f>IF(LEN(CertificateGrade)=0,"",CertificateGrade)</f>
        <v>A</v>
      </c>
      <c r="I51" s="219" t="s">
        <v>137</v>
      </c>
      <c r="J51" s="219"/>
      <c r="K51" s="22" t="str">
        <f>IF(LEN(CertificateNumber)=0,"",CertificateNumber)</f>
        <v>975930</v>
      </c>
      <c r="L51" s="460"/>
      <c r="M51" s="447"/>
      <c r="N51" s="447"/>
    </row>
  </sheetData>
  <sheetProtection algorithmName="SHA-512" hashValue="IRPswuT4cz7FOgL3JLDuAPpe9wc4Tq0aGyfbYCRaMP3bDqW3xhLLfxfdJMxk6upVPq1RYtizXu6SagQrGLyPmg==" saltValue="Y8lRakjHSydyfSmtxOXB5g==" spinCount="100000" sheet="1" objects="1" scenarios="1"/>
  <mergeCells count="2">
    <mergeCell ref="B9:E10"/>
    <mergeCell ref="F9:L10"/>
  </mergeCells>
  <phoneticPr fontId="40" type="noConversion"/>
  <conditionalFormatting sqref="H13:J43 F13:F43">
    <cfRule type="expression" dxfId="30" priority="1" stopIfTrue="1">
      <formula>AND(LEN(F13)=0,$M13&gt;0,$M13&lt;4)</formula>
    </cfRule>
  </conditionalFormatting>
  <conditionalFormatting sqref="A13:A43">
    <cfRule type="expression" dxfId="29" priority="2" stopIfTrue="1">
      <formula>$N13&gt;0</formula>
    </cfRule>
  </conditionalFormatting>
  <dataValidations count="4">
    <dataValidation type="custom" allowBlank="1" showInputMessage="1" showErrorMessage="1" errorTitle="   IMPORTANT!  Invalid Entry ..." error="Enter a value between 0 and 999.99_x000a__x000a_Please use no more than two (2) decimal(s)._x000a__x000a_Use a blank cell (and NOT zero) to indicate no activity / measurement._x000a__x000a_" sqref="C13:C43 H13:I43 K13:L43" xr:uid="{00000000-0002-0000-0600-000000000000}">
      <formula1>OR(AND(C13&gt;=0,C13&lt;=999.99),LEN(C13)=0)</formula1>
    </dataValidation>
    <dataValidation type="custom" allowBlank="1" showInputMessage="1" showErrorMessage="1" errorTitle="   IMPORTANT!  Invalid Entry ..." error="Enter a value between 0 and 100._x000a__x000a_For example, to enter 34 and 1/2 percent, type 34.5._x000a__x000a_Please use no more than two (2) decimals._x000a__x000a_" sqref="B13:B43 D13:D43" xr:uid="{00000000-0002-0000-0600-000001000000}">
      <formula1>OR(AND(B13&gt;0,B13&lt;=1),LEN(B13)=0)</formula1>
    </dataValidation>
    <dataValidation type="custom" allowBlank="1" showInputMessage="1" showErrorMessage="1" errorTitle="   IMPORTANT!  Invalid Entry ..." error="Enter a value between 0 and 99.9999_x000a__x000a_Please use no more than four (4) decimal(s)._x000a__x000a_Use a blank cell (and NOT zero) to indicate no activity / measurement._x000a__x000a_" sqref="F13:F43 G13:G43" xr:uid="{00000000-0002-0000-0600-000002000000}">
      <formula1>OR(AND(F13&gt;=0,F13&lt;=99.9999),LEN(F13)=0)</formula1>
    </dataValidation>
    <dataValidation type="custom" allowBlank="1" showInputMessage="1" showErrorMessage="1" errorTitle="   IMPORTANT!  Invalid Entry ..." error="Enter a value between 0 and 14_x000a__x000a_Please use no more than one (1) decimal(s)._x000a__x000a_Use a blank cell (and NOT zero) to indicate no activity / measurement._x000a__x000a_" sqref="J13:J43" xr:uid="{00000000-0002-0000-0600-000003000000}">
      <formula1>OR(AND(J13&gt;=0,J13&lt;=14),LEN(J13)=0)</formula1>
    </dataValidation>
  </dataValidations>
  <printOptions horizontalCentered="1" verticalCentered="1"/>
  <pageMargins left="0.25" right="0.25" top="0.25" bottom="0.25" header="0.13" footer="0.13"/>
  <pageSetup orientation="landscape" horizontalDpi="1200" verticalDpi="1200" r:id="rId1"/>
  <headerFooter alignWithMargins="0"/>
  <customProperties>
    <customPr name="SheetID"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DBP_1_ChlorDiox_Chlorite">
    <pageSetUpPr fitToPage="1"/>
  </sheetPr>
  <dimension ref="A1:P57"/>
  <sheetViews>
    <sheetView showGridLines="0" zoomScaleSheetLayoutView="90" workbookViewId="0">
      <pane xSplit="1" ySplit="13" topLeftCell="B14" activePane="bottomRight" state="frozenSplit"/>
      <selection pane="topRight" activeCell="B1" sqref="B1"/>
      <selection pane="bottomLeft" activeCell="A14" sqref="A14"/>
      <selection pane="bottomRight"/>
    </sheetView>
  </sheetViews>
  <sheetFormatPr defaultColWidth="8.83203125" defaultRowHeight="12.3" x14ac:dyDescent="0.4"/>
  <cols>
    <col min="1" max="1" width="3.83203125" style="449" customWidth="1"/>
    <col min="2" max="9" width="6.71875" style="449" customWidth="1"/>
    <col min="10" max="10" width="7.5546875" style="449" customWidth="1"/>
    <col min="11" max="13" width="6.71875" style="449" customWidth="1"/>
    <col min="14" max="14" width="7.5546875" style="449" customWidth="1"/>
    <col min="15" max="16" width="6.71875" style="449" customWidth="1"/>
    <col min="17" max="16384" width="8.83203125" style="449"/>
  </cols>
  <sheetData>
    <row r="1" spans="1:16" s="452" customFormat="1" ht="15" customHeight="1" x14ac:dyDescent="0.5">
      <c r="A1" s="481" t="s">
        <v>217</v>
      </c>
      <c r="B1" s="481"/>
      <c r="C1" s="481"/>
      <c r="D1" s="481"/>
      <c r="E1" s="481"/>
      <c r="F1" s="481"/>
      <c r="G1" s="481"/>
      <c r="H1" s="481"/>
      <c r="I1" s="481"/>
      <c r="J1" s="481"/>
      <c r="K1" s="481"/>
      <c r="L1" s="481"/>
      <c r="M1" s="481"/>
      <c r="N1" s="481"/>
      <c r="O1" s="481"/>
      <c r="P1" s="481"/>
    </row>
    <row r="2" spans="1:16" ht="3.7" customHeight="1" thickBot="1" x14ac:dyDescent="0.55000000000000004">
      <c r="A2"/>
      <c r="B2"/>
      <c r="C2"/>
      <c r="D2"/>
      <c r="E2"/>
      <c r="F2"/>
      <c r="G2"/>
      <c r="H2" s="569"/>
      <c r="I2" s="1169"/>
      <c r="J2" s="1169"/>
      <c r="K2" s="1169"/>
      <c r="L2" s="1169"/>
      <c r="M2" s="1169"/>
      <c r="N2" s="1169"/>
      <c r="O2" s="1169"/>
      <c r="P2" s="1169"/>
    </row>
    <row r="3" spans="1:16" s="457" customFormat="1" ht="10.15" hidden="1" customHeight="1" x14ac:dyDescent="0.4">
      <c r="A3" s="345" t="s">
        <v>72</v>
      </c>
      <c r="B3" s="345"/>
      <c r="C3" s="345"/>
      <c r="D3" s="570">
        <f>IF(LEN(FormMasterDate)=0,"",FormMasterDate)</f>
        <v>43525</v>
      </c>
      <c r="E3" s="571"/>
      <c r="F3" s="572"/>
      <c r="G3" s="345"/>
      <c r="H3" s="345"/>
      <c r="I3" s="345"/>
      <c r="J3" s="345"/>
      <c r="K3" s="209" t="s">
        <v>31</v>
      </c>
      <c r="L3" s="209"/>
      <c r="M3" s="214" t="str">
        <f>IF(LEN(FormFacilityID)=0,"",FormFacilityID)</f>
        <v>P01</v>
      </c>
      <c r="N3" s="216"/>
      <c r="O3" s="216"/>
      <c r="P3" s="456"/>
    </row>
    <row r="4" spans="1:16" s="208" customFormat="1" ht="3" hidden="1" customHeight="1" x14ac:dyDescent="0.4">
      <c r="A4" s="197"/>
      <c r="B4" s="197"/>
      <c r="C4" s="197"/>
      <c r="D4" s="197"/>
      <c r="E4" s="197"/>
      <c r="F4" s="197"/>
      <c r="G4" s="197"/>
      <c r="H4" s="197"/>
      <c r="I4" s="197"/>
      <c r="J4" s="197"/>
      <c r="K4" s="209"/>
      <c r="L4" s="197"/>
      <c r="M4" s="197"/>
      <c r="N4" s="197"/>
      <c r="O4" s="197"/>
      <c r="P4" s="223"/>
    </row>
    <row r="5" spans="1:16" s="208" customFormat="1" ht="3" hidden="1" customHeight="1" x14ac:dyDescent="0.35">
      <c r="A5" s="197"/>
      <c r="B5" s="197"/>
      <c r="C5" s="197"/>
      <c r="D5" s="197"/>
      <c r="E5" s="197"/>
      <c r="F5" s="197"/>
      <c r="G5" s="197"/>
      <c r="H5" s="197"/>
      <c r="I5" s="197"/>
      <c r="J5" s="197"/>
      <c r="K5" s="366"/>
      <c r="L5" s="197"/>
      <c r="M5" s="197"/>
      <c r="N5" s="197"/>
      <c r="O5" s="197"/>
      <c r="P5" s="197"/>
    </row>
    <row r="6" spans="1:16" s="208" customFormat="1" ht="10.5" hidden="1" x14ac:dyDescent="0.4">
      <c r="A6" s="345" t="s">
        <v>30</v>
      </c>
      <c r="B6" s="345"/>
      <c r="C6" s="197"/>
      <c r="D6" s="342" t="str">
        <f>IF(LEN(FormPWSIDNum)=0,"",FormPWSIDNum)</f>
        <v>NC0392020</v>
      </c>
      <c r="E6" s="343"/>
      <c r="F6" s="344"/>
      <c r="G6" s="197"/>
      <c r="H6" s="197"/>
      <c r="I6" s="197"/>
      <c r="J6" s="197"/>
      <c r="K6" s="209" t="s">
        <v>33</v>
      </c>
      <c r="L6" s="209"/>
      <c r="M6" s="214" t="str">
        <f>IF(LEN(FormFacilityName)=0,"",FormFacilityName)</f>
        <v>Cary Apex WTP</v>
      </c>
      <c r="N6" s="217"/>
      <c r="O6" s="216"/>
      <c r="P6" s="460"/>
    </row>
    <row r="7" spans="1:16" s="208" customFormat="1" ht="3" hidden="1" customHeight="1" x14ac:dyDescent="0.4">
      <c r="A7" s="345"/>
      <c r="B7" s="197"/>
      <c r="C7" s="223"/>
      <c r="D7" s="197"/>
      <c r="E7" s="197"/>
      <c r="F7" s="197"/>
      <c r="G7" s="197"/>
      <c r="H7" s="197"/>
      <c r="I7" s="197"/>
      <c r="J7" s="197"/>
      <c r="K7" s="579"/>
      <c r="L7" s="197"/>
      <c r="M7" s="197"/>
      <c r="N7" s="197"/>
      <c r="O7" s="197"/>
      <c r="P7" s="197"/>
    </row>
    <row r="8" spans="1:16" s="208" customFormat="1" ht="10.5" hidden="1" x14ac:dyDescent="0.4">
      <c r="A8" s="345" t="s">
        <v>32</v>
      </c>
      <c r="B8" s="345"/>
      <c r="C8" s="345"/>
      <c r="D8" s="342" t="str">
        <f>IF(LEN(FormWaterSysName)=0,"",FormWaterSysName)</f>
        <v>Cary, Town of</v>
      </c>
      <c r="E8" s="343"/>
      <c r="F8" s="344"/>
      <c r="G8" s="197"/>
      <c r="H8" s="197"/>
      <c r="I8" s="197"/>
      <c r="J8" s="197"/>
      <c r="K8" s="366"/>
      <c r="L8" s="197"/>
      <c r="M8" s="580" t="s">
        <v>206</v>
      </c>
      <c r="N8" s="580"/>
      <c r="O8" s="581" t="s">
        <v>207</v>
      </c>
      <c r="P8" s="581"/>
    </row>
    <row r="9" spans="1:16" s="208" customFormat="1" ht="5.5" hidden="1" customHeight="1" x14ac:dyDescent="0.4">
      <c r="A9" s="345"/>
      <c r="B9" s="197"/>
      <c r="C9" s="197"/>
      <c r="D9" s="197"/>
      <c r="E9" s="197"/>
      <c r="F9" s="197"/>
      <c r="G9" s="223"/>
      <c r="H9" s="223"/>
      <c r="I9" s="223"/>
      <c r="J9" s="223"/>
      <c r="K9" s="573"/>
      <c r="L9" s="573"/>
      <c r="M9" s="573"/>
      <c r="N9" s="573"/>
      <c r="O9" s="573"/>
      <c r="P9" s="197"/>
    </row>
    <row r="10" spans="1:16" s="208" customFormat="1" ht="3" hidden="1" customHeight="1" thickBot="1" x14ac:dyDescent="0.4">
      <c r="A10" s="197"/>
      <c r="B10" s="197"/>
      <c r="C10" s="197"/>
      <c r="D10" s="197"/>
      <c r="E10" s="197"/>
      <c r="F10" s="197"/>
      <c r="G10" s="197"/>
      <c r="H10" s="197"/>
      <c r="I10" s="197"/>
      <c r="J10" s="197"/>
      <c r="K10" s="197"/>
      <c r="L10" s="197"/>
      <c r="M10" s="197"/>
      <c r="N10" s="197"/>
      <c r="O10" s="197"/>
      <c r="P10" s="197"/>
    </row>
    <row r="11" spans="1:16" ht="18.7" customHeight="1" x14ac:dyDescent="0.4">
      <c r="A11" s="582"/>
      <c r="B11" s="1170" t="s">
        <v>218</v>
      </c>
      <c r="C11" s="1171"/>
      <c r="D11" s="1171"/>
      <c r="E11" s="1171"/>
      <c r="F11" s="1171"/>
      <c r="G11" s="1171"/>
      <c r="H11" s="1172"/>
      <c r="I11" s="1173" t="s">
        <v>219</v>
      </c>
      <c r="J11" s="1171"/>
      <c r="K11" s="1171"/>
      <c r="L11" s="1171"/>
      <c r="M11" s="1171"/>
      <c r="N11" s="1171"/>
      <c r="O11" s="1171"/>
      <c r="P11" s="1172"/>
    </row>
    <row r="12" spans="1:16" s="592" customFormat="1" ht="69" customHeight="1" x14ac:dyDescent="0.4">
      <c r="A12" s="583" t="s">
        <v>38</v>
      </c>
      <c r="B12" s="584" t="s">
        <v>220</v>
      </c>
      <c r="C12" s="585" t="s">
        <v>221</v>
      </c>
      <c r="D12" s="586" t="s">
        <v>222</v>
      </c>
      <c r="E12" s="585" t="s">
        <v>223</v>
      </c>
      <c r="F12" s="586" t="s">
        <v>222</v>
      </c>
      <c r="G12" s="587" t="s">
        <v>224</v>
      </c>
      <c r="H12" s="588" t="s">
        <v>222</v>
      </c>
      <c r="I12" s="589" t="s">
        <v>225</v>
      </c>
      <c r="J12" s="590" t="s">
        <v>226</v>
      </c>
      <c r="K12" s="586" t="s">
        <v>222</v>
      </c>
      <c r="L12" s="585" t="s">
        <v>227</v>
      </c>
      <c r="M12" s="587" t="s">
        <v>228</v>
      </c>
      <c r="N12" s="590" t="s">
        <v>229</v>
      </c>
      <c r="O12" s="587" t="s">
        <v>222</v>
      </c>
      <c r="P12" s="591" t="s">
        <v>230</v>
      </c>
    </row>
    <row r="13" spans="1:16" s="601" customFormat="1" hidden="1" x14ac:dyDescent="0.4">
      <c r="A13" s="593"/>
      <c r="B13" s="594" t="s">
        <v>128</v>
      </c>
      <c r="C13" s="595" t="s">
        <v>231</v>
      </c>
      <c r="D13" s="596" t="s">
        <v>128</v>
      </c>
      <c r="E13" s="597" t="s">
        <v>231</v>
      </c>
      <c r="F13" s="596" t="s">
        <v>128</v>
      </c>
      <c r="G13" s="598" t="s">
        <v>231</v>
      </c>
      <c r="H13" s="599" t="s">
        <v>128</v>
      </c>
      <c r="I13" s="596" t="s">
        <v>128</v>
      </c>
      <c r="J13" s="597" t="s">
        <v>231</v>
      </c>
      <c r="K13" s="596" t="s">
        <v>128</v>
      </c>
      <c r="L13" s="597" t="s">
        <v>231</v>
      </c>
      <c r="M13" s="596" t="s">
        <v>128</v>
      </c>
      <c r="N13" s="597" t="s">
        <v>231</v>
      </c>
      <c r="O13" s="596" t="s">
        <v>128</v>
      </c>
      <c r="P13" s="600"/>
    </row>
    <row r="14" spans="1:16" s="208" customFormat="1" ht="15" customHeight="1" x14ac:dyDescent="0.35">
      <c r="A14" s="164">
        <v>1</v>
      </c>
      <c r="B14" s="98"/>
      <c r="C14" s="99" t="s">
        <v>208</v>
      </c>
      <c r="D14" s="100"/>
      <c r="E14" s="101" t="s">
        <v>208</v>
      </c>
      <c r="F14" s="100"/>
      <c r="G14" s="101" t="s">
        <v>208</v>
      </c>
      <c r="H14" s="102"/>
      <c r="I14" s="103"/>
      <c r="J14" s="99" t="s">
        <v>208</v>
      </c>
      <c r="K14" s="100"/>
      <c r="L14" s="101" t="s">
        <v>208</v>
      </c>
      <c r="M14" s="100"/>
      <c r="N14" s="101" t="s">
        <v>208</v>
      </c>
      <c r="O14" s="102"/>
      <c r="P14" s="690" t="str">
        <f t="shared" ref="P14:P44" si="0">IF(COUNT(K14,M14,O14)=0,"",IF(ISERROR(AVERAGE(K14,M14,O14)),"N/A",AVERAGE(K14,M14,O14)))</f>
        <v/>
      </c>
    </row>
    <row r="15" spans="1:16" s="208" customFormat="1" ht="15" customHeight="1" x14ac:dyDescent="0.35">
      <c r="A15" s="164">
        <v>2</v>
      </c>
      <c r="B15" s="98"/>
      <c r="C15" s="99" t="s">
        <v>208</v>
      </c>
      <c r="D15" s="100"/>
      <c r="E15" s="101" t="s">
        <v>208</v>
      </c>
      <c r="F15" s="100"/>
      <c r="G15" s="101" t="s">
        <v>208</v>
      </c>
      <c r="H15" s="102"/>
      <c r="I15" s="103"/>
      <c r="J15" s="99" t="s">
        <v>208</v>
      </c>
      <c r="K15" s="100"/>
      <c r="L15" s="101" t="s">
        <v>208</v>
      </c>
      <c r="M15" s="100"/>
      <c r="N15" s="101" t="s">
        <v>208</v>
      </c>
      <c r="O15" s="102"/>
      <c r="P15" s="690" t="str">
        <f t="shared" si="0"/>
        <v/>
      </c>
    </row>
    <row r="16" spans="1:16" s="208" customFormat="1" ht="15" customHeight="1" x14ac:dyDescent="0.35">
      <c r="A16" s="164">
        <v>3</v>
      </c>
      <c r="B16" s="98"/>
      <c r="C16" s="99" t="s">
        <v>208</v>
      </c>
      <c r="D16" s="100"/>
      <c r="E16" s="101" t="s">
        <v>208</v>
      </c>
      <c r="F16" s="100"/>
      <c r="G16" s="101" t="s">
        <v>208</v>
      </c>
      <c r="H16" s="102"/>
      <c r="I16" s="103"/>
      <c r="J16" s="99" t="s">
        <v>208</v>
      </c>
      <c r="K16" s="100"/>
      <c r="L16" s="101" t="s">
        <v>208</v>
      </c>
      <c r="M16" s="100"/>
      <c r="N16" s="101" t="s">
        <v>208</v>
      </c>
      <c r="O16" s="102"/>
      <c r="P16" s="690" t="str">
        <f t="shared" si="0"/>
        <v/>
      </c>
    </row>
    <row r="17" spans="1:16" s="208" customFormat="1" ht="15" customHeight="1" x14ac:dyDescent="0.35">
      <c r="A17" s="164">
        <v>4</v>
      </c>
      <c r="B17" s="98"/>
      <c r="C17" s="99" t="s">
        <v>208</v>
      </c>
      <c r="D17" s="100"/>
      <c r="E17" s="101" t="s">
        <v>208</v>
      </c>
      <c r="F17" s="100"/>
      <c r="G17" s="101" t="s">
        <v>208</v>
      </c>
      <c r="H17" s="102"/>
      <c r="I17" s="103"/>
      <c r="J17" s="99" t="s">
        <v>208</v>
      </c>
      <c r="K17" s="100"/>
      <c r="L17" s="101" t="s">
        <v>208</v>
      </c>
      <c r="M17" s="100"/>
      <c r="N17" s="101" t="s">
        <v>208</v>
      </c>
      <c r="O17" s="102"/>
      <c r="P17" s="690" t="str">
        <f t="shared" si="0"/>
        <v/>
      </c>
    </row>
    <row r="18" spans="1:16" s="208" customFormat="1" ht="15" customHeight="1" x14ac:dyDescent="0.35">
      <c r="A18" s="164">
        <v>5</v>
      </c>
      <c r="B18" s="98"/>
      <c r="C18" s="99" t="s">
        <v>208</v>
      </c>
      <c r="D18" s="100"/>
      <c r="E18" s="101" t="s">
        <v>208</v>
      </c>
      <c r="F18" s="100"/>
      <c r="G18" s="101" t="s">
        <v>208</v>
      </c>
      <c r="H18" s="102"/>
      <c r="I18" s="103"/>
      <c r="J18" s="99" t="s">
        <v>208</v>
      </c>
      <c r="K18" s="100"/>
      <c r="L18" s="101" t="s">
        <v>208</v>
      </c>
      <c r="M18" s="100"/>
      <c r="N18" s="101" t="s">
        <v>208</v>
      </c>
      <c r="O18" s="102"/>
      <c r="P18" s="690" t="str">
        <f t="shared" si="0"/>
        <v/>
      </c>
    </row>
    <row r="19" spans="1:16" s="208" customFormat="1" ht="15" customHeight="1" x14ac:dyDescent="0.35">
      <c r="A19" s="164">
        <v>6</v>
      </c>
      <c r="B19" s="98"/>
      <c r="C19" s="99" t="s">
        <v>208</v>
      </c>
      <c r="D19" s="100"/>
      <c r="E19" s="101" t="s">
        <v>208</v>
      </c>
      <c r="F19" s="100"/>
      <c r="G19" s="101" t="s">
        <v>208</v>
      </c>
      <c r="H19" s="102"/>
      <c r="I19" s="103"/>
      <c r="J19" s="99" t="s">
        <v>208</v>
      </c>
      <c r="K19" s="100"/>
      <c r="L19" s="101" t="s">
        <v>208</v>
      </c>
      <c r="M19" s="100"/>
      <c r="N19" s="101" t="s">
        <v>208</v>
      </c>
      <c r="O19" s="102"/>
      <c r="P19" s="690" t="str">
        <f t="shared" si="0"/>
        <v/>
      </c>
    </row>
    <row r="20" spans="1:16" s="208" customFormat="1" ht="15" customHeight="1" x14ac:dyDescent="0.35">
      <c r="A20" s="164">
        <v>7</v>
      </c>
      <c r="B20" s="98"/>
      <c r="C20" s="99" t="s">
        <v>208</v>
      </c>
      <c r="D20" s="100"/>
      <c r="E20" s="101" t="s">
        <v>208</v>
      </c>
      <c r="F20" s="100"/>
      <c r="G20" s="101" t="s">
        <v>208</v>
      </c>
      <c r="H20" s="102"/>
      <c r="I20" s="103"/>
      <c r="J20" s="99" t="s">
        <v>208</v>
      </c>
      <c r="K20" s="100"/>
      <c r="L20" s="101" t="s">
        <v>208</v>
      </c>
      <c r="M20" s="100"/>
      <c r="N20" s="101" t="s">
        <v>208</v>
      </c>
      <c r="O20" s="102"/>
      <c r="P20" s="690" t="str">
        <f t="shared" si="0"/>
        <v/>
      </c>
    </row>
    <row r="21" spans="1:16" s="208" customFormat="1" ht="15" customHeight="1" x14ac:dyDescent="0.35">
      <c r="A21" s="164">
        <v>8</v>
      </c>
      <c r="B21" s="98"/>
      <c r="C21" s="99" t="s">
        <v>208</v>
      </c>
      <c r="D21" s="100"/>
      <c r="E21" s="101" t="s">
        <v>208</v>
      </c>
      <c r="F21" s="100"/>
      <c r="G21" s="101" t="s">
        <v>208</v>
      </c>
      <c r="H21" s="102"/>
      <c r="I21" s="103"/>
      <c r="J21" s="99" t="s">
        <v>208</v>
      </c>
      <c r="K21" s="100"/>
      <c r="L21" s="101" t="s">
        <v>208</v>
      </c>
      <c r="M21" s="100"/>
      <c r="N21" s="101" t="s">
        <v>208</v>
      </c>
      <c r="O21" s="102"/>
      <c r="P21" s="690" t="str">
        <f t="shared" si="0"/>
        <v/>
      </c>
    </row>
    <row r="22" spans="1:16" s="208" customFormat="1" ht="15" customHeight="1" x14ac:dyDescent="0.35">
      <c r="A22" s="164">
        <v>9</v>
      </c>
      <c r="B22" s="98"/>
      <c r="C22" s="99" t="s">
        <v>208</v>
      </c>
      <c r="D22" s="100"/>
      <c r="E22" s="101" t="s">
        <v>208</v>
      </c>
      <c r="F22" s="100"/>
      <c r="G22" s="101" t="s">
        <v>208</v>
      </c>
      <c r="H22" s="102"/>
      <c r="I22" s="103"/>
      <c r="J22" s="99" t="s">
        <v>208</v>
      </c>
      <c r="K22" s="100"/>
      <c r="L22" s="101" t="s">
        <v>208</v>
      </c>
      <c r="M22" s="100"/>
      <c r="N22" s="101" t="s">
        <v>208</v>
      </c>
      <c r="O22" s="102"/>
      <c r="P22" s="690" t="str">
        <f t="shared" si="0"/>
        <v/>
      </c>
    </row>
    <row r="23" spans="1:16" s="208" customFormat="1" ht="15" customHeight="1" x14ac:dyDescent="0.35">
      <c r="A23" s="164">
        <v>10</v>
      </c>
      <c r="B23" s="98"/>
      <c r="C23" s="99" t="s">
        <v>208</v>
      </c>
      <c r="D23" s="100"/>
      <c r="E23" s="101" t="s">
        <v>208</v>
      </c>
      <c r="F23" s="100"/>
      <c r="G23" s="101" t="s">
        <v>208</v>
      </c>
      <c r="H23" s="102"/>
      <c r="I23" s="103"/>
      <c r="J23" s="99" t="s">
        <v>208</v>
      </c>
      <c r="K23" s="100"/>
      <c r="L23" s="101" t="s">
        <v>208</v>
      </c>
      <c r="M23" s="100"/>
      <c r="N23" s="101" t="s">
        <v>208</v>
      </c>
      <c r="O23" s="102"/>
      <c r="P23" s="690" t="str">
        <f t="shared" si="0"/>
        <v/>
      </c>
    </row>
    <row r="24" spans="1:16" s="208" customFormat="1" ht="15" customHeight="1" x14ac:dyDescent="0.35">
      <c r="A24" s="164">
        <v>11</v>
      </c>
      <c r="B24" s="98"/>
      <c r="C24" s="99" t="s">
        <v>208</v>
      </c>
      <c r="D24" s="100"/>
      <c r="E24" s="101" t="s">
        <v>208</v>
      </c>
      <c r="F24" s="100"/>
      <c r="G24" s="101" t="s">
        <v>208</v>
      </c>
      <c r="H24" s="102"/>
      <c r="I24" s="103"/>
      <c r="J24" s="99" t="s">
        <v>208</v>
      </c>
      <c r="K24" s="100"/>
      <c r="L24" s="101" t="s">
        <v>208</v>
      </c>
      <c r="M24" s="100"/>
      <c r="N24" s="101" t="s">
        <v>208</v>
      </c>
      <c r="O24" s="102"/>
      <c r="P24" s="690" t="str">
        <f t="shared" si="0"/>
        <v/>
      </c>
    </row>
    <row r="25" spans="1:16" s="208" customFormat="1" ht="15" customHeight="1" x14ac:dyDescent="0.35">
      <c r="A25" s="164">
        <v>12</v>
      </c>
      <c r="B25" s="98"/>
      <c r="C25" s="99" t="s">
        <v>208</v>
      </c>
      <c r="D25" s="100"/>
      <c r="E25" s="101" t="s">
        <v>208</v>
      </c>
      <c r="F25" s="100"/>
      <c r="G25" s="101" t="s">
        <v>208</v>
      </c>
      <c r="H25" s="102"/>
      <c r="I25" s="103"/>
      <c r="J25" s="99" t="s">
        <v>208</v>
      </c>
      <c r="K25" s="100"/>
      <c r="L25" s="101" t="s">
        <v>208</v>
      </c>
      <c r="M25" s="100"/>
      <c r="N25" s="101" t="s">
        <v>208</v>
      </c>
      <c r="O25" s="102"/>
      <c r="P25" s="690" t="str">
        <f t="shared" si="0"/>
        <v/>
      </c>
    </row>
    <row r="26" spans="1:16" s="208" customFormat="1" ht="15" customHeight="1" x14ac:dyDescent="0.35">
      <c r="A26" s="164">
        <v>13</v>
      </c>
      <c r="B26" s="98"/>
      <c r="C26" s="99" t="s">
        <v>208</v>
      </c>
      <c r="D26" s="100"/>
      <c r="E26" s="101" t="s">
        <v>208</v>
      </c>
      <c r="F26" s="100"/>
      <c r="G26" s="101" t="s">
        <v>208</v>
      </c>
      <c r="H26" s="102"/>
      <c r="I26" s="103"/>
      <c r="J26" s="99" t="s">
        <v>208</v>
      </c>
      <c r="K26" s="100"/>
      <c r="L26" s="101" t="s">
        <v>208</v>
      </c>
      <c r="M26" s="100"/>
      <c r="N26" s="101" t="s">
        <v>208</v>
      </c>
      <c r="O26" s="102"/>
      <c r="P26" s="690" t="str">
        <f t="shared" si="0"/>
        <v/>
      </c>
    </row>
    <row r="27" spans="1:16" s="208" customFormat="1" ht="15" customHeight="1" x14ac:dyDescent="0.35">
      <c r="A27" s="164">
        <v>14</v>
      </c>
      <c r="B27" s="98"/>
      <c r="C27" s="99" t="s">
        <v>208</v>
      </c>
      <c r="D27" s="100"/>
      <c r="E27" s="101" t="s">
        <v>208</v>
      </c>
      <c r="F27" s="100"/>
      <c r="G27" s="101" t="s">
        <v>208</v>
      </c>
      <c r="H27" s="102"/>
      <c r="I27" s="103"/>
      <c r="J27" s="99" t="s">
        <v>208</v>
      </c>
      <c r="K27" s="100"/>
      <c r="L27" s="101" t="s">
        <v>208</v>
      </c>
      <c r="M27" s="100"/>
      <c r="N27" s="101" t="s">
        <v>208</v>
      </c>
      <c r="O27" s="102"/>
      <c r="P27" s="690" t="str">
        <f t="shared" si="0"/>
        <v/>
      </c>
    </row>
    <row r="28" spans="1:16" s="208" customFormat="1" ht="15" customHeight="1" x14ac:dyDescent="0.35">
      <c r="A28" s="164">
        <v>15</v>
      </c>
      <c r="B28" s="98"/>
      <c r="C28" s="99" t="s">
        <v>208</v>
      </c>
      <c r="D28" s="100"/>
      <c r="E28" s="101" t="s">
        <v>208</v>
      </c>
      <c r="F28" s="100"/>
      <c r="G28" s="101" t="s">
        <v>208</v>
      </c>
      <c r="H28" s="102"/>
      <c r="I28" s="103"/>
      <c r="J28" s="99" t="s">
        <v>208</v>
      </c>
      <c r="K28" s="100"/>
      <c r="L28" s="101" t="s">
        <v>208</v>
      </c>
      <c r="M28" s="100"/>
      <c r="N28" s="101" t="s">
        <v>208</v>
      </c>
      <c r="O28" s="102"/>
      <c r="P28" s="690" t="str">
        <f t="shared" si="0"/>
        <v/>
      </c>
    </row>
    <row r="29" spans="1:16" s="208" customFormat="1" ht="15" customHeight="1" x14ac:dyDescent="0.35">
      <c r="A29" s="164">
        <v>16</v>
      </c>
      <c r="B29" s="98"/>
      <c r="C29" s="99" t="s">
        <v>208</v>
      </c>
      <c r="D29" s="100"/>
      <c r="E29" s="101" t="s">
        <v>208</v>
      </c>
      <c r="F29" s="100"/>
      <c r="G29" s="101" t="s">
        <v>208</v>
      </c>
      <c r="H29" s="102"/>
      <c r="I29" s="103"/>
      <c r="J29" s="99" t="s">
        <v>208</v>
      </c>
      <c r="K29" s="100"/>
      <c r="L29" s="101" t="s">
        <v>208</v>
      </c>
      <c r="M29" s="100"/>
      <c r="N29" s="101" t="s">
        <v>208</v>
      </c>
      <c r="O29" s="102"/>
      <c r="P29" s="690" t="str">
        <f t="shared" si="0"/>
        <v/>
      </c>
    </row>
    <row r="30" spans="1:16" s="208" customFormat="1" ht="15" customHeight="1" x14ac:dyDescent="0.35">
      <c r="A30" s="164">
        <v>17</v>
      </c>
      <c r="B30" s="98"/>
      <c r="C30" s="99" t="s">
        <v>208</v>
      </c>
      <c r="D30" s="100"/>
      <c r="E30" s="101" t="s">
        <v>208</v>
      </c>
      <c r="F30" s="100"/>
      <c r="G30" s="101" t="s">
        <v>208</v>
      </c>
      <c r="H30" s="102"/>
      <c r="I30" s="103"/>
      <c r="J30" s="99" t="s">
        <v>208</v>
      </c>
      <c r="K30" s="100"/>
      <c r="L30" s="101" t="s">
        <v>208</v>
      </c>
      <c r="M30" s="100"/>
      <c r="N30" s="101" t="s">
        <v>208</v>
      </c>
      <c r="O30" s="102"/>
      <c r="P30" s="690" t="str">
        <f t="shared" si="0"/>
        <v/>
      </c>
    </row>
    <row r="31" spans="1:16" s="208" customFormat="1" ht="15" customHeight="1" x14ac:dyDescent="0.35">
      <c r="A31" s="164">
        <v>18</v>
      </c>
      <c r="B31" s="98"/>
      <c r="C31" s="99" t="s">
        <v>208</v>
      </c>
      <c r="D31" s="100"/>
      <c r="E31" s="101" t="s">
        <v>208</v>
      </c>
      <c r="F31" s="100"/>
      <c r="G31" s="101" t="s">
        <v>208</v>
      </c>
      <c r="H31" s="102"/>
      <c r="I31" s="103"/>
      <c r="J31" s="99" t="s">
        <v>208</v>
      </c>
      <c r="K31" s="100"/>
      <c r="L31" s="101" t="s">
        <v>208</v>
      </c>
      <c r="M31" s="100"/>
      <c r="N31" s="101" t="s">
        <v>208</v>
      </c>
      <c r="O31" s="102"/>
      <c r="P31" s="690" t="str">
        <f t="shared" si="0"/>
        <v/>
      </c>
    </row>
    <row r="32" spans="1:16" s="208" customFormat="1" ht="15" customHeight="1" x14ac:dyDescent="0.35">
      <c r="A32" s="164">
        <v>19</v>
      </c>
      <c r="B32" s="98"/>
      <c r="C32" s="99" t="s">
        <v>208</v>
      </c>
      <c r="D32" s="100"/>
      <c r="E32" s="101" t="s">
        <v>208</v>
      </c>
      <c r="F32" s="100"/>
      <c r="G32" s="101" t="s">
        <v>208</v>
      </c>
      <c r="H32" s="102"/>
      <c r="I32" s="103"/>
      <c r="J32" s="99" t="s">
        <v>208</v>
      </c>
      <c r="K32" s="100"/>
      <c r="L32" s="101" t="s">
        <v>208</v>
      </c>
      <c r="M32" s="100"/>
      <c r="N32" s="101" t="s">
        <v>208</v>
      </c>
      <c r="O32" s="102"/>
      <c r="P32" s="690" t="str">
        <f t="shared" si="0"/>
        <v/>
      </c>
    </row>
    <row r="33" spans="1:16" s="208" customFormat="1" ht="15" customHeight="1" x14ac:dyDescent="0.35">
      <c r="A33" s="164">
        <v>20</v>
      </c>
      <c r="B33" s="98"/>
      <c r="C33" s="99" t="s">
        <v>208</v>
      </c>
      <c r="D33" s="100"/>
      <c r="E33" s="101" t="s">
        <v>208</v>
      </c>
      <c r="F33" s="100"/>
      <c r="G33" s="101" t="s">
        <v>208</v>
      </c>
      <c r="H33" s="102"/>
      <c r="I33" s="103"/>
      <c r="J33" s="99" t="s">
        <v>208</v>
      </c>
      <c r="K33" s="100"/>
      <c r="L33" s="101" t="s">
        <v>208</v>
      </c>
      <c r="M33" s="100"/>
      <c r="N33" s="101" t="s">
        <v>208</v>
      </c>
      <c r="O33" s="102"/>
      <c r="P33" s="690" t="str">
        <f t="shared" si="0"/>
        <v/>
      </c>
    </row>
    <row r="34" spans="1:16" s="208" customFormat="1" ht="15" customHeight="1" x14ac:dyDescent="0.35">
      <c r="A34" s="164">
        <v>21</v>
      </c>
      <c r="B34" s="98"/>
      <c r="C34" s="99" t="s">
        <v>208</v>
      </c>
      <c r="D34" s="100"/>
      <c r="E34" s="101" t="s">
        <v>208</v>
      </c>
      <c r="F34" s="100"/>
      <c r="G34" s="101" t="s">
        <v>208</v>
      </c>
      <c r="H34" s="102"/>
      <c r="I34" s="103"/>
      <c r="J34" s="99" t="s">
        <v>208</v>
      </c>
      <c r="K34" s="100"/>
      <c r="L34" s="101" t="s">
        <v>208</v>
      </c>
      <c r="M34" s="100"/>
      <c r="N34" s="101" t="s">
        <v>208</v>
      </c>
      <c r="O34" s="102"/>
      <c r="P34" s="690" t="str">
        <f t="shared" si="0"/>
        <v/>
      </c>
    </row>
    <row r="35" spans="1:16" s="208" customFormat="1" ht="15" customHeight="1" x14ac:dyDescent="0.35">
      <c r="A35" s="164">
        <v>22</v>
      </c>
      <c r="B35" s="98"/>
      <c r="C35" s="99" t="s">
        <v>208</v>
      </c>
      <c r="D35" s="100"/>
      <c r="E35" s="101" t="s">
        <v>208</v>
      </c>
      <c r="F35" s="100"/>
      <c r="G35" s="101" t="s">
        <v>208</v>
      </c>
      <c r="H35" s="102"/>
      <c r="I35" s="103"/>
      <c r="J35" s="99" t="s">
        <v>208</v>
      </c>
      <c r="K35" s="100"/>
      <c r="L35" s="101" t="s">
        <v>208</v>
      </c>
      <c r="M35" s="100"/>
      <c r="N35" s="101" t="s">
        <v>208</v>
      </c>
      <c r="O35" s="102"/>
      <c r="P35" s="690" t="str">
        <f t="shared" si="0"/>
        <v/>
      </c>
    </row>
    <row r="36" spans="1:16" s="208" customFormat="1" ht="15" customHeight="1" x14ac:dyDescent="0.35">
      <c r="A36" s="164">
        <v>23</v>
      </c>
      <c r="B36" s="98"/>
      <c r="C36" s="99" t="s">
        <v>208</v>
      </c>
      <c r="D36" s="100"/>
      <c r="E36" s="101" t="s">
        <v>208</v>
      </c>
      <c r="F36" s="100"/>
      <c r="G36" s="101" t="s">
        <v>208</v>
      </c>
      <c r="H36" s="102"/>
      <c r="I36" s="103"/>
      <c r="J36" s="99" t="s">
        <v>208</v>
      </c>
      <c r="K36" s="100"/>
      <c r="L36" s="101" t="s">
        <v>208</v>
      </c>
      <c r="M36" s="100"/>
      <c r="N36" s="101" t="s">
        <v>208</v>
      </c>
      <c r="O36" s="102"/>
      <c r="P36" s="690" t="str">
        <f t="shared" si="0"/>
        <v/>
      </c>
    </row>
    <row r="37" spans="1:16" s="208" customFormat="1" ht="15" customHeight="1" x14ac:dyDescent="0.35">
      <c r="A37" s="164">
        <v>24</v>
      </c>
      <c r="B37" s="98"/>
      <c r="C37" s="99" t="s">
        <v>208</v>
      </c>
      <c r="D37" s="100"/>
      <c r="E37" s="101" t="s">
        <v>208</v>
      </c>
      <c r="F37" s="100"/>
      <c r="G37" s="101" t="s">
        <v>208</v>
      </c>
      <c r="H37" s="102"/>
      <c r="I37" s="103"/>
      <c r="J37" s="99" t="s">
        <v>208</v>
      </c>
      <c r="K37" s="100"/>
      <c r="L37" s="101" t="s">
        <v>208</v>
      </c>
      <c r="M37" s="100"/>
      <c r="N37" s="101" t="s">
        <v>208</v>
      </c>
      <c r="O37" s="102"/>
      <c r="P37" s="690" t="str">
        <f t="shared" si="0"/>
        <v/>
      </c>
    </row>
    <row r="38" spans="1:16" s="208" customFormat="1" ht="15" customHeight="1" x14ac:dyDescent="0.35">
      <c r="A38" s="164">
        <v>25</v>
      </c>
      <c r="B38" s="98"/>
      <c r="C38" s="99" t="s">
        <v>208</v>
      </c>
      <c r="D38" s="100"/>
      <c r="E38" s="101" t="s">
        <v>208</v>
      </c>
      <c r="F38" s="100"/>
      <c r="G38" s="101" t="s">
        <v>208</v>
      </c>
      <c r="H38" s="102"/>
      <c r="I38" s="103"/>
      <c r="J38" s="99" t="s">
        <v>208</v>
      </c>
      <c r="K38" s="100"/>
      <c r="L38" s="101" t="s">
        <v>208</v>
      </c>
      <c r="M38" s="100"/>
      <c r="N38" s="101" t="s">
        <v>208</v>
      </c>
      <c r="O38" s="102"/>
      <c r="P38" s="690" t="str">
        <f t="shared" si="0"/>
        <v/>
      </c>
    </row>
    <row r="39" spans="1:16" s="208" customFormat="1" ht="15" customHeight="1" x14ac:dyDescent="0.35">
      <c r="A39" s="164">
        <v>26</v>
      </c>
      <c r="B39" s="98"/>
      <c r="C39" s="99" t="s">
        <v>208</v>
      </c>
      <c r="D39" s="100"/>
      <c r="E39" s="101" t="s">
        <v>208</v>
      </c>
      <c r="F39" s="100"/>
      <c r="G39" s="101" t="s">
        <v>208</v>
      </c>
      <c r="H39" s="102"/>
      <c r="I39" s="103"/>
      <c r="J39" s="99" t="s">
        <v>208</v>
      </c>
      <c r="K39" s="100"/>
      <c r="L39" s="101" t="s">
        <v>208</v>
      </c>
      <c r="M39" s="100"/>
      <c r="N39" s="101" t="s">
        <v>208</v>
      </c>
      <c r="O39" s="102"/>
      <c r="P39" s="690" t="str">
        <f t="shared" si="0"/>
        <v/>
      </c>
    </row>
    <row r="40" spans="1:16" s="208" customFormat="1" ht="15" customHeight="1" x14ac:dyDescent="0.35">
      <c r="A40" s="164">
        <v>27</v>
      </c>
      <c r="B40" s="98"/>
      <c r="C40" s="99" t="s">
        <v>208</v>
      </c>
      <c r="D40" s="100"/>
      <c r="E40" s="101" t="s">
        <v>208</v>
      </c>
      <c r="F40" s="100"/>
      <c r="G40" s="101" t="s">
        <v>208</v>
      </c>
      <c r="H40" s="102"/>
      <c r="I40" s="103"/>
      <c r="J40" s="99" t="s">
        <v>208</v>
      </c>
      <c r="K40" s="100"/>
      <c r="L40" s="101" t="s">
        <v>208</v>
      </c>
      <c r="M40" s="100"/>
      <c r="N40" s="101" t="s">
        <v>208</v>
      </c>
      <c r="O40" s="102"/>
      <c r="P40" s="690" t="str">
        <f t="shared" si="0"/>
        <v/>
      </c>
    </row>
    <row r="41" spans="1:16" s="208" customFormat="1" ht="15" customHeight="1" x14ac:dyDescent="0.35">
      <c r="A41" s="164">
        <v>28</v>
      </c>
      <c r="B41" s="98"/>
      <c r="C41" s="99" t="s">
        <v>208</v>
      </c>
      <c r="D41" s="100"/>
      <c r="E41" s="101" t="s">
        <v>208</v>
      </c>
      <c r="F41" s="100"/>
      <c r="G41" s="101" t="s">
        <v>208</v>
      </c>
      <c r="H41" s="102"/>
      <c r="I41" s="103"/>
      <c r="J41" s="99" t="s">
        <v>208</v>
      </c>
      <c r="K41" s="100"/>
      <c r="L41" s="101" t="s">
        <v>208</v>
      </c>
      <c r="M41" s="100"/>
      <c r="N41" s="101" t="s">
        <v>208</v>
      </c>
      <c r="O41" s="102"/>
      <c r="P41" s="690" t="str">
        <f t="shared" si="0"/>
        <v/>
      </c>
    </row>
    <row r="42" spans="1:16" s="208" customFormat="1" ht="15" customHeight="1" x14ac:dyDescent="0.35">
      <c r="A42" s="164">
        <v>29</v>
      </c>
      <c r="B42" s="98"/>
      <c r="C42" s="99" t="s">
        <v>208</v>
      </c>
      <c r="D42" s="100"/>
      <c r="E42" s="101" t="s">
        <v>208</v>
      </c>
      <c r="F42" s="100"/>
      <c r="G42" s="101" t="s">
        <v>208</v>
      </c>
      <c r="H42" s="102"/>
      <c r="I42" s="103"/>
      <c r="J42" s="99" t="s">
        <v>208</v>
      </c>
      <c r="K42" s="100"/>
      <c r="L42" s="101" t="s">
        <v>208</v>
      </c>
      <c r="M42" s="100"/>
      <c r="N42" s="101" t="s">
        <v>208</v>
      </c>
      <c r="O42" s="102"/>
      <c r="P42" s="690" t="str">
        <f t="shared" si="0"/>
        <v/>
      </c>
    </row>
    <row r="43" spans="1:16" s="208" customFormat="1" ht="15" customHeight="1" x14ac:dyDescent="0.35">
      <c r="A43" s="164">
        <v>30</v>
      </c>
      <c r="B43" s="98"/>
      <c r="C43" s="99" t="s">
        <v>208</v>
      </c>
      <c r="D43" s="100"/>
      <c r="E43" s="101" t="s">
        <v>208</v>
      </c>
      <c r="F43" s="100"/>
      <c r="G43" s="101" t="s">
        <v>208</v>
      </c>
      <c r="H43" s="102"/>
      <c r="I43" s="103"/>
      <c r="J43" s="99" t="s">
        <v>208</v>
      </c>
      <c r="K43" s="100"/>
      <c r="L43" s="101" t="s">
        <v>208</v>
      </c>
      <c r="M43" s="100"/>
      <c r="N43" s="101" t="s">
        <v>208</v>
      </c>
      <c r="O43" s="102"/>
      <c r="P43" s="690" t="str">
        <f t="shared" si="0"/>
        <v/>
      </c>
    </row>
    <row r="44" spans="1:16" s="208" customFormat="1" ht="15" customHeight="1" thickBot="1" x14ac:dyDescent="0.4">
      <c r="A44" s="161">
        <v>31</v>
      </c>
      <c r="B44" s="104"/>
      <c r="C44" s="105" t="s">
        <v>208</v>
      </c>
      <c r="D44" s="106"/>
      <c r="E44" s="107" t="s">
        <v>208</v>
      </c>
      <c r="F44" s="106"/>
      <c r="G44" s="107" t="s">
        <v>208</v>
      </c>
      <c r="H44" s="108"/>
      <c r="I44" s="109"/>
      <c r="J44" s="105" t="s">
        <v>208</v>
      </c>
      <c r="K44" s="106"/>
      <c r="L44" s="107" t="s">
        <v>208</v>
      </c>
      <c r="M44" s="106"/>
      <c r="N44" s="107" t="s">
        <v>208</v>
      </c>
      <c r="O44" s="108"/>
      <c r="P44" s="691" t="str">
        <f t="shared" si="0"/>
        <v/>
      </c>
    </row>
    <row r="45" spans="1:16" s="317" customFormat="1" ht="15" customHeight="1" thickTop="1" x14ac:dyDescent="0.35">
      <c r="A45" s="164" t="s">
        <v>60</v>
      </c>
      <c r="B45" s="602" t="str">
        <f t="array" ref="B45">IF(COUNT(B$14:B$44)=0,"",SUM(IF(ISERROR(B$14:B$44),"",B$14:B$44)))</f>
        <v/>
      </c>
      <c r="C45" s="603"/>
      <c r="D45" s="604" t="str">
        <f t="array" ref="D45">IF(COUNT(D$14:D$44)=0,"",SUM(IF(ISERROR(D$14:D$44),"",D$14:D$44)))</f>
        <v/>
      </c>
      <c r="E45" s="603"/>
      <c r="F45" s="604" t="str">
        <f t="array" ref="F45">IF(COUNT(F$14:F$44)=0,"",SUM(IF(ISERROR(F$14:F$44),"",F$14:F$44)))</f>
        <v/>
      </c>
      <c r="G45" s="605"/>
      <c r="H45" s="604" t="str">
        <f t="array" ref="H45">IF(COUNT(H$14:H$44)=0,"",SUM(IF(ISERROR(H$14:H$44),"",H$14:H$44)))</f>
        <v/>
      </c>
      <c r="I45" s="606" t="str">
        <f t="array" ref="I45">IF(COUNT(I$14:I$44)=0,"",SUM(IF(ISERROR(I$14:I$44),"",I$14:I$44)))</f>
        <v/>
      </c>
      <c r="J45" s="607"/>
      <c r="K45" s="604" t="str">
        <f t="array" ref="K45">IF(COUNT(K$14:K$44)=0,"",SUM(IF(ISERROR(K$14:K$44),"",K$14:K$44)))</f>
        <v/>
      </c>
      <c r="L45" s="608"/>
      <c r="M45" s="604" t="str">
        <f t="array" ref="M45">IF(COUNT(M$14:M$44)=0,"",SUM(IF(ISERROR(M$14:M$44),"",M$14:M$44)))</f>
        <v/>
      </c>
      <c r="N45" s="609"/>
      <c r="O45" s="604" t="str">
        <f t="array" ref="O45">IF(COUNT(O$14:O$44)=0,"",SUM(IF(ISERROR(O$14:O$44),"",O$14:O$44)))</f>
        <v/>
      </c>
      <c r="P45" s="610"/>
    </row>
    <row r="46" spans="1:16" s="317" customFormat="1" ht="15" customHeight="1" x14ac:dyDescent="0.35">
      <c r="A46" s="164" t="s">
        <v>61</v>
      </c>
      <c r="B46" s="602" t="str">
        <f>IF(COUNT(B$14:B$44)=0,"",IF(ISERROR(AVERAGE(B$14:B$44)),"N/A",AVERAGE(B$14:B$44)))</f>
        <v/>
      </c>
      <c r="C46" s="603"/>
      <c r="D46" s="604" t="str">
        <f>IF(COUNT(D$14:D$44)=0,"",IF(ISERROR(AVERAGE(D$14:D$44)),"N/A",AVERAGE(D$14:D$44)))</f>
        <v/>
      </c>
      <c r="E46" s="603"/>
      <c r="F46" s="604" t="str">
        <f>IF(COUNT(F$14:F$44)=0,"",IF(ISERROR(AVERAGE(F$14:F$44)),"N/A",AVERAGE(F$14:F$44)))</f>
        <v/>
      </c>
      <c r="G46" s="605"/>
      <c r="H46" s="604" t="str">
        <f>IF(COUNT(H$14:H$44)=0,"",IF(ISERROR(AVERAGE(H$14:H$44)),"N/A",AVERAGE(H$14:H$44)))</f>
        <v/>
      </c>
      <c r="I46" s="606" t="str">
        <f>IF(COUNT(I$14:I$44)=0,"",IF(ISERROR(AVERAGE(I$14:I$44)),"N/A",AVERAGE(I$14:I$44)))</f>
        <v/>
      </c>
      <c r="J46" s="607"/>
      <c r="K46" s="604" t="str">
        <f>IF(COUNT(K$14:K$44)=0,"",IF(ISERROR(AVERAGE(K$14:K$44)),"N/A",AVERAGE(K$14:K$44)))</f>
        <v/>
      </c>
      <c r="L46" s="608"/>
      <c r="M46" s="604" t="str">
        <f>IF(COUNT(M$14:M$44)=0,"",IF(ISERROR(AVERAGE(M$14:M$44)),"N/A",AVERAGE(M$14:M$44)))</f>
        <v/>
      </c>
      <c r="N46" s="609"/>
      <c r="O46" s="604" t="str">
        <f>IF(COUNT(O$14:O$44)=0,"",IF(ISERROR(AVERAGE(O$14:O$44)),"N/A",AVERAGE(O$14:O$44)))</f>
        <v/>
      </c>
      <c r="P46" s="610"/>
    </row>
    <row r="47" spans="1:16" s="317" customFormat="1" ht="15" customHeight="1" x14ac:dyDescent="0.35">
      <c r="A47" s="164" t="s">
        <v>62</v>
      </c>
      <c r="B47" s="602" t="str">
        <f t="array" ref="B47">IF(COUNT(B$14:B$44)=0,"",MAX(IF(ISERROR(B$14:B$44),"",B$14:B$44)))</f>
        <v/>
      </c>
      <c r="C47" s="603"/>
      <c r="D47" s="604" t="str">
        <f t="array" ref="D47">IF(COUNT(D$14:D$44)=0,"",MAX(IF(ISERROR(D$14:D$44),"",D$14:D$44)))</f>
        <v/>
      </c>
      <c r="E47" s="603"/>
      <c r="F47" s="604" t="str">
        <f t="array" ref="F47">IF(COUNT(F$14:F$44)=0,"",MAX(IF(ISERROR(F$14:F$44),"",F$14:F$44)))</f>
        <v/>
      </c>
      <c r="G47" s="605"/>
      <c r="H47" s="604" t="str">
        <f t="array" ref="H47">IF(COUNT(H$14:H$44)=0,"",MAX(IF(ISERROR(H$14:H$44),"",H$14:H$44)))</f>
        <v/>
      </c>
      <c r="I47" s="606" t="str">
        <f t="array" ref="I47">IF(COUNT(I$14:I$44)=0,"",MAX(IF(ISERROR(I$14:I$44),"",I$14:I$44)))</f>
        <v/>
      </c>
      <c r="J47" s="607"/>
      <c r="K47" s="604" t="str">
        <f t="array" ref="K47">IF(COUNT(K$14:K$44)=0,"",MAX(IF(ISERROR(K$14:K$44),"",K$14:K$44)))</f>
        <v/>
      </c>
      <c r="L47" s="608"/>
      <c r="M47" s="604" t="str">
        <f t="array" ref="M47">IF(COUNT(M$14:M$44)=0,"",MAX(IF(ISERROR(M$14:M$44),"",M$14:M$44)))</f>
        <v/>
      </c>
      <c r="N47" s="609"/>
      <c r="O47" s="604" t="str">
        <f t="array" ref="O47">IF(COUNT(O$14:O$44)=0,"",MAX(IF(ISERROR(O$14:O$44),"",O$14:O$44)))</f>
        <v/>
      </c>
      <c r="P47" s="610"/>
    </row>
    <row r="48" spans="1:16" s="317" customFormat="1" ht="15" customHeight="1" x14ac:dyDescent="0.35">
      <c r="A48" s="164" t="s">
        <v>63</v>
      </c>
      <c r="B48" s="602" t="str">
        <f>IF(COUNT(B$14:B$44)=0,"",IF(ISERROR(MIN(B$14:B$44)),"N/A",MIN(B$14:B$44)))</f>
        <v/>
      </c>
      <c r="C48" s="603"/>
      <c r="D48" s="604" t="str">
        <f>IF(COUNT(D$14:D$44)=0,"",IF(ISERROR(MIN(D$14:D$44)),"N/A",MIN(D$14:D$44)))</f>
        <v/>
      </c>
      <c r="E48" s="603"/>
      <c r="F48" s="604" t="str">
        <f>IF(COUNT(F$14:F$44)=0,"",IF(ISERROR(MIN(F$14:F$44)),"N/A",MIN(F$14:F$44)))</f>
        <v/>
      </c>
      <c r="G48" s="605"/>
      <c r="H48" s="604" t="str">
        <f>IF(COUNT(H$14:H$44)=0,"",IF(ISERROR(MIN(H$14:H$44)),"N/A",MIN(H$14:H$44)))</f>
        <v/>
      </c>
      <c r="I48" s="606" t="str">
        <f>IF(COUNT(I$14:I$44)=0,"",IF(ISERROR(MIN(I$14:I$44)),"N/A",MIN(I$14:I$44)))</f>
        <v/>
      </c>
      <c r="J48" s="607"/>
      <c r="K48" s="604" t="str">
        <f>IF(COUNT(K$14:K$44)=0,"",IF(ISERROR(MIN(K$14:K$44)),"N/A",MIN(K$14:K$44)))</f>
        <v/>
      </c>
      <c r="L48" s="608"/>
      <c r="M48" s="604" t="str">
        <f>IF(COUNT(M$14:M$44)=0,"",IF(ISERROR(MIN(M$14:M$44)),"N/A",MIN(M$14:M$44)))</f>
        <v/>
      </c>
      <c r="N48" s="609"/>
      <c r="O48" s="604" t="str">
        <f>IF(COUNT(O$14:O$44)=0,"",IF(ISERROR(MIN(O$14:O$44)),"N/A",MIN(O$14:O$44)))</f>
        <v/>
      </c>
      <c r="P48" s="610"/>
    </row>
    <row r="49" spans="1:16" s="265" customFormat="1" ht="10.199999999999999" x14ac:dyDescent="0.35">
      <c r="A49" s="257"/>
      <c r="B49" s="611"/>
      <c r="C49" s="611"/>
      <c r="D49" s="611"/>
      <c r="E49" s="611"/>
      <c r="F49" s="611"/>
      <c r="G49" s="611"/>
      <c r="H49" s="611"/>
      <c r="I49" s="611"/>
      <c r="J49" s="611"/>
      <c r="K49" s="611"/>
      <c r="L49" s="611"/>
      <c r="M49" s="197"/>
      <c r="N49" s="611"/>
      <c r="O49" s="611"/>
      <c r="P49" s="612"/>
    </row>
    <row r="50" spans="1:16" s="265" customFormat="1" ht="10.5" x14ac:dyDescent="0.4">
      <c r="A50" s="257"/>
      <c r="B50" s="613" t="s">
        <v>218</v>
      </c>
      <c r="C50" s="261"/>
      <c r="D50" s="261"/>
      <c r="E50" s="262"/>
      <c r="F50" s="611"/>
      <c r="G50" s="611"/>
      <c r="H50" s="611"/>
      <c r="I50" s="613" t="s">
        <v>232</v>
      </c>
      <c r="J50" s="261"/>
      <c r="K50" s="262"/>
      <c r="L50" s="197"/>
      <c r="M50" s="197"/>
      <c r="N50" s="291"/>
      <c r="O50" s="291"/>
      <c r="P50" s="612"/>
    </row>
    <row r="51" spans="1:16" s="265" customFormat="1" ht="10.5" x14ac:dyDescent="0.4">
      <c r="A51" s="257"/>
      <c r="B51" s="1166" t="s">
        <v>233</v>
      </c>
      <c r="C51" s="1167"/>
      <c r="D51" s="1168"/>
      <c r="E51" s="110"/>
      <c r="F51" s="223"/>
      <c r="G51" s="614"/>
      <c r="H51" s="611"/>
      <c r="I51" s="615" t="s">
        <v>234</v>
      </c>
      <c r="J51" s="616"/>
      <c r="K51" s="110"/>
      <c r="L51" s="197"/>
      <c r="M51" s="197"/>
      <c r="N51" s="291"/>
      <c r="O51" s="291"/>
      <c r="P51" s="617"/>
    </row>
    <row r="52" spans="1:16" s="265" customFormat="1" ht="10.5" x14ac:dyDescent="0.4">
      <c r="A52" s="257"/>
      <c r="B52" s="1166" t="s">
        <v>235</v>
      </c>
      <c r="C52" s="1167"/>
      <c r="D52" s="1168"/>
      <c r="E52" s="110"/>
      <c r="F52" s="223"/>
      <c r="G52" s="614"/>
      <c r="H52" s="611"/>
      <c r="I52" s="223"/>
      <c r="J52" s="223"/>
      <c r="K52" s="223"/>
      <c r="L52" s="223"/>
      <c r="M52" s="197"/>
      <c r="N52" s="223"/>
      <c r="O52" s="223"/>
      <c r="P52" s="612"/>
    </row>
    <row r="53" spans="1:16" ht="12.6" thickBot="1" x14ac:dyDescent="0.45">
      <c r="A53" s="577"/>
      <c r="B53" s="618"/>
      <c r="C53" s="618"/>
      <c r="D53" s="618"/>
      <c r="E53" s="618"/>
      <c r="F53" s="618"/>
      <c r="G53" s="618"/>
      <c r="H53" s="618"/>
      <c r="I53" s="618"/>
      <c r="J53" s="618"/>
      <c r="K53" s="618"/>
      <c r="L53" s="618"/>
      <c r="M53" s="618"/>
      <c r="N53" s="618"/>
      <c r="O53" s="618"/>
      <c r="P53" s="619"/>
    </row>
    <row r="54" spans="1:16" ht="6" customHeight="1" x14ac:dyDescent="0.4">
      <c r="A54" s="575"/>
      <c r="B54"/>
      <c r="C54"/>
      <c r="D54"/>
      <c r="E54"/>
      <c r="F54"/>
      <c r="G54"/>
      <c r="H54"/>
      <c r="I54"/>
      <c r="J54"/>
      <c r="K54"/>
      <c r="L54"/>
      <c r="M54"/>
      <c r="N54"/>
      <c r="O54"/>
      <c r="P54" s="578"/>
    </row>
    <row r="55" spans="1:16" ht="10.15" customHeight="1" x14ac:dyDescent="0.4">
      <c r="A55" s="197" t="s">
        <v>67</v>
      </c>
      <c r="B55" s="197"/>
      <c r="C55"/>
      <c r="D55"/>
      <c r="E55"/>
      <c r="F55"/>
      <c r="G55"/>
      <c r="H55"/>
      <c r="I55" s="477" t="s">
        <v>69</v>
      </c>
      <c r="J55" s="477"/>
      <c r="K55" s="477"/>
      <c r="L55" s="22" t="str">
        <f>IF(LEN(ORC)=0,"",ORC)</f>
        <v/>
      </c>
      <c r="M55" s="183"/>
      <c r="N55" s="183"/>
      <c r="O55" s="183"/>
      <c r="P55" s="184"/>
    </row>
    <row r="56" spans="1:16" s="208" customFormat="1" ht="10.15" customHeight="1" x14ac:dyDescent="0.4">
      <c r="A56" s="197" t="s">
        <v>27</v>
      </c>
      <c r="B56" s="197"/>
      <c r="C56" s="197"/>
      <c r="D56" s="197"/>
      <c r="E56" s="197"/>
      <c r="F56" s="197"/>
      <c r="G56" s="197"/>
      <c r="H56" s="197"/>
      <c r="I56" s="479"/>
      <c r="J56" s="197"/>
      <c r="K56" s="335"/>
      <c r="L56" s="335"/>
      <c r="M56" s="335"/>
      <c r="N56" s="335"/>
      <c r="O56" s="335"/>
      <c r="P56" s="197"/>
    </row>
    <row r="57" spans="1:16" s="447" customFormat="1" ht="10.15" customHeight="1" x14ac:dyDescent="0.4">
      <c r="A57" s="197" t="str">
        <f>Version_complete</f>
        <v>Version: V02.11-01</v>
      </c>
      <c r="B57" s="197"/>
      <c r="C57" s="197"/>
      <c r="D57" s="197"/>
      <c r="E57" s="335"/>
      <c r="F57" s="335"/>
      <c r="G57" s="335"/>
      <c r="H57" s="335"/>
      <c r="I57" s="477" t="s">
        <v>70</v>
      </c>
      <c r="J57" s="477"/>
      <c r="K57" s="477"/>
      <c r="L57" s="24" t="str">
        <f>IF(LEN(CertificateGrade)=0,"",CertificateGrade)</f>
        <v>A</v>
      </c>
      <c r="M57" s="219" t="s">
        <v>157</v>
      </c>
      <c r="N57" s="219"/>
      <c r="O57" s="219"/>
      <c r="P57" s="24" t="str">
        <f>IF(LEN(CertificateNumber)=0,"",CertificateNumber)</f>
        <v>975930</v>
      </c>
    </row>
  </sheetData>
  <sheetProtection algorithmName="SHA-512" hashValue="+JvH1MApVqRaxJblnpES1zGN9P4wByklxha5TmlvG8k3Fm7Hno3z1fgSIacY67GGCq4i2imBSj9tLn7jaP5rWw==" saltValue="63gfW9DQmz4Oi/v0F0DmiA==" spinCount="100000" sheet="1" objects="1" scenarios="1"/>
  <mergeCells count="5">
    <mergeCell ref="B52:D52"/>
    <mergeCell ref="I2:P2"/>
    <mergeCell ref="B11:H11"/>
    <mergeCell ref="I11:P11"/>
    <mergeCell ref="B51:D51"/>
  </mergeCells>
  <phoneticPr fontId="40" type="noConversion"/>
  <dataValidations count="3">
    <dataValidation type="list" allowBlank="1" showInputMessage="1" showErrorMessage="1" errorTitle="   IMPORTANT!  Invalid Entry ..." error="The value you entered is NOT valid. _x000a__x000a_Please select from the designated drop-down list or enter &quot;Yes&quot; or &quot;No&quot;._x000a__x000a_" sqref="K51 E51:E52" xr:uid="{00000000-0002-0000-0700-000000000000}">
      <formula1>val_Yes_No</formula1>
    </dataValidation>
    <dataValidation type="custom" allowBlank="1" showInputMessage="1" showErrorMessage="1" errorTitle="   IMPORTANT!  Invalid Entry ..." error="Enter a value between 0 and 99999.999_x000a__x000a_Please use no more than three (3) decimal(s)._x000a__x000a_Use a blank cell (and NOT zero) to indicate no activity / measurement._x000a__x000a_" sqref="D14:D44 F14:F44 O14:O44 B14:B44 K14:K44 H14:I44 M14:M44" xr:uid="{00000000-0002-0000-0700-000001000000}">
      <formula1>OR(AND(B14&gt;=0,B14&lt;=99999.999),LEN(B14)=0)</formula1>
    </dataValidation>
    <dataValidation type="textLength" operator="equal" allowBlank="1" showInputMessage="1" showErrorMessage="1" errorTitle="   IMPORTANT!  Invalid Entry ..." error="Location codes MUST be 3 characters in length._x000a_" sqref="E14:E44 C14:C44 N14:N44 L14:L44 J14:J44 G14:G44" xr:uid="{00000000-0002-0000-0700-000002000000}">
      <formula1>3</formula1>
    </dataValidation>
  </dataValidations>
  <printOptions horizontalCentered="1" verticalCentered="1"/>
  <pageMargins left="0.25" right="0.25" top="0.25" bottom="0.25" header="0.13" footer="0.13"/>
  <pageSetup scale="97" orientation="portrait" horizontalDpi="4294967292" r:id="rId1"/>
  <headerFooter alignWithMargins="0">
    <oddFooter xml:space="preserve">&amp;L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DistSysMonitor">
    <pageSetUpPr fitToPage="1"/>
  </sheetPr>
  <dimension ref="A1:V54"/>
  <sheetViews>
    <sheetView showGridLines="0" zoomScale="140" zoomScaleNormal="140" workbookViewId="0">
      <pane xSplit="1" ySplit="25" topLeftCell="B38" activePane="bottomRight" state="frozenSplit"/>
      <selection activeCell="L39" sqref="L39"/>
      <selection pane="topRight" activeCell="L39" sqref="L39"/>
      <selection pane="bottomLeft" activeCell="L39" sqref="L39"/>
      <selection pane="bottomRight" activeCell="L39" sqref="L39"/>
    </sheetView>
  </sheetViews>
  <sheetFormatPr defaultColWidth="8.83203125" defaultRowHeight="12.3" x14ac:dyDescent="0.4"/>
  <cols>
    <col min="1" max="1" width="3.27734375" style="447" customWidth="1"/>
    <col min="2" max="2" width="11.71875" style="447" customWidth="1"/>
    <col min="3" max="3" width="7" style="447" customWidth="1"/>
    <col min="4" max="4" width="40.71875" style="447" customWidth="1"/>
    <col min="5" max="5" width="8.83203125" style="447" customWidth="1"/>
    <col min="6" max="10" width="6.71875" style="447" hidden="1" customWidth="1"/>
    <col min="11" max="11" width="6.71875" style="447" customWidth="1"/>
    <col min="12" max="12" width="10.27734375" style="447" customWidth="1"/>
    <col min="13" max="13" width="6.71875" style="447" customWidth="1"/>
    <col min="14" max="14" width="8.83203125" style="447" customWidth="1"/>
    <col min="15" max="16" width="6.71875" style="447" customWidth="1"/>
    <col min="17" max="17" width="8.83203125" style="447" customWidth="1"/>
    <col min="18" max="18" width="8" style="447" hidden="1" customWidth="1"/>
    <col min="19" max="19" width="7" style="447" hidden="1" customWidth="1"/>
    <col min="20" max="20" width="6.5546875" style="447" hidden="1" customWidth="1"/>
    <col min="21" max="22" width="7" style="447" hidden="1" customWidth="1"/>
    <col min="23" max="16384" width="8.83203125" style="447"/>
  </cols>
  <sheetData>
    <row r="1" spans="1:17" s="506" customFormat="1" ht="15" x14ac:dyDescent="0.4">
      <c r="A1" s="481" t="str">
        <f>"DISTRIBUTION SYSTEM MONITORING REPORT  (" &amp; UPPER(rng_DisinfectantUsed) &amp; ")"</f>
        <v>DISTRIBUTION SYSTEM MONITORING REPORT  (CHLORINE)</v>
      </c>
      <c r="B1" s="481"/>
      <c r="C1" s="481"/>
      <c r="D1" s="481"/>
      <c r="E1" s="481"/>
      <c r="F1" s="481"/>
      <c r="G1" s="481"/>
      <c r="H1" s="481"/>
      <c r="I1" s="481"/>
      <c r="J1" s="481"/>
      <c r="K1" s="481"/>
      <c r="L1" s="481"/>
      <c r="M1" s="481"/>
      <c r="N1" s="481"/>
      <c r="O1" s="481"/>
      <c r="P1" s="481"/>
      <c r="Q1" s="481"/>
    </row>
    <row r="2" spans="1:17" s="506" customFormat="1" ht="8.5" hidden="1" customHeight="1" x14ac:dyDescent="0.4">
      <c r="A2" s="220"/>
      <c r="B2" s="220"/>
      <c r="C2" s="220"/>
      <c r="D2" s="220"/>
      <c r="E2" s="220"/>
      <c r="F2" s="220"/>
      <c r="G2" s="220"/>
      <c r="H2" s="220"/>
      <c r="I2" s="220"/>
      <c r="J2" s="220"/>
      <c r="K2" s="220"/>
      <c r="L2" s="220"/>
      <c r="M2" s="220"/>
      <c r="N2" s="220"/>
      <c r="O2" s="220"/>
      <c r="P2" s="220"/>
      <c r="Q2" s="220"/>
    </row>
    <row r="3" spans="1:17" s="205" customFormat="1" ht="10.5" hidden="1" x14ac:dyDescent="0.4">
      <c r="A3" s="620" t="s">
        <v>72</v>
      </c>
      <c r="B3" s="620"/>
      <c r="C3" s="207"/>
      <c r="D3" s="629">
        <f>IF(LEN(FormMasterDate)=0,"",FormMasterDate)</f>
        <v>43525</v>
      </c>
      <c r="E3" s="630"/>
      <c r="F3" s="630"/>
      <c r="G3" s="207"/>
      <c r="H3" s="207"/>
      <c r="I3" s="207"/>
      <c r="J3" s="207"/>
      <c r="K3" s="207"/>
      <c r="L3" s="620" t="s">
        <v>69</v>
      </c>
      <c r="M3" s="620"/>
      <c r="N3" s="207"/>
      <c r="O3" s="114" t="str">
        <f>IF(LEN(DistORC)=0,"",DistORC)</f>
        <v/>
      </c>
      <c r="P3" s="631"/>
      <c r="Q3" s="632"/>
    </row>
    <row r="4" spans="1:17" s="205" customFormat="1" ht="3" hidden="1" customHeight="1" x14ac:dyDescent="0.4">
      <c r="A4" s="206"/>
      <c r="B4" s="207"/>
      <c r="C4" s="207"/>
      <c r="D4" s="576"/>
      <c r="E4" s="206"/>
      <c r="F4" s="206"/>
      <c r="G4" s="207"/>
      <c r="H4" s="207"/>
      <c r="I4" s="207"/>
      <c r="J4" s="207"/>
      <c r="K4" s="207"/>
      <c r="L4" s="194"/>
      <c r="M4" s="207"/>
      <c r="N4" s="207"/>
      <c r="O4" s="207"/>
      <c r="P4" s="207"/>
      <c r="Q4" s="207"/>
    </row>
    <row r="5" spans="1:17" s="205" customFormat="1" ht="10.15" hidden="1" customHeight="1" x14ac:dyDescent="0.4">
      <c r="A5" s="620" t="s">
        <v>236</v>
      </c>
      <c r="B5" s="620"/>
      <c r="C5" s="207"/>
      <c r="D5" s="633" t="str">
        <f>IF(LEN(FormPWSIDNum)=0,"",FormPWSIDNum)</f>
        <v>NC0392020</v>
      </c>
      <c r="E5" s="206"/>
      <c r="F5" s="206"/>
      <c r="G5" s="207"/>
      <c r="H5" s="207"/>
      <c r="I5" s="207"/>
      <c r="J5" s="207"/>
      <c r="K5" s="207"/>
      <c r="L5" s="620" t="s">
        <v>70</v>
      </c>
      <c r="M5" s="620"/>
      <c r="N5" s="207"/>
      <c r="O5" s="114" t="str">
        <f>IF(LEN(DistCertificateGrade)=0,"",DistCertificateGrade)</f>
        <v>A</v>
      </c>
      <c r="P5" s="631"/>
      <c r="Q5" s="632"/>
    </row>
    <row r="6" spans="1:17" s="205" customFormat="1" ht="3" hidden="1" customHeight="1" x14ac:dyDescent="0.4">
      <c r="A6" s="194"/>
      <c r="B6" s="207"/>
      <c r="C6" s="207"/>
      <c r="D6" s="634"/>
      <c r="E6" s="620"/>
      <c r="F6" s="206"/>
      <c r="G6" s="207"/>
      <c r="H6" s="207"/>
      <c r="I6" s="207"/>
      <c r="J6" s="207"/>
      <c r="K6" s="207"/>
      <c r="L6" s="207"/>
      <c r="M6" s="207"/>
      <c r="N6" s="207"/>
      <c r="O6" s="207"/>
      <c r="P6" s="199"/>
      <c r="Q6" s="207"/>
    </row>
    <row r="7" spans="1:17" s="205" customFormat="1" ht="10.15" hidden="1" customHeight="1" x14ac:dyDescent="0.4">
      <c r="A7" s="620" t="s">
        <v>32</v>
      </c>
      <c r="B7" s="620"/>
      <c r="C7" s="620"/>
      <c r="D7" s="633" t="str">
        <f>IF(LEN(FormWaterSysName)=0,"",FormWaterSysName)</f>
        <v>Cary, Town of</v>
      </c>
      <c r="E7" s="206"/>
      <c r="F7" s="206"/>
      <c r="G7" s="207"/>
      <c r="H7" s="207"/>
      <c r="I7" s="207"/>
      <c r="J7" s="620"/>
      <c r="K7" s="207"/>
      <c r="L7" s="620" t="s">
        <v>157</v>
      </c>
      <c r="M7" s="620"/>
      <c r="N7" s="620"/>
      <c r="O7" s="114" t="str">
        <f>IF(LEN(DistCertificateNumber)=0,"",DistCertificateNumber)</f>
        <v>975104</v>
      </c>
      <c r="P7" s="524"/>
      <c r="Q7" s="632"/>
    </row>
    <row r="8" spans="1:17" s="205" customFormat="1" ht="3" hidden="1" customHeight="1" x14ac:dyDescent="0.4">
      <c r="A8" s="206"/>
      <c r="B8" s="207"/>
      <c r="C8" s="207"/>
      <c r="D8" s="576"/>
      <c r="E8" s="206"/>
      <c r="F8" s="206"/>
      <c r="G8" s="207"/>
      <c r="H8" s="207"/>
      <c r="I8" s="207"/>
      <c r="J8" s="207"/>
      <c r="K8" s="207"/>
      <c r="L8" s="207"/>
      <c r="M8" s="207"/>
      <c r="N8" s="207"/>
      <c r="O8" s="207"/>
      <c r="P8" s="207"/>
      <c r="Q8" s="207"/>
    </row>
    <row r="9" spans="1:17" s="205" customFormat="1" ht="10.15" hidden="1" customHeight="1" x14ac:dyDescent="0.4">
      <c r="A9" s="620" t="s">
        <v>31</v>
      </c>
      <c r="B9" s="620"/>
      <c r="C9" s="207"/>
      <c r="D9" s="633" t="str">
        <f>IF(LEN(FormDistFacilityID)=0,"",FormDistFacilityID)</f>
        <v>D01</v>
      </c>
      <c r="E9" s="206"/>
      <c r="F9" s="206"/>
      <c r="G9" s="207"/>
      <c r="H9" s="207"/>
      <c r="I9" s="207"/>
      <c r="J9" s="207"/>
      <c r="K9" s="207"/>
      <c r="L9" s="207"/>
      <c r="M9" s="207"/>
      <c r="N9" s="207"/>
      <c r="O9" s="207"/>
      <c r="P9" s="207"/>
      <c r="Q9" s="207"/>
    </row>
    <row r="10" spans="1:17" s="205" customFormat="1" ht="3" hidden="1" customHeight="1" x14ac:dyDescent="0.4">
      <c r="A10" s="194"/>
      <c r="B10" s="207"/>
      <c r="C10" s="207"/>
      <c r="D10" s="635"/>
      <c r="E10" s="207"/>
      <c r="F10" s="207"/>
      <c r="G10" s="207"/>
      <c r="H10" s="115"/>
      <c r="I10" s="115"/>
      <c r="J10" s="207"/>
      <c r="K10" s="207"/>
      <c r="L10" s="207"/>
      <c r="M10" s="207"/>
      <c r="N10" s="207"/>
      <c r="O10" s="207"/>
      <c r="P10" s="207"/>
      <c r="Q10" s="207"/>
    </row>
    <row r="11" spans="1:17" s="205" customFormat="1" ht="10.15" hidden="1" customHeight="1" x14ac:dyDescent="0.4">
      <c r="A11" s="620" t="s">
        <v>241</v>
      </c>
      <c r="B11" s="620"/>
      <c r="C11" s="620"/>
      <c r="D11" s="636" t="str">
        <f>IF(LEN(FormDistFacilityClassification)=0,"",FormDistFacilityClassification)</f>
        <v>A</v>
      </c>
      <c r="E11" s="207"/>
      <c r="F11" s="207"/>
      <c r="G11" s="509"/>
      <c r="H11" s="509"/>
      <c r="I11" s="509"/>
      <c r="J11" s="207"/>
      <c r="K11" s="620"/>
      <c r="L11" s="509"/>
      <c r="M11" s="509"/>
      <c r="N11" s="509"/>
      <c r="O11" s="206"/>
      <c r="P11" s="207"/>
      <c r="Q11" s="207"/>
    </row>
    <row r="12" spans="1:17" s="205" customFormat="1" ht="3" hidden="1" customHeight="1" x14ac:dyDescent="0.4">
      <c r="A12" s="206"/>
      <c r="B12" s="207"/>
      <c r="C12" s="207"/>
      <c r="D12" s="207"/>
      <c r="E12" s="207"/>
      <c r="F12" s="207"/>
      <c r="G12" s="207"/>
      <c r="H12" s="207"/>
      <c r="I12" s="207"/>
      <c r="J12" s="207"/>
      <c r="K12" s="207"/>
      <c r="L12" s="207"/>
      <c r="M12" s="207"/>
      <c r="N12" s="207"/>
      <c r="O12" s="207"/>
      <c r="P12" s="199"/>
      <c r="Q12" s="207"/>
    </row>
    <row r="13" spans="1:17" s="205" customFormat="1" ht="10.15" hidden="1" customHeight="1" x14ac:dyDescent="0.4">
      <c r="A13" s="620" t="s">
        <v>242</v>
      </c>
      <c r="B13" s="620"/>
      <c r="C13" s="620"/>
      <c r="D13" s="633">
        <f>IF(LEN(rng_DistFacilityClass)=0,"",IF(rng_DistFacilityClass="D",1,IF(rng_DistFacilityClass="C",3,IF(rng_DistFacilityClass="B",5,IF(rng_DistFacilityClass="A",5,"")))))</f>
        <v>5</v>
      </c>
      <c r="E13" s="207"/>
      <c r="F13" s="207"/>
      <c r="G13" s="509"/>
      <c r="H13" s="509"/>
      <c r="I13" s="509"/>
      <c r="J13" s="207"/>
      <c r="K13" s="620"/>
      <c r="L13" s="509"/>
      <c r="M13" s="509"/>
      <c r="N13" s="509"/>
      <c r="O13" s="206"/>
      <c r="P13" s="207"/>
      <c r="Q13" s="207"/>
    </row>
    <row r="14" spans="1:17" s="116" customFormat="1" ht="6" hidden="1" customHeight="1" x14ac:dyDescent="0.4">
      <c r="A14" s="117" t="s">
        <v>159</v>
      </c>
      <c r="B14" s="117"/>
      <c r="C14" s="117"/>
      <c r="D14" s="76" t="s">
        <v>160</v>
      </c>
      <c r="E14" s="97"/>
      <c r="F14" s="97"/>
      <c r="G14" s="118"/>
      <c r="H14" s="118"/>
      <c r="I14" s="118"/>
      <c r="J14" s="97"/>
      <c r="K14" s="117"/>
      <c r="L14" s="118"/>
      <c r="M14" s="118"/>
      <c r="N14" s="118"/>
      <c r="O14" s="115"/>
      <c r="P14" s="97"/>
      <c r="Q14" s="97"/>
    </row>
    <row r="15" spans="1:17" s="208" customFormat="1" ht="6" customHeight="1" x14ac:dyDescent="0.4">
      <c r="A15" s="621"/>
      <c r="B15" s="621"/>
      <c r="C15" s="621"/>
      <c r="D15" s="621"/>
      <c r="E15" s="621"/>
      <c r="F15" s="621"/>
      <c r="G15" s="621"/>
      <c r="H15" s="621"/>
      <c r="I15" s="621"/>
      <c r="J15" s="621"/>
      <c r="K15" s="621"/>
      <c r="L15" s="621"/>
      <c r="M15" s="621"/>
      <c r="N15" s="621"/>
      <c r="O15" s="621"/>
      <c r="P15" s="622"/>
      <c r="Q15" s="621"/>
    </row>
    <row r="16" spans="1:17" s="208" customFormat="1" ht="14.1" x14ac:dyDescent="0.4">
      <c r="A16" s="637" t="s">
        <v>243</v>
      </c>
      <c r="B16" s="637"/>
      <c r="C16" s="637"/>
      <c r="D16" s="119">
        <v>24</v>
      </c>
      <c r="E16"/>
      <c r="F16"/>
      <c r="G16"/>
      <c r="H16" s="197"/>
      <c r="I16" s="197"/>
      <c r="J16" s="638"/>
      <c r="K16" s="197"/>
      <c r="L16" s="197"/>
      <c r="M16" s="197"/>
      <c r="N16" s="197"/>
      <c r="O16" s="334"/>
      <c r="P16" s="334"/>
      <c r="Q16" s="334"/>
    </row>
    <row r="17" spans="1:22" s="208" customFormat="1" ht="3" customHeight="1" x14ac:dyDescent="0.35">
      <c r="A17" s="639"/>
      <c r="B17" s="197"/>
      <c r="C17" s="366"/>
      <c r="D17" s="366"/>
      <c r="E17" s="575"/>
      <c r="F17" s="575"/>
      <c r="G17" s="575"/>
      <c r="H17" s="197"/>
      <c r="I17" s="197"/>
      <c r="J17" s="197"/>
      <c r="K17" s="197"/>
      <c r="L17" s="197"/>
      <c r="M17" s="197"/>
      <c r="N17" s="197"/>
      <c r="O17" s="334"/>
      <c r="P17" s="197"/>
      <c r="Q17" s="197"/>
    </row>
    <row r="18" spans="1:22" s="208" customFormat="1" ht="45" customHeight="1" x14ac:dyDescent="0.4">
      <c r="A18" s="1176" t="s">
        <v>244</v>
      </c>
      <c r="B18" s="1176"/>
      <c r="C18" s="1176"/>
      <c r="D18" s="1176"/>
      <c r="E18" s="1176"/>
      <c r="F18" s="1176"/>
      <c r="G18" s="1176"/>
      <c r="H18" s="1176"/>
      <c r="I18" s="1176"/>
      <c r="J18" s="1176"/>
      <c r="K18" s="1176"/>
      <c r="L18" s="1176"/>
      <c r="M18" s="1176"/>
      <c r="N18" s="197"/>
      <c r="O18" s="334"/>
      <c r="P18" s="345"/>
      <c r="Q18" s="197"/>
    </row>
    <row r="19" spans="1:22" s="208" customFormat="1" ht="3" customHeight="1" x14ac:dyDescent="0.35">
      <c r="A19" s="624"/>
      <c r="B19" s="623"/>
      <c r="C19" s="288"/>
      <c r="D19" s="288"/>
      <c r="E19" s="264"/>
      <c r="F19" s="264"/>
      <c r="G19" s="264"/>
      <c r="H19" s="624"/>
      <c r="I19" s="624"/>
      <c r="J19" s="624"/>
      <c r="K19" s="624"/>
      <c r="L19" s="624"/>
      <c r="M19" s="624"/>
      <c r="N19" s="624"/>
      <c r="O19" s="624"/>
      <c r="P19" s="624"/>
      <c r="Q19" s="624"/>
    </row>
    <row r="20" spans="1:22" s="208" customFormat="1" ht="6" customHeight="1" thickBot="1" x14ac:dyDescent="0.45">
      <c r="A20" s="197"/>
      <c r="B20" s="209"/>
      <c r="C20" s="209"/>
      <c r="D20" s="209"/>
      <c r="E20" s="197"/>
      <c r="F20" s="366"/>
      <c r="G20" s="366"/>
      <c r="H20" s="366"/>
      <c r="I20" s="366"/>
      <c r="J20" s="209"/>
      <c r="K20" s="366"/>
      <c r="L20" s="366"/>
      <c r="M20" s="366"/>
      <c r="N20" s="366"/>
      <c r="O20" s="366"/>
      <c r="P20" s="366"/>
      <c r="Q20" s="209"/>
    </row>
    <row r="21" spans="1:22" s="208" customFormat="1" ht="9" customHeight="1" x14ac:dyDescent="0.4">
      <c r="A21" s="1177" t="s">
        <v>245</v>
      </c>
      <c r="B21" s="640"/>
      <c r="C21" s="641"/>
      <c r="D21" s="642"/>
      <c r="E21" s="643"/>
      <c r="F21" s="643"/>
      <c r="G21" s="644"/>
      <c r="H21" s="645"/>
      <c r="I21" s="645"/>
      <c r="J21" s="646"/>
      <c r="K21" s="647"/>
      <c r="L21" s="648"/>
      <c r="M21" s="649"/>
      <c r="N21" s="649"/>
      <c r="O21" s="642"/>
      <c r="P21" s="650"/>
      <c r="Q21" s="651"/>
    </row>
    <row r="22" spans="1:22" s="208" customFormat="1" ht="34.5" customHeight="1" x14ac:dyDescent="0.35">
      <c r="A22" s="1178"/>
      <c r="B22" s="652" t="s">
        <v>246</v>
      </c>
      <c r="C22" s="652" t="s">
        <v>247</v>
      </c>
      <c r="D22" s="653" t="s">
        <v>248</v>
      </c>
      <c r="E22" s="652" t="s">
        <v>249</v>
      </c>
      <c r="F22" s="652" t="s">
        <v>249</v>
      </c>
      <c r="G22" s="1180" t="s">
        <v>250</v>
      </c>
      <c r="H22" s="1181"/>
      <c r="I22" s="1181"/>
      <c r="J22" s="1182"/>
      <c r="K22" s="654" t="s">
        <v>80</v>
      </c>
      <c r="L22" s="1174" t="s">
        <v>237</v>
      </c>
      <c r="M22" s="653" t="s">
        <v>251</v>
      </c>
      <c r="N22" s="653" t="s">
        <v>252</v>
      </c>
      <c r="O22" s="1174" t="s">
        <v>253</v>
      </c>
      <c r="P22" s="653" t="s">
        <v>254</v>
      </c>
      <c r="Q22" s="655" t="s">
        <v>255</v>
      </c>
    </row>
    <row r="23" spans="1:22" ht="41.25" customHeight="1" x14ac:dyDescent="0.4">
      <c r="A23" s="1179"/>
      <c r="B23" s="656"/>
      <c r="C23" s="656"/>
      <c r="D23" s="625"/>
      <c r="E23" s="657" t="s">
        <v>256</v>
      </c>
      <c r="F23" s="657" t="s">
        <v>257</v>
      </c>
      <c r="G23" s="658" t="s">
        <v>258</v>
      </c>
      <c r="H23" s="658" t="s">
        <v>259</v>
      </c>
      <c r="I23" s="658" t="s">
        <v>260</v>
      </c>
      <c r="J23" s="658" t="s">
        <v>80</v>
      </c>
      <c r="K23" s="587"/>
      <c r="L23" s="1175"/>
      <c r="M23" s="585"/>
      <c r="N23" s="585"/>
      <c r="O23" s="1175"/>
      <c r="P23" s="659"/>
      <c r="Q23" s="660"/>
      <c r="R23" s="120" t="str">
        <f>"T/FC&lt;" &amp; limit_DistResDisinfConc_in_mg_per_L &amp; " and HPC&gt;" &amp;limit_HPC_in_mL</f>
        <v>T/FC&lt;0.01 and HPC&gt;500</v>
      </c>
      <c r="S23" s="120" t="s">
        <v>203</v>
      </c>
      <c r="T23" s="120" t="s">
        <v>261</v>
      </c>
      <c r="U23" s="120" t="s">
        <v>203</v>
      </c>
      <c r="V23" s="120" t="s">
        <v>261</v>
      </c>
    </row>
    <row r="24" spans="1:22" s="628" customFormat="1" ht="10.5" hidden="1" customHeight="1" x14ac:dyDescent="0.4">
      <c r="A24" s="626"/>
      <c r="B24" s="627" t="s">
        <v>140</v>
      </c>
      <c r="C24" s="627" t="s">
        <v>231</v>
      </c>
      <c r="D24" s="627" t="s">
        <v>189</v>
      </c>
      <c r="E24" s="287" t="s">
        <v>133</v>
      </c>
      <c r="F24" s="287" t="s">
        <v>133</v>
      </c>
      <c r="G24" s="287" t="s">
        <v>133</v>
      </c>
      <c r="H24" s="287" t="s">
        <v>55</v>
      </c>
      <c r="I24" s="287" t="s">
        <v>55</v>
      </c>
      <c r="J24" s="287" t="s">
        <v>127</v>
      </c>
      <c r="K24" s="287" t="s">
        <v>127</v>
      </c>
      <c r="L24" s="287" t="s">
        <v>240</v>
      </c>
      <c r="M24" s="287" t="s">
        <v>132</v>
      </c>
      <c r="N24" s="287" t="s">
        <v>55</v>
      </c>
      <c r="O24" s="287" t="s">
        <v>55</v>
      </c>
      <c r="P24" s="287" t="s">
        <v>129</v>
      </c>
      <c r="Q24" s="290" t="s">
        <v>131</v>
      </c>
      <c r="R24" s="80"/>
      <c r="S24" s="80"/>
      <c r="T24" s="80"/>
      <c r="U24" s="80"/>
      <c r="V24" s="80"/>
    </row>
    <row r="25" spans="1:22" s="208" customFormat="1" ht="10.5" hidden="1" customHeight="1" x14ac:dyDescent="0.35">
      <c r="A25" s="1105"/>
      <c r="B25" s="111"/>
      <c r="C25" s="112"/>
      <c r="D25" s="121"/>
      <c r="E25" s="113"/>
      <c r="F25" s="113"/>
      <c r="G25" s="113"/>
      <c r="H25" s="11"/>
      <c r="I25" s="11"/>
      <c r="J25" s="32"/>
      <c r="K25" s="32"/>
      <c r="L25" s="122"/>
      <c r="M25" s="28"/>
      <c r="N25" s="29"/>
      <c r="O25" s="29"/>
      <c r="P25" s="28"/>
      <c r="Q25" s="39"/>
      <c r="R25" s="546">
        <f>IF(UPPER(rng_DisinfectantUsed)="CHLORAMINES",(LEN(rng_Total_Or_FreeChlorine)&gt;0)*(rng_Total_Or_FreeChlorine&lt;limit_DistResDisinfConc_in_mg_per_L)*1+(rng_HPCCount&gt;limit_HPC_in_mL)*1,(LEN(rng_FreeChlorine)&gt;0)*(rng_Total_Or_FreeChlorine&lt;limit_DistResDisinfConc_in_mg_per_L)*1+(rng_HPCCount&gt;limit_HPC_in_mL)*1)</f>
        <v>0</v>
      </c>
      <c r="S25" s="546">
        <f>IF(UPPER(rng_DisinfectantUsed)="CHLORAMINES",COUNT(G25:J25),0)</f>
        <v>0</v>
      </c>
      <c r="T25" s="546">
        <f>IF(UPPER(rng_DisinfectantUsed)="CHLORAMINES",COUNT(F25),COUNT(E25))</f>
        <v>0</v>
      </c>
      <c r="U25" s="546">
        <f>IF(UPPER(rng_DisinfectantUsed)="CHLORAMINES",IF(COUNTA(B25:C25,F25)&lt;&gt;3,COUNTA(B25:C25,G25:J25),IF(COUNTA(G25:J25)=4,0,COUNTA(G25:J25))),0)</f>
        <v>0</v>
      </c>
      <c r="V25" s="546">
        <f>IF(UPPER(rng_DisinfectantUsed)="CHLORAMINES",IF(COUNTA(B25:C25)+COUNTA(G25:J25)=6,0,COUNTA(B25:C25,F25)),COUNTA(B25:C25,E25))</f>
        <v>0</v>
      </c>
    </row>
    <row r="26" spans="1:22" s="208" customFormat="1" ht="10.5" customHeight="1" x14ac:dyDescent="0.35">
      <c r="A26" s="1106">
        <v>1</v>
      </c>
      <c r="B26" s="111">
        <f>'User Data'!DG7</f>
        <v>43530</v>
      </c>
      <c r="C26" s="121">
        <f>'User Data'!DH7</f>
        <v>598</v>
      </c>
      <c r="D26" s="121" t="s">
        <v>966</v>
      </c>
      <c r="E26" s="113">
        <f>'User Data'!DJ7</f>
        <v>1.23</v>
      </c>
      <c r="F26" s="113"/>
      <c r="G26" s="113"/>
      <c r="H26" s="11"/>
      <c r="I26" s="11"/>
      <c r="J26" s="32"/>
      <c r="K26" s="32"/>
      <c r="L26" s="13"/>
      <c r="M26" s="28"/>
      <c r="N26" s="29"/>
      <c r="O26" s="29"/>
      <c r="P26" s="28"/>
      <c r="Q26" s="39"/>
      <c r="R26" s="546">
        <f>IF(UPPER(rng_DisinfectantUsed)="CHLORAMINES",(LEN(rng_Total_Or_FreeChlorine)&gt;0)*(rng_Total_Or_FreeChlorine&lt;limit_DistResDisinfConc_in_mg_per_L)*1+(rng_HPCCount&gt;limit_HPC_in_mL)*1,(LEN(rng_FreeChlorine)&gt;0)*(rng_FreeChlorine&lt;limit_DistResDisinfConc_in_mg_per_L)*1+(rng_HPCCount&gt;limit_HPC_in_mL)*1)</f>
        <v>0</v>
      </c>
      <c r="S26" s="546">
        <f>IF(UPPER(rng_DisinfectantUsed)="CHLORAMINES",COUNT(G26:J26),0)</f>
        <v>0</v>
      </c>
      <c r="T26" s="546">
        <f>IF(UPPER(rng_DisinfectantUsed)="CHLORAMINES",COUNT(F26),COUNT(E26))</f>
        <v>1</v>
      </c>
      <c r="U26" s="546">
        <f>IF(UPPER(rng_DisinfectantUsed)="CHLORAMINES",IF(COUNTA(B26:C26,F26)&lt;&gt;3,COUNTA(B26:C26,G26:J26),IF(COUNTA(G26:J26)=4,0,COUNTA(G26:J26))),0)</f>
        <v>0</v>
      </c>
      <c r="V26" s="546">
        <f>IF(UPPER(rng_DisinfectantUsed)="CHLORAMINES",IF(COUNTA(B26:C26)+COUNTA(G26:J26)=6,0,COUNTA(B26:C26,F26)),COUNTA(B26:C26,E26))</f>
        <v>3</v>
      </c>
    </row>
    <row r="27" spans="1:22" s="208" customFormat="1" ht="10.5" customHeight="1" x14ac:dyDescent="0.35">
      <c r="A27" s="1106">
        <v>2</v>
      </c>
      <c r="B27" s="111">
        <f>'User Data'!DG8</f>
        <v>43530</v>
      </c>
      <c r="C27" s="121">
        <f>'User Data'!DH8</f>
        <v>602</v>
      </c>
      <c r="D27" s="121" t="s">
        <v>967</v>
      </c>
      <c r="E27" s="113">
        <f>'User Data'!DJ8</f>
        <v>2.38</v>
      </c>
      <c r="F27" s="113"/>
      <c r="G27" s="113"/>
      <c r="H27" s="11"/>
      <c r="I27" s="11"/>
      <c r="J27" s="32"/>
      <c r="K27" s="32"/>
      <c r="L27" s="122"/>
      <c r="M27" s="28"/>
      <c r="N27" s="29"/>
      <c r="O27" s="29"/>
      <c r="P27" s="28"/>
      <c r="Q27" s="39"/>
      <c r="R27" s="546">
        <f t="shared" ref="R27:R49" si="0">IF(UPPER(rng_DisinfectantUsed)="CHLORAMINES",(LEN(rng_Total_Or_FreeChlorine)&gt;0)*(rng_Total_Or_FreeChlorine&lt;limit_DistResDisinfConc_in_mg_per_L)*1+(rng_HPCCount&gt;limit_HPC_in_mL)*1,(LEN(rng_FreeChlorine)&gt;0)*(rng_Total_Or_FreeChlorine&lt;limit_DistResDisinfConc_in_mg_per_L)*1+(rng_HPCCount&gt;limit_HPC_in_mL)*1)</f>
        <v>1</v>
      </c>
      <c r="S27" s="546">
        <f t="shared" ref="S27:S49" si="1">IF(UPPER(rng_DisinfectantUsed)="CHLORAMINES",COUNT(G27:J27),0)</f>
        <v>0</v>
      </c>
      <c r="T27" s="546">
        <f t="shared" ref="T27:T49" si="2">IF(UPPER(rng_DisinfectantUsed)="CHLORAMINES",COUNT(F27),COUNT(E27))</f>
        <v>1</v>
      </c>
      <c r="U27" s="546">
        <f t="shared" ref="U27:U49" si="3">IF(UPPER(rng_DisinfectantUsed)="CHLORAMINES",IF(COUNTA(B27:C27,F27)&lt;&gt;3,COUNTA(B27:C27,G27:J27),IF(COUNTA(G27:J27)=4,0,COUNTA(G27:J27))),0)</f>
        <v>0</v>
      </c>
      <c r="V27" s="546">
        <f t="shared" ref="V27:V49" si="4">IF(UPPER(rng_DisinfectantUsed)="CHLORAMINES",IF(COUNTA(B27:C27)+COUNTA(G27:J27)=6,0,COUNTA(B27:C27,F27)),COUNTA(B27:C27,E27))</f>
        <v>3</v>
      </c>
    </row>
    <row r="28" spans="1:22" s="208" customFormat="1" ht="10.5" customHeight="1" x14ac:dyDescent="0.35">
      <c r="A28" s="1106">
        <v>3</v>
      </c>
      <c r="B28" s="111">
        <f>'User Data'!DG9</f>
        <v>43530</v>
      </c>
      <c r="C28" s="121">
        <f>'User Data'!DH9</f>
        <v>613</v>
      </c>
      <c r="D28" s="121" t="s">
        <v>968</v>
      </c>
      <c r="E28" s="113">
        <f>'User Data'!DJ9</f>
        <v>1.73</v>
      </c>
      <c r="F28" s="113"/>
      <c r="G28" s="113"/>
      <c r="H28" s="11"/>
      <c r="I28" s="11"/>
      <c r="J28" s="32"/>
      <c r="K28" s="32"/>
      <c r="L28" s="122"/>
      <c r="M28" s="28"/>
      <c r="N28" s="29"/>
      <c r="O28" s="29"/>
      <c r="P28" s="28"/>
      <c r="Q28" s="39"/>
      <c r="R28" s="546">
        <f t="shared" si="0"/>
        <v>1</v>
      </c>
      <c r="S28" s="546">
        <f t="shared" si="1"/>
        <v>0</v>
      </c>
      <c r="T28" s="546">
        <f t="shared" si="2"/>
        <v>1</v>
      </c>
      <c r="U28" s="546">
        <f t="shared" si="3"/>
        <v>0</v>
      </c>
      <c r="V28" s="546">
        <f t="shared" si="4"/>
        <v>3</v>
      </c>
    </row>
    <row r="29" spans="1:22" s="208" customFormat="1" ht="10.5" customHeight="1" x14ac:dyDescent="0.35">
      <c r="A29" s="1106">
        <v>4</v>
      </c>
      <c r="B29" s="111">
        <f>'User Data'!DG10</f>
        <v>43530</v>
      </c>
      <c r="C29" s="121">
        <f>'User Data'!DH10</f>
        <v>574</v>
      </c>
      <c r="D29" s="121" t="s">
        <v>969</v>
      </c>
      <c r="E29" s="113">
        <f>'User Data'!DJ10</f>
        <v>0.61</v>
      </c>
      <c r="F29" s="113"/>
      <c r="G29" s="113"/>
      <c r="H29" s="11"/>
      <c r="I29" s="11"/>
      <c r="J29" s="32"/>
      <c r="K29" s="32"/>
      <c r="L29" s="122"/>
      <c r="M29" s="28"/>
      <c r="N29" s="29"/>
      <c r="O29" s="29"/>
      <c r="P29" s="28"/>
      <c r="Q29" s="39"/>
      <c r="R29" s="546">
        <f t="shared" si="0"/>
        <v>1</v>
      </c>
      <c r="S29" s="546">
        <f t="shared" si="1"/>
        <v>0</v>
      </c>
      <c r="T29" s="546">
        <f t="shared" si="2"/>
        <v>1</v>
      </c>
      <c r="U29" s="546">
        <f t="shared" si="3"/>
        <v>0</v>
      </c>
      <c r="V29" s="546">
        <f t="shared" si="4"/>
        <v>3</v>
      </c>
    </row>
    <row r="30" spans="1:22" s="208" customFormat="1" ht="10.5" customHeight="1" x14ac:dyDescent="0.35">
      <c r="A30" s="1106">
        <v>5</v>
      </c>
      <c r="B30" s="111">
        <f>'User Data'!DG11</f>
        <v>43530</v>
      </c>
      <c r="C30" s="121">
        <f>'User Data'!DH11</f>
        <v>599</v>
      </c>
      <c r="D30" s="121" t="s">
        <v>970</v>
      </c>
      <c r="E30" s="113">
        <f>'User Data'!DJ11</f>
        <v>0.54</v>
      </c>
      <c r="F30" s="113"/>
      <c r="G30" s="113"/>
      <c r="H30" s="11"/>
      <c r="I30" s="11"/>
      <c r="J30" s="32"/>
      <c r="K30" s="32"/>
      <c r="L30" s="122"/>
      <c r="M30" s="28"/>
      <c r="N30" s="29"/>
      <c r="O30" s="29"/>
      <c r="P30" s="28"/>
      <c r="Q30" s="39"/>
      <c r="R30" s="546">
        <f t="shared" si="0"/>
        <v>1</v>
      </c>
      <c r="S30" s="546">
        <f t="shared" si="1"/>
        <v>0</v>
      </c>
      <c r="T30" s="546">
        <f t="shared" si="2"/>
        <v>1</v>
      </c>
      <c r="U30" s="546">
        <f t="shared" si="3"/>
        <v>0</v>
      </c>
      <c r="V30" s="546">
        <f t="shared" si="4"/>
        <v>3</v>
      </c>
    </row>
    <row r="31" spans="1:22" s="208" customFormat="1" ht="10.5" customHeight="1" x14ac:dyDescent="0.35">
      <c r="A31" s="1106">
        <v>6</v>
      </c>
      <c r="B31" s="111">
        <f>'User Data'!DG12</f>
        <v>43530</v>
      </c>
      <c r="C31" s="121">
        <f>'User Data'!DH12</f>
        <v>559</v>
      </c>
      <c r="D31" s="121" t="s">
        <v>971</v>
      </c>
      <c r="E31" s="113">
        <f>'User Data'!DJ12</f>
        <v>2.11</v>
      </c>
      <c r="F31" s="113"/>
      <c r="G31" s="113"/>
      <c r="H31" s="11"/>
      <c r="I31" s="11"/>
      <c r="J31" s="32"/>
      <c r="K31" s="32"/>
      <c r="L31" s="122"/>
      <c r="M31" s="28"/>
      <c r="N31" s="29"/>
      <c r="O31" s="29"/>
      <c r="P31" s="28"/>
      <c r="Q31" s="39"/>
      <c r="R31" s="546">
        <f t="shared" si="0"/>
        <v>1</v>
      </c>
      <c r="S31" s="546">
        <f t="shared" si="1"/>
        <v>0</v>
      </c>
      <c r="T31" s="546">
        <f t="shared" si="2"/>
        <v>1</v>
      </c>
      <c r="U31" s="546">
        <f t="shared" si="3"/>
        <v>0</v>
      </c>
      <c r="V31" s="546">
        <f t="shared" si="4"/>
        <v>3</v>
      </c>
    </row>
    <row r="32" spans="1:22" s="208" customFormat="1" ht="10.5" customHeight="1" x14ac:dyDescent="0.35">
      <c r="A32" s="1106">
        <v>7</v>
      </c>
      <c r="B32" s="111">
        <f>'User Data'!DG13</f>
        <v>43537</v>
      </c>
      <c r="C32" s="121">
        <f>'User Data'!DH13</f>
        <v>574</v>
      </c>
      <c r="D32" s="121" t="s">
        <v>969</v>
      </c>
      <c r="E32" s="113">
        <f>'User Data'!DJ13</f>
        <v>1.34</v>
      </c>
      <c r="F32" s="113"/>
      <c r="G32" s="113"/>
      <c r="H32" s="11"/>
      <c r="I32" s="11"/>
      <c r="J32" s="32"/>
      <c r="K32" s="32"/>
      <c r="L32" s="122"/>
      <c r="M32" s="28"/>
      <c r="N32" s="29"/>
      <c r="O32" s="29"/>
      <c r="P32" s="28"/>
      <c r="Q32" s="39"/>
      <c r="R32" s="546">
        <f t="shared" si="0"/>
        <v>1</v>
      </c>
      <c r="S32" s="546">
        <f t="shared" si="1"/>
        <v>0</v>
      </c>
      <c r="T32" s="546">
        <f t="shared" si="2"/>
        <v>1</v>
      </c>
      <c r="U32" s="546">
        <f t="shared" si="3"/>
        <v>0</v>
      </c>
      <c r="V32" s="546">
        <f t="shared" si="4"/>
        <v>3</v>
      </c>
    </row>
    <row r="33" spans="1:22" s="208" customFormat="1" ht="10.5" customHeight="1" x14ac:dyDescent="0.35">
      <c r="A33" s="1106">
        <v>8</v>
      </c>
      <c r="B33" s="111">
        <f>'User Data'!DG14</f>
        <v>43537</v>
      </c>
      <c r="C33" s="121">
        <f>'User Data'!DH14</f>
        <v>555</v>
      </c>
      <c r="D33" s="121" t="s">
        <v>972</v>
      </c>
      <c r="E33" s="113">
        <f>'User Data'!DJ14</f>
        <v>1.37</v>
      </c>
      <c r="F33" s="113"/>
      <c r="G33" s="113"/>
      <c r="H33" s="11"/>
      <c r="I33" s="11"/>
      <c r="J33" s="32"/>
      <c r="K33" s="32"/>
      <c r="L33" s="122"/>
      <c r="M33" s="28"/>
      <c r="N33" s="29"/>
      <c r="O33" s="29"/>
      <c r="P33" s="28"/>
      <c r="Q33" s="39"/>
      <c r="R33" s="546">
        <f t="shared" si="0"/>
        <v>1</v>
      </c>
      <c r="S33" s="546">
        <f t="shared" si="1"/>
        <v>0</v>
      </c>
      <c r="T33" s="546">
        <f t="shared" si="2"/>
        <v>1</v>
      </c>
      <c r="U33" s="546">
        <f t="shared" si="3"/>
        <v>0</v>
      </c>
      <c r="V33" s="546">
        <f t="shared" si="4"/>
        <v>3</v>
      </c>
    </row>
    <row r="34" spans="1:22" s="208" customFormat="1" ht="10.5" customHeight="1" x14ac:dyDescent="0.35">
      <c r="A34" s="1106">
        <v>9</v>
      </c>
      <c r="B34" s="111">
        <f>'User Data'!DG15</f>
        <v>43537</v>
      </c>
      <c r="C34" s="121">
        <f>'User Data'!DH15</f>
        <v>606</v>
      </c>
      <c r="D34" s="121" t="s">
        <v>973</v>
      </c>
      <c r="E34" s="113">
        <f>'User Data'!DJ15</f>
        <v>1.39</v>
      </c>
      <c r="F34" s="113"/>
      <c r="G34" s="113"/>
      <c r="H34" s="11"/>
      <c r="I34" s="11"/>
      <c r="J34" s="32"/>
      <c r="K34" s="32"/>
      <c r="L34" s="122"/>
      <c r="M34" s="28"/>
      <c r="N34" s="29"/>
      <c r="O34" s="29"/>
      <c r="P34" s="28"/>
      <c r="Q34" s="39"/>
      <c r="R34" s="546">
        <f t="shared" si="0"/>
        <v>1</v>
      </c>
      <c r="S34" s="546">
        <f t="shared" si="1"/>
        <v>0</v>
      </c>
      <c r="T34" s="546">
        <f t="shared" si="2"/>
        <v>1</v>
      </c>
      <c r="U34" s="546">
        <f t="shared" si="3"/>
        <v>0</v>
      </c>
      <c r="V34" s="546">
        <f t="shared" si="4"/>
        <v>3</v>
      </c>
    </row>
    <row r="35" spans="1:22" s="208" customFormat="1" ht="10.5" customHeight="1" x14ac:dyDescent="0.35">
      <c r="A35" s="1106">
        <v>10</v>
      </c>
      <c r="B35" s="111">
        <f>'User Data'!DG16</f>
        <v>43537</v>
      </c>
      <c r="C35" s="121">
        <f>'User Data'!DH16</f>
        <v>604</v>
      </c>
      <c r="D35" s="121" t="s">
        <v>974</v>
      </c>
      <c r="E35" s="113">
        <f>'User Data'!DJ16</f>
        <v>1.83</v>
      </c>
      <c r="F35" s="113"/>
      <c r="G35" s="113"/>
      <c r="H35" s="11"/>
      <c r="I35" s="11"/>
      <c r="J35" s="32"/>
      <c r="K35" s="32"/>
      <c r="L35" s="122"/>
      <c r="M35" s="28"/>
      <c r="N35" s="29"/>
      <c r="O35" s="29"/>
      <c r="P35" s="28"/>
      <c r="Q35" s="39"/>
      <c r="R35" s="546">
        <f t="shared" si="0"/>
        <v>1</v>
      </c>
      <c r="S35" s="546">
        <f t="shared" si="1"/>
        <v>0</v>
      </c>
      <c r="T35" s="546">
        <f t="shared" si="2"/>
        <v>1</v>
      </c>
      <c r="U35" s="546">
        <f t="shared" si="3"/>
        <v>0</v>
      </c>
      <c r="V35" s="546">
        <f t="shared" si="4"/>
        <v>3</v>
      </c>
    </row>
    <row r="36" spans="1:22" s="208" customFormat="1" ht="10.5" customHeight="1" x14ac:dyDescent="0.35">
      <c r="A36" s="1106">
        <v>11</v>
      </c>
      <c r="B36" s="111">
        <f>'User Data'!DG17</f>
        <v>43537</v>
      </c>
      <c r="C36" s="121">
        <f>'User Data'!DH17</f>
        <v>601</v>
      </c>
      <c r="D36" s="121" t="s">
        <v>975</v>
      </c>
      <c r="E36" s="113">
        <f>'User Data'!DJ17</f>
        <v>1.43</v>
      </c>
      <c r="F36" s="113"/>
      <c r="G36" s="113"/>
      <c r="H36" s="11"/>
      <c r="I36" s="11"/>
      <c r="J36" s="32"/>
      <c r="K36" s="32"/>
      <c r="L36" s="122"/>
      <c r="M36" s="28"/>
      <c r="N36" s="29"/>
      <c r="O36" s="29"/>
      <c r="P36" s="28"/>
      <c r="Q36" s="39"/>
      <c r="R36" s="546">
        <f t="shared" si="0"/>
        <v>1</v>
      </c>
      <c r="S36" s="546">
        <f t="shared" si="1"/>
        <v>0</v>
      </c>
      <c r="T36" s="546">
        <f t="shared" si="2"/>
        <v>1</v>
      </c>
      <c r="U36" s="546">
        <f t="shared" si="3"/>
        <v>0</v>
      </c>
      <c r="V36" s="546">
        <f t="shared" si="4"/>
        <v>3</v>
      </c>
    </row>
    <row r="37" spans="1:22" s="208" customFormat="1" ht="10.5" customHeight="1" x14ac:dyDescent="0.35">
      <c r="A37" s="1106">
        <v>12</v>
      </c>
      <c r="B37" s="111">
        <f>'User Data'!DG18</f>
        <v>43537</v>
      </c>
      <c r="C37" s="121">
        <f>'User Data'!DH18</f>
        <v>532</v>
      </c>
      <c r="D37" s="121" t="s">
        <v>976</v>
      </c>
      <c r="E37" s="113">
        <f>'User Data'!DJ18</f>
        <v>2.21</v>
      </c>
      <c r="F37" s="113"/>
      <c r="G37" s="113"/>
      <c r="H37" s="11"/>
      <c r="I37" s="11"/>
      <c r="J37" s="32"/>
      <c r="K37" s="32"/>
      <c r="L37" s="122"/>
      <c r="M37" s="28"/>
      <c r="N37" s="29"/>
      <c r="O37" s="29"/>
      <c r="P37" s="28"/>
      <c r="Q37" s="39"/>
      <c r="R37" s="546">
        <f t="shared" si="0"/>
        <v>1</v>
      </c>
      <c r="S37" s="546">
        <f t="shared" si="1"/>
        <v>0</v>
      </c>
      <c r="T37" s="546">
        <f t="shared" si="2"/>
        <v>1</v>
      </c>
      <c r="U37" s="546">
        <f t="shared" si="3"/>
        <v>0</v>
      </c>
      <c r="V37" s="546">
        <f t="shared" si="4"/>
        <v>3</v>
      </c>
    </row>
    <row r="38" spans="1:22" s="208" customFormat="1" ht="10.5" customHeight="1" x14ac:dyDescent="0.35">
      <c r="A38" s="1106">
        <v>13</v>
      </c>
      <c r="B38" s="111">
        <f>'User Data'!DG19</f>
        <v>43544</v>
      </c>
      <c r="C38" s="121">
        <f>'User Data'!DH19</f>
        <v>550</v>
      </c>
      <c r="D38" s="121" t="s">
        <v>977</v>
      </c>
      <c r="E38" s="113">
        <f>'User Data'!DJ19</f>
        <v>1.79</v>
      </c>
      <c r="F38" s="113"/>
      <c r="G38" s="113"/>
      <c r="H38" s="11"/>
      <c r="I38" s="11"/>
      <c r="J38" s="32"/>
      <c r="K38" s="32"/>
      <c r="L38" s="122"/>
      <c r="M38" s="28"/>
      <c r="N38" s="29"/>
      <c r="O38" s="29"/>
      <c r="P38" s="28"/>
      <c r="Q38" s="39"/>
      <c r="R38" s="546">
        <f t="shared" si="0"/>
        <v>1</v>
      </c>
      <c r="S38" s="546">
        <f t="shared" si="1"/>
        <v>0</v>
      </c>
      <c r="T38" s="546">
        <f t="shared" si="2"/>
        <v>1</v>
      </c>
      <c r="U38" s="546">
        <f t="shared" si="3"/>
        <v>0</v>
      </c>
      <c r="V38" s="546">
        <f t="shared" si="4"/>
        <v>3</v>
      </c>
    </row>
    <row r="39" spans="1:22" s="208" customFormat="1" ht="10.5" customHeight="1" x14ac:dyDescent="0.35">
      <c r="A39" s="1106">
        <v>14</v>
      </c>
      <c r="B39" s="111">
        <f>'User Data'!DG20</f>
        <v>43544</v>
      </c>
      <c r="C39" s="121">
        <f>'User Data'!DH20</f>
        <v>591</v>
      </c>
      <c r="D39" s="121" t="s">
        <v>978</v>
      </c>
      <c r="E39" s="113">
        <f>'User Data'!DJ20</f>
        <v>2.42</v>
      </c>
      <c r="F39" s="113"/>
      <c r="G39" s="113"/>
      <c r="H39" s="11"/>
      <c r="I39" s="11"/>
      <c r="J39" s="32"/>
      <c r="K39" s="32"/>
      <c r="L39" s="122"/>
      <c r="M39" s="28"/>
      <c r="N39" s="29"/>
      <c r="O39" s="29"/>
      <c r="P39" s="28"/>
      <c r="Q39" s="39"/>
      <c r="R39" s="546">
        <f t="shared" si="0"/>
        <v>1</v>
      </c>
      <c r="S39" s="546">
        <f t="shared" si="1"/>
        <v>0</v>
      </c>
      <c r="T39" s="546">
        <f t="shared" si="2"/>
        <v>1</v>
      </c>
      <c r="U39" s="546">
        <f t="shared" si="3"/>
        <v>0</v>
      </c>
      <c r="V39" s="546">
        <f t="shared" si="4"/>
        <v>3</v>
      </c>
    </row>
    <row r="40" spans="1:22" s="208" customFormat="1" ht="10.5" customHeight="1" x14ac:dyDescent="0.35">
      <c r="A40" s="1106">
        <v>15</v>
      </c>
      <c r="B40" s="111">
        <f>'User Data'!DG21</f>
        <v>43544</v>
      </c>
      <c r="C40" s="121">
        <f>'User Data'!DH21</f>
        <v>532</v>
      </c>
      <c r="D40" s="121" t="s">
        <v>976</v>
      </c>
      <c r="E40" s="113">
        <f>'User Data'!DJ21</f>
        <v>1.72</v>
      </c>
      <c r="F40" s="113"/>
      <c r="G40" s="113"/>
      <c r="H40" s="11"/>
      <c r="I40" s="11"/>
      <c r="J40" s="32"/>
      <c r="K40" s="32"/>
      <c r="L40" s="122"/>
      <c r="M40" s="28"/>
      <c r="N40" s="29"/>
      <c r="O40" s="29"/>
      <c r="P40" s="28"/>
      <c r="Q40" s="39"/>
      <c r="R40" s="546">
        <f t="shared" si="0"/>
        <v>1</v>
      </c>
      <c r="S40" s="546">
        <f t="shared" si="1"/>
        <v>0</v>
      </c>
      <c r="T40" s="546">
        <f t="shared" si="2"/>
        <v>1</v>
      </c>
      <c r="U40" s="546">
        <f t="shared" si="3"/>
        <v>0</v>
      </c>
      <c r="V40" s="546">
        <f t="shared" si="4"/>
        <v>3</v>
      </c>
    </row>
    <row r="41" spans="1:22" s="208" customFormat="1" ht="10.5" customHeight="1" x14ac:dyDescent="0.35">
      <c r="A41" s="1106">
        <v>16</v>
      </c>
      <c r="B41" s="111">
        <f>'User Data'!DG22</f>
        <v>43544</v>
      </c>
      <c r="C41" s="121">
        <f>'User Data'!DH22</f>
        <v>514</v>
      </c>
      <c r="D41" s="121" t="s">
        <v>979</v>
      </c>
      <c r="E41" s="113">
        <f>'User Data'!DJ22</f>
        <v>2.16</v>
      </c>
      <c r="F41" s="113"/>
      <c r="G41" s="113"/>
      <c r="H41" s="11"/>
      <c r="I41" s="11"/>
      <c r="J41" s="32"/>
      <c r="K41" s="32"/>
      <c r="L41" s="122"/>
      <c r="M41" s="28"/>
      <c r="N41" s="29"/>
      <c r="O41" s="29"/>
      <c r="P41" s="28"/>
      <c r="Q41" s="39"/>
      <c r="R41" s="546">
        <f t="shared" si="0"/>
        <v>1</v>
      </c>
      <c r="S41" s="546">
        <f t="shared" si="1"/>
        <v>0</v>
      </c>
      <c r="T41" s="546">
        <f t="shared" si="2"/>
        <v>1</v>
      </c>
      <c r="U41" s="546">
        <f t="shared" si="3"/>
        <v>0</v>
      </c>
      <c r="V41" s="546">
        <f t="shared" si="4"/>
        <v>3</v>
      </c>
    </row>
    <row r="42" spans="1:22" s="208" customFormat="1" ht="10.5" customHeight="1" x14ac:dyDescent="0.35">
      <c r="A42" s="1106">
        <v>17</v>
      </c>
      <c r="B42" s="111">
        <f>'User Data'!DG23</f>
        <v>43544</v>
      </c>
      <c r="C42" s="121">
        <f>'User Data'!DH23</f>
        <v>574</v>
      </c>
      <c r="D42" s="121" t="s">
        <v>969</v>
      </c>
      <c r="E42" s="113">
        <f>'User Data'!DJ23</f>
        <v>2.0299999999999998</v>
      </c>
      <c r="F42" s="113"/>
      <c r="G42" s="113"/>
      <c r="H42" s="11"/>
      <c r="I42" s="11"/>
      <c r="J42" s="32"/>
      <c r="K42" s="32"/>
      <c r="L42" s="122"/>
      <c r="M42" s="28"/>
      <c r="N42" s="29"/>
      <c r="O42" s="29"/>
      <c r="P42" s="28"/>
      <c r="Q42" s="39"/>
      <c r="R42" s="546">
        <f t="shared" si="0"/>
        <v>1</v>
      </c>
      <c r="S42" s="546">
        <f t="shared" si="1"/>
        <v>0</v>
      </c>
      <c r="T42" s="546">
        <f t="shared" si="2"/>
        <v>1</v>
      </c>
      <c r="U42" s="546">
        <f t="shared" si="3"/>
        <v>0</v>
      </c>
      <c r="V42" s="546">
        <f t="shared" si="4"/>
        <v>3</v>
      </c>
    </row>
    <row r="43" spans="1:22" s="208" customFormat="1" ht="10.5" customHeight="1" x14ac:dyDescent="0.35">
      <c r="A43" s="1106">
        <v>18</v>
      </c>
      <c r="B43" s="111">
        <f>'User Data'!DG24</f>
        <v>43544</v>
      </c>
      <c r="C43" s="121">
        <f>'User Data'!DH24</f>
        <v>544</v>
      </c>
      <c r="D43" s="121" t="s">
        <v>980</v>
      </c>
      <c r="E43" s="113">
        <f>'User Data'!DJ24</f>
        <v>1.18</v>
      </c>
      <c r="F43" s="113"/>
      <c r="G43" s="113"/>
      <c r="H43" s="11"/>
      <c r="I43" s="11"/>
      <c r="J43" s="32"/>
      <c r="K43" s="32"/>
      <c r="L43" s="122"/>
      <c r="M43" s="28"/>
      <c r="N43" s="29"/>
      <c r="O43" s="29"/>
      <c r="P43" s="28"/>
      <c r="Q43" s="39"/>
      <c r="R43" s="546">
        <f t="shared" si="0"/>
        <v>1</v>
      </c>
      <c r="S43" s="546">
        <f t="shared" si="1"/>
        <v>0</v>
      </c>
      <c r="T43" s="546">
        <f t="shared" si="2"/>
        <v>1</v>
      </c>
      <c r="U43" s="546">
        <f t="shared" si="3"/>
        <v>0</v>
      </c>
      <c r="V43" s="546">
        <f t="shared" si="4"/>
        <v>3</v>
      </c>
    </row>
    <row r="44" spans="1:22" s="208" customFormat="1" ht="10.5" customHeight="1" x14ac:dyDescent="0.35">
      <c r="A44" s="1106">
        <v>19</v>
      </c>
      <c r="B44" s="111">
        <f>'User Data'!DG25</f>
        <v>43551</v>
      </c>
      <c r="C44" s="121">
        <f>'User Data'!DH25</f>
        <v>613</v>
      </c>
      <c r="D44" s="121" t="s">
        <v>968</v>
      </c>
      <c r="E44" s="113">
        <f>'User Data'!DJ25</f>
        <v>2.17</v>
      </c>
      <c r="F44" s="113"/>
      <c r="G44" s="113"/>
      <c r="H44" s="11"/>
      <c r="I44" s="11"/>
      <c r="J44" s="32"/>
      <c r="K44" s="32"/>
      <c r="L44" s="122"/>
      <c r="M44" s="28"/>
      <c r="N44" s="29"/>
      <c r="O44" s="29"/>
      <c r="P44" s="28"/>
      <c r="Q44" s="39"/>
      <c r="R44" s="546">
        <f t="shared" si="0"/>
        <v>1</v>
      </c>
      <c r="S44" s="546">
        <f t="shared" si="1"/>
        <v>0</v>
      </c>
      <c r="T44" s="546">
        <f t="shared" si="2"/>
        <v>1</v>
      </c>
      <c r="U44" s="546">
        <f t="shared" si="3"/>
        <v>0</v>
      </c>
      <c r="V44" s="546">
        <f t="shared" si="4"/>
        <v>3</v>
      </c>
    </row>
    <row r="45" spans="1:22" s="208" customFormat="1" ht="10.5" customHeight="1" x14ac:dyDescent="0.35">
      <c r="A45" s="1106">
        <v>20</v>
      </c>
      <c r="B45" s="111">
        <f>'User Data'!DG26</f>
        <v>43551</v>
      </c>
      <c r="C45" s="121">
        <f>'User Data'!DH26</f>
        <v>606</v>
      </c>
      <c r="D45" s="121" t="s">
        <v>973</v>
      </c>
      <c r="E45" s="113">
        <f>'User Data'!DJ26</f>
        <v>1.1399999999999999</v>
      </c>
      <c r="F45" s="113"/>
      <c r="G45" s="113"/>
      <c r="H45" s="11"/>
      <c r="I45" s="11"/>
      <c r="J45" s="32"/>
      <c r="K45" s="32"/>
      <c r="L45" s="122"/>
      <c r="M45" s="28"/>
      <c r="N45" s="29"/>
      <c r="O45" s="29"/>
      <c r="P45" s="28"/>
      <c r="Q45" s="39"/>
      <c r="R45" s="546">
        <f t="shared" si="0"/>
        <v>1</v>
      </c>
      <c r="S45" s="546">
        <f t="shared" si="1"/>
        <v>0</v>
      </c>
      <c r="T45" s="546">
        <f t="shared" si="2"/>
        <v>1</v>
      </c>
      <c r="U45" s="546">
        <f t="shared" si="3"/>
        <v>0</v>
      </c>
      <c r="V45" s="546">
        <f t="shared" si="4"/>
        <v>3</v>
      </c>
    </row>
    <row r="46" spans="1:22" s="208" customFormat="1" ht="10.5" customHeight="1" x14ac:dyDescent="0.35">
      <c r="A46" s="1106">
        <v>21</v>
      </c>
      <c r="B46" s="111">
        <f>'User Data'!DG27</f>
        <v>43551</v>
      </c>
      <c r="C46" s="121">
        <f>'User Data'!DH27</f>
        <v>574</v>
      </c>
      <c r="D46" s="121" t="s">
        <v>969</v>
      </c>
      <c r="E46" s="113">
        <f>'User Data'!DJ27</f>
        <v>1.75</v>
      </c>
      <c r="F46" s="113"/>
      <c r="G46" s="113"/>
      <c r="H46" s="11"/>
      <c r="I46" s="11"/>
      <c r="J46" s="32"/>
      <c r="K46" s="32"/>
      <c r="L46" s="122"/>
      <c r="M46" s="28"/>
      <c r="N46" s="29"/>
      <c r="O46" s="29"/>
      <c r="P46" s="28"/>
      <c r="Q46" s="39"/>
      <c r="R46" s="546">
        <f t="shared" si="0"/>
        <v>1</v>
      </c>
      <c r="S46" s="546">
        <f t="shared" si="1"/>
        <v>0</v>
      </c>
      <c r="T46" s="546">
        <f t="shared" si="2"/>
        <v>1</v>
      </c>
      <c r="U46" s="546">
        <f t="shared" si="3"/>
        <v>0</v>
      </c>
      <c r="V46" s="546">
        <f t="shared" si="4"/>
        <v>3</v>
      </c>
    </row>
    <row r="47" spans="1:22" s="208" customFormat="1" ht="10.5" customHeight="1" x14ac:dyDescent="0.35">
      <c r="A47" s="1106">
        <v>22</v>
      </c>
      <c r="B47" s="111">
        <f>'User Data'!DG28</f>
        <v>43551</v>
      </c>
      <c r="C47" s="121">
        <f>'User Data'!DH28</f>
        <v>559</v>
      </c>
      <c r="D47" s="121" t="s">
        <v>971</v>
      </c>
      <c r="E47" s="113">
        <f>'User Data'!DJ28</f>
        <v>2.3199999999999998</v>
      </c>
      <c r="F47" s="113"/>
      <c r="G47" s="113"/>
      <c r="H47" s="11"/>
      <c r="I47" s="11"/>
      <c r="J47" s="32"/>
      <c r="K47" s="32"/>
      <c r="L47" s="122"/>
      <c r="M47" s="28"/>
      <c r="N47" s="29"/>
      <c r="O47" s="29"/>
      <c r="P47" s="28"/>
      <c r="Q47" s="39"/>
      <c r="R47" s="546">
        <f t="shared" si="0"/>
        <v>1</v>
      </c>
      <c r="S47" s="546">
        <f t="shared" si="1"/>
        <v>0</v>
      </c>
      <c r="T47" s="546">
        <f t="shared" si="2"/>
        <v>1</v>
      </c>
      <c r="U47" s="546">
        <f t="shared" si="3"/>
        <v>0</v>
      </c>
      <c r="V47" s="546">
        <f t="shared" si="4"/>
        <v>3</v>
      </c>
    </row>
    <row r="48" spans="1:22" s="208" customFormat="1" ht="10.5" customHeight="1" x14ac:dyDescent="0.35">
      <c r="A48" s="1106">
        <v>23</v>
      </c>
      <c r="B48" s="111">
        <f>'User Data'!DG29</f>
        <v>43551</v>
      </c>
      <c r="C48" s="121">
        <f>'User Data'!DH29</f>
        <v>514</v>
      </c>
      <c r="D48" s="121" t="s">
        <v>979</v>
      </c>
      <c r="E48" s="113">
        <f>'User Data'!DJ29</f>
        <v>1.26</v>
      </c>
      <c r="F48" s="113"/>
      <c r="G48" s="113"/>
      <c r="H48" s="11"/>
      <c r="I48" s="11"/>
      <c r="J48" s="32"/>
      <c r="K48" s="32"/>
      <c r="L48" s="122"/>
      <c r="M48" s="28"/>
      <c r="N48" s="29"/>
      <c r="O48" s="29"/>
      <c r="P48" s="28"/>
      <c r="Q48" s="39"/>
      <c r="R48" s="546">
        <f t="shared" si="0"/>
        <v>1</v>
      </c>
      <c r="S48" s="546">
        <f t="shared" si="1"/>
        <v>0</v>
      </c>
      <c r="T48" s="546">
        <f t="shared" si="2"/>
        <v>1</v>
      </c>
      <c r="U48" s="546">
        <f t="shared" si="3"/>
        <v>0</v>
      </c>
      <c r="V48" s="546">
        <f t="shared" si="4"/>
        <v>3</v>
      </c>
    </row>
    <row r="49" spans="1:22" s="208" customFormat="1" ht="10.5" customHeight="1" thickBot="1" x14ac:dyDescent="0.4">
      <c r="A49" s="1107">
        <v>24</v>
      </c>
      <c r="B49" s="111">
        <f>'User Data'!DG30</f>
        <v>43551</v>
      </c>
      <c r="C49" s="121">
        <f>'User Data'!DH30</f>
        <v>532</v>
      </c>
      <c r="D49" s="121" t="s">
        <v>976</v>
      </c>
      <c r="E49" s="113">
        <f>'User Data'!DJ30</f>
        <v>1.56</v>
      </c>
      <c r="F49" s="113"/>
      <c r="G49" s="113"/>
      <c r="H49" s="11"/>
      <c r="I49" s="11"/>
      <c r="J49" s="32"/>
      <c r="K49" s="32"/>
      <c r="L49" s="122"/>
      <c r="M49" s="28"/>
      <c r="N49" s="29"/>
      <c r="O49" s="29"/>
      <c r="P49" s="28"/>
      <c r="Q49" s="39"/>
      <c r="R49" s="546">
        <f t="shared" si="0"/>
        <v>1</v>
      </c>
      <c r="S49" s="546">
        <f t="shared" si="1"/>
        <v>0</v>
      </c>
      <c r="T49" s="546">
        <f t="shared" si="2"/>
        <v>1</v>
      </c>
      <c r="U49" s="546">
        <f t="shared" si="3"/>
        <v>0</v>
      </c>
      <c r="V49" s="546">
        <f t="shared" si="4"/>
        <v>3</v>
      </c>
    </row>
    <row r="50" spans="1:22" s="208" customFormat="1" ht="3" customHeight="1" x14ac:dyDescent="0.4">
      <c r="A50" s="197"/>
      <c r="B50" s="349"/>
      <c r="C50" s="349"/>
      <c r="D50" s="349"/>
      <c r="E50" s="661"/>
      <c r="F50" s="661"/>
      <c r="G50" s="661"/>
      <c r="H50" s="662"/>
      <c r="I50" s="662"/>
      <c r="J50" s="663"/>
      <c r="K50" s="663"/>
      <c r="L50" s="664"/>
      <c r="M50" s="665"/>
      <c r="N50" s="662"/>
      <c r="O50" s="662"/>
      <c r="P50" s="666"/>
      <c r="Q50" s="661"/>
      <c r="R50" s="546"/>
      <c r="S50" s="546"/>
      <c r="T50" s="546"/>
      <c r="U50" s="546"/>
      <c r="V50" s="546"/>
    </row>
    <row r="51" spans="1:22" s="208" customFormat="1" ht="10.5" x14ac:dyDescent="0.4">
      <c r="A51" s="96"/>
      <c r="B51" s="197"/>
      <c r="C51" s="197"/>
      <c r="D51" s="291" t="s">
        <v>262</v>
      </c>
      <c r="E51" s="667">
        <f t="array" ref="E51">IF(COUNT(E$25:E$50)=0,"",SUM(IF(ISERROR(E$25:E$50),"",E$25:E$50)))</f>
        <v>39.669999999999995</v>
      </c>
      <c r="F51" s="668" t="str">
        <f t="array" ref="F51">IF(COUNT(F$25:F$50)=0,"",SUM(IF(ISERROR(F$25:F$50),"",F$25:F$50)))</f>
        <v/>
      </c>
      <c r="G51" s="668" t="str">
        <f t="array" ref="G51">IF(COUNT(G$25:G$50)=0,"",SUM(IF(ISERROR(G$25:G$50),"",G$25:G$50)))</f>
        <v/>
      </c>
      <c r="H51" s="669" t="str">
        <f t="array" ref="H51">IF(COUNT(H$25:H$50)=0,"",SUM(IF(ISERROR(H$25:H$50),"",H$25:H$50)))</f>
        <v/>
      </c>
      <c r="I51" s="669" t="str">
        <f t="array" ref="I51">IF(COUNT(I$25:I$50)=0,"",SUM(IF(ISERROR(I$25:I$50),"",I$25:I$50)))</f>
        <v/>
      </c>
      <c r="J51" s="670" t="str">
        <f t="array" ref="J51">IF(COUNT(J$25:J$50)=0,"",SUM(IF(ISERROR(J$25:J$50),"",J$25:J$50)))</f>
        <v/>
      </c>
      <c r="K51" s="670" t="str">
        <f t="array" ref="K51">IF(COUNT(K$25:K$50)=0,"",SUM(IF(ISERROR(K$25:K$50),"",K$25:K$50)))</f>
        <v/>
      </c>
      <c r="L51" s="671" t="str">
        <f t="array" ref="L51">IF(COUNT(L$25:L$50)=0,"",SUM(IF(ISERROR(L$25:L$50),"",L$25:L$50)))</f>
        <v/>
      </c>
      <c r="M51" s="672" t="str">
        <f t="array" ref="M51">IF(COUNT(M$25:M$50)=0,"",SUM(IF(ISERROR(M$25:M$50),"",M$25:M$50)))</f>
        <v/>
      </c>
      <c r="N51" s="669" t="str">
        <f t="array" ref="N51">IF(COUNT(N$25:N$50)=0,"",SUM(IF(ISERROR(N$25:N$50),"",N$25:N$50)))</f>
        <v/>
      </c>
      <c r="O51" s="669" t="str">
        <f t="array" ref="O51">IF(COUNT(O$25:O$50)=0,"",SUM(IF(ISERROR(O$25:O$50),"",O$25:O$50)))</f>
        <v/>
      </c>
      <c r="P51" s="672" t="str">
        <f t="array" ref="P51">IF(COUNT(P$25:P$50)=0,"",SUM(IF(ISERROR(P$25:P$50),"",P$25:P$50)))</f>
        <v/>
      </c>
      <c r="Q51" s="668" t="str">
        <f t="array" ref="Q51">IF(COUNT(Q$25:Q$50)=0,"",SUM(IF(ISERROR(Q$25:Q$50),"",Q$25:Q$50)))</f>
        <v/>
      </c>
      <c r="R51" s="673">
        <f>COUNTIF(R25:R50,"2")</f>
        <v>0</v>
      </c>
      <c r="S51" s="546"/>
      <c r="T51" s="546"/>
      <c r="U51" s="673">
        <f>COUNTIF(U25:U50,"1")+COUNTIF(U25:U50,"2")+COUNTIF(U25:U50,"3")+COUNTIF(U25:U50,"4")+COUNTIF(U25:U50,"5")</f>
        <v>0</v>
      </c>
      <c r="V51" s="673">
        <f>COUNTIF(V25:V50,"1")+COUNTIF(V25:V50,"2")</f>
        <v>0</v>
      </c>
    </row>
    <row r="52" spans="1:22" s="208" customFormat="1" ht="10.199999999999999" x14ac:dyDescent="0.35">
      <c r="A52" s="197" t="s">
        <v>67</v>
      </c>
      <c r="B52" s="197"/>
      <c r="C52" s="197"/>
      <c r="D52" s="291" t="s">
        <v>263</v>
      </c>
      <c r="E52" s="674">
        <f t="array" ref="E52">IF(COUNT(E$25:E$50)=0,"",IF(ISERROR(AVERAGE(E$25:E$50)),"N/A",AVERAGE(E$25:E$50)))</f>
        <v>1.6529166666666664</v>
      </c>
      <c r="F52" s="675" t="str">
        <f t="array" ref="F52">IF(COUNT(F$25:F$50)=0,"",IF(ISERROR(AVERAGE(F$25:F$50)),"N/A",AVERAGE(F$25:F$50)))</f>
        <v/>
      </c>
      <c r="G52" s="675" t="str">
        <f t="array" ref="G52">IF(COUNT(G$25:G$50)=0,"",IF(ISERROR(AVERAGE(G$25:G$50)),"N/A",AVERAGE(G$25:G$50)))</f>
        <v/>
      </c>
      <c r="H52" s="302" t="str">
        <f t="array" ref="H52">IF(COUNT(H$25:H$50)=0,"",IF(ISERROR(AVERAGE(H$25:H$50)),"N/A",AVERAGE(H$25:H$50)))</f>
        <v/>
      </c>
      <c r="I52" s="302" t="str">
        <f t="array" ref="I52">IF(COUNT(I$25:I$50)=0,"",IF(ISERROR(AVERAGE(I$25:I$50)),"N/A",AVERAGE(I$25:I$50)))</f>
        <v/>
      </c>
      <c r="J52" s="295" t="str">
        <f t="array" ref="J52">IF(COUNT(J$25:J$50)=0,"",IF(ISERROR(AVERAGE(J$25:J$50)),"N/A",AVERAGE(J$25:J$50)))</f>
        <v/>
      </c>
      <c r="K52" s="295" t="str">
        <f t="array" ref="K52">IF(COUNT(K$25:K$50)=0,"",IF(ISERROR(AVERAGE(K$25:K$50)),"N/A",AVERAGE(K$25:K$50)))</f>
        <v/>
      </c>
      <c r="L52" s="295" t="str">
        <f t="array" ref="L52">IF(COUNT(L$25:L$50)=0,"",IF(ISERROR(AVERAGE(L$25:L$50)),"N/A",AVERAGE(L$25:L$50)))</f>
        <v/>
      </c>
      <c r="M52" s="676" t="str">
        <f t="array" ref="M52">IF(COUNT(M$25:M$50)=0,"",IF(ISERROR(AVERAGE(M$25:M$50)),"N/A",AVERAGE(M$25:M$50)))</f>
        <v/>
      </c>
      <c r="N52" s="302" t="str">
        <f t="array" ref="N52">IF(COUNT(N$25:N$50)=0,"",IF(ISERROR(AVERAGE(N$25:N$50)),"N/A",AVERAGE(N$25:N$50)))</f>
        <v/>
      </c>
      <c r="O52" s="302" t="str">
        <f t="array" ref="O52">IF(COUNT(O$25:O$50)=0,"",IF(ISERROR(AVERAGE(O$25:O$50)),"N/A",AVERAGE(O$25:O$50)))</f>
        <v/>
      </c>
      <c r="P52" s="676" t="str">
        <f t="array" ref="P52">IF(COUNT(P$25:P$50)=0,"",IF(ISERROR(AVERAGE(P$25:P$50)),"N/A",AVERAGE(P$25:P$50)))</f>
        <v/>
      </c>
      <c r="Q52" s="675" t="str">
        <f t="array" ref="Q52">IF(COUNT(Q$25:Q$50)=0,"",IF(ISERROR(AVERAGE(Q$25:Q$50)),"N/A",AVERAGE(Q$25:Q$50)))</f>
        <v/>
      </c>
      <c r="R52" s="546"/>
      <c r="S52" s="546"/>
      <c r="T52" s="546"/>
      <c r="U52" s="546"/>
      <c r="V52" s="546"/>
    </row>
    <row r="53" spans="1:22" s="208" customFormat="1" ht="10.199999999999999" x14ac:dyDescent="0.35">
      <c r="A53" s="197" t="s">
        <v>27</v>
      </c>
      <c r="B53" s="197"/>
      <c r="C53" s="197"/>
      <c r="D53" s="291" t="s">
        <v>264</v>
      </c>
      <c r="E53" s="674">
        <f t="array" ref="E53">IF(COUNT(E$25:E$50)=0,"",MAX(IF(ISERROR(E$25:E$50),"",E$25:E$50)))</f>
        <v>2.42</v>
      </c>
      <c r="F53" s="675" t="str">
        <f t="array" ref="F53">IF(COUNT(F$25:F$50)=0,"",MAX(IF(ISERROR(F$25:F$50),"",F$25:F$50)))</f>
        <v/>
      </c>
      <c r="G53" s="675" t="str">
        <f t="array" ref="G53">IF(COUNT(G$25:G$50)=0,"",MAX(IF(ISERROR(G$25:G$50),"",G$25:G$50)))</f>
        <v/>
      </c>
      <c r="H53" s="302" t="str">
        <f t="array" ref="H53">IF(COUNT(H$25:H$50)=0,"",MAX(IF(ISERROR(H$25:H$50),"",H$25:H$50)))</f>
        <v/>
      </c>
      <c r="I53" s="302" t="str">
        <f t="array" ref="I53">IF(COUNT(I$25:I$50)=0,"",MAX(IF(ISERROR(I$25:I$50),"",I$25:I$50)))</f>
        <v/>
      </c>
      <c r="J53" s="295" t="str">
        <f t="array" ref="J53">IF(COUNT(J$25:J$50)=0,"",MAX(IF(ISERROR(J$25:J$50),"",J$25:J$50)))</f>
        <v/>
      </c>
      <c r="K53" s="295" t="str">
        <f t="array" ref="K53">IF(COUNT(K$25:K$50)=0,"",MAX(IF(ISERROR(K$25:K$50),"",K$25:K$50)))</f>
        <v/>
      </c>
      <c r="L53" s="296" t="str">
        <f t="array" ref="L53">IF(COUNT(L$25:L$50)=0,"",MAX(IF(ISERROR(L$25:L$50),"",L$25:L$50)))</f>
        <v/>
      </c>
      <c r="M53" s="676" t="str">
        <f t="array" ref="M53">IF(COUNT(M$25:M$50)=0,"",MAX(IF(ISERROR(M$25:M$50),"",M$25:M$50)))</f>
        <v/>
      </c>
      <c r="N53" s="302" t="str">
        <f t="array" ref="N53">IF(COUNT(N$25:N$50)=0,"",MAX(IF(ISERROR(N$25:N$50),"",N$25:N$50)))</f>
        <v/>
      </c>
      <c r="O53" s="302" t="str">
        <f t="array" ref="O53">IF(COUNT(O$25:O$50)=0,"",MAX(IF(ISERROR(O$25:O$50),"",O$25:O$50)))</f>
        <v/>
      </c>
      <c r="P53" s="676" t="str">
        <f t="array" ref="P53">IF(COUNT(P$25:P$50)=0,"",MAX(IF(ISERROR(P$25:P$50),"",P$25:P$50)))</f>
        <v/>
      </c>
      <c r="Q53" s="675" t="str">
        <f t="array" ref="Q53">IF(COUNT(Q$25:Q$50)=0,"",MAX(IF(ISERROR(Q$25:Q$50),"",Q$25:Q$50)))</f>
        <v/>
      </c>
      <c r="R53" s="546"/>
      <c r="S53" s="546"/>
      <c r="T53" s="546"/>
      <c r="U53" s="546"/>
      <c r="V53" s="546"/>
    </row>
    <row r="54" spans="1:22" s="208" customFormat="1" ht="10.199999999999999" x14ac:dyDescent="0.35">
      <c r="A54" s="197" t="str">
        <f>Version_complete</f>
        <v>Version: V02.11-01</v>
      </c>
      <c r="B54" s="197"/>
      <c r="C54" s="197"/>
      <c r="D54" s="291" t="s">
        <v>265</v>
      </c>
      <c r="E54" s="674">
        <f t="array" ref="E54">IF(COUNT(E$25:E$50)=0,"",IF(ISERROR(MIN(E$25:E$50)),"N/A",MIN(E$25:E$50)))</f>
        <v>0.54</v>
      </c>
      <c r="F54" s="675" t="str">
        <f t="array" ref="F54">IF(COUNT(F$25:F$50)=0,"",IF(ISERROR(MIN(F$25:F$50)),"N/A",MIN(F$25:F$50)))</f>
        <v/>
      </c>
      <c r="G54" s="675" t="str">
        <f t="array" ref="G54">IF(COUNT(G$25:G$50)=0,"",IF(ISERROR(MIN(G$25:G$50)),"N/A",MIN(G$25:G$50)))</f>
        <v/>
      </c>
      <c r="H54" s="302" t="str">
        <f t="array" ref="H54">IF(COUNT(H$25:H$50)=0,"",IF(ISERROR(MIN(H$25:H$50)),"N/A",MIN(H$25:H$50)))</f>
        <v/>
      </c>
      <c r="I54" s="302" t="str">
        <f t="array" ref="I54">IF(COUNT(I$25:I$50)=0,"",IF(ISERROR(MIN(I$25:I$50)),"N/A",MIN(I$25:I$50)))</f>
        <v/>
      </c>
      <c r="J54" s="295" t="str">
        <f t="array" ref="J54">IF(COUNT(J$25:J$50)=0,"",IF(ISERROR(MIN(J$25:J$50)),"N/A",MIN(J$25:J$50)))</f>
        <v/>
      </c>
      <c r="K54" s="295" t="str">
        <f t="array" ref="K54">IF(COUNT(K$25:K$50)=0,"",IF(ISERROR(MIN(K$25:K$50)),"N/A",MIN(K$25:K$50)))</f>
        <v/>
      </c>
      <c r="L54" s="296" t="str">
        <f t="array" ref="L54">IF(COUNT(L$25:L$50)=0,"",IF(ISERROR(MIN(L$25:L$50)),"N/A",MIN(L$25:L$50)))</f>
        <v/>
      </c>
      <c r="M54" s="676" t="str">
        <f t="array" ref="M54">IF(COUNT(M$25:M$50)=0,"",IF(ISERROR(MIN(M$25:M$50)),"N/A",MIN(M$25:M$50)))</f>
        <v/>
      </c>
      <c r="N54" s="302" t="str">
        <f t="array" ref="N54">IF(COUNT(N$25:N$50)=0,"",IF(ISERROR(MIN(N$25:N$50)),"N/A",MIN(N$25:N$50)))</f>
        <v/>
      </c>
      <c r="O54" s="302" t="str">
        <f t="array" ref="O54">IF(COUNT(O$25:O$50)=0,"",IF(ISERROR(MIN(O$25:O$50)),"N/A",MIN(O$25:O$50)))</f>
        <v/>
      </c>
      <c r="P54" s="676" t="str">
        <f t="array" ref="P54">IF(COUNT(P$25:P$50)=0,"",IF(ISERROR(MIN(P$25:P$50)),"N/A",MIN(P$25:P$50)))</f>
        <v/>
      </c>
      <c r="Q54" s="675" t="str">
        <f t="array" ref="Q54">IF(COUNT(Q$25:Q$50)=0,"",IF(ISERROR(MIN(Q$25:Q$50)),"N/A",MIN(Q$25:Q$50)))</f>
        <v/>
      </c>
      <c r="R54" s="546"/>
      <c r="S54" s="546"/>
      <c r="T54" s="546"/>
      <c r="U54" s="546"/>
      <c r="V54" s="546"/>
    </row>
  </sheetData>
  <sheetProtection algorithmName="SHA-512" hashValue="otiEYOOkC8hbHU1uy4bLKEwiVcOzW03//kqwAS1LPXoVXCJlx6FFiLlZJSQbDNvn47VOkQQnqxET1b5rfYAWhg==" saltValue="UWanm/s/AH328AVzkBe/6A==" spinCount="100000" sheet="1" objects="1" scenarios="1"/>
  <mergeCells count="5">
    <mergeCell ref="O22:O23"/>
    <mergeCell ref="A18:M18"/>
    <mergeCell ref="A21:A23"/>
    <mergeCell ref="G22:J22"/>
    <mergeCell ref="L22:L23"/>
  </mergeCells>
  <phoneticPr fontId="40" type="noConversion"/>
  <conditionalFormatting sqref="D16">
    <cfRule type="expression" dxfId="28" priority="7" stopIfTrue="1">
      <formula>(AND(LEN(D16)=0,OR(LEN($E$19)&gt;0,LEN($E$21)&gt;0,LEN($E$23)&gt;0)))</formula>
    </cfRule>
  </conditionalFormatting>
  <conditionalFormatting sqref="G25:J49">
    <cfRule type="expression" dxfId="27" priority="8" stopIfTrue="1">
      <formula>AND(LEN(G25)=0,$S25&gt;0,$S25&lt;4)</formula>
    </cfRule>
  </conditionalFormatting>
  <conditionalFormatting sqref="B25:C25 B26:B49">
    <cfRule type="expression" dxfId="26" priority="9" stopIfTrue="1">
      <formula>AND(LEN(B25)=0,OR($S25&gt;0,$T25&gt;0))</formula>
    </cfRule>
  </conditionalFormatting>
  <conditionalFormatting sqref="E25:E49">
    <cfRule type="expression" dxfId="25" priority="10" stopIfTrue="1">
      <formula>AND(LEN(E25)=0,OR($V25=1,$V25=2))</formula>
    </cfRule>
  </conditionalFormatting>
  <dataValidations count="13">
    <dataValidation type="whole" allowBlank="1" showInputMessage="1" showErrorMessage="1" errorTitle="   IMPORTANT!  Invalid Entry ..." error="Enter a value between 0 and 999._x000a__x000a_Whole numbers are required._x000a__x000a_Please note that the total of ALL samples taken cannot exceed 999 either.     _x000a_" sqref="F16:G16" xr:uid="{00000000-0002-0000-0800-000000000000}">
      <formula1>0</formula1>
      <formula2>999</formula2>
    </dataValidation>
    <dataValidation type="whole" allowBlank="1" showInputMessage="1" showErrorMessage="1" errorTitle="   IMPORTANT!  Invalid Entry ..." error="Enter a value between 1 and 1000._x000a__x000a_Whole numbers are required._x000a__x000a_" sqref="D16" xr:uid="{00000000-0002-0000-0800-000001000000}">
      <formula1>1</formula1>
      <formula2>1000</formula2>
    </dataValidation>
    <dataValidation type="custom" allowBlank="1" showInputMessage="1" showErrorMessage="1" errorTitle="   IMPORTANT!  Invalid Entry ..." error="Enter a value between 0 and 14_x000a__x000a_Please use no more than one (1) decimal(s)._x000a__x000a_Use a blank cell (and NOT zero) to indicate no activity / measurement._x000a__x000a_" sqref="J25:K49" xr:uid="{00000000-0002-0000-0800-000002000000}">
      <formula1>OR(AND(J25&gt;=0,J25&lt;=14),LEN(J25)=0)</formula1>
    </dataValidation>
    <dataValidation type="custom" allowBlank="1" showInputMessage="1" showErrorMessage="1" errorTitle="   IMPORTANT!  Invalid Entry ..." error="Enter a value between 0 and 99.999_x000a__x000a_Please use no more than three (3) decimal(s)._x000a__x000a_Use a blank cell (and NOT zero) to indicate no activity / measurement._x000a__x000a_" sqref="M25:M49" xr:uid="{00000000-0002-0000-0800-000003000000}">
      <formula1>OR(AND(M25&gt;=0,M25&lt;=99.999),LEN(M25)=0)</formula1>
    </dataValidation>
    <dataValidation type="custom" allowBlank="1" showInputMessage="1" showErrorMessage="1" errorTitle="   IMPORTANT!  Invalid Entry ..." error="Enter a value between 0 and 999.99_x000a__x000a_Please use no more than two (2) decimals._x000a__x000a_Use a blank cell (and NOT zero) to indicate no activity / measurement._x000a__x000a_" sqref="N25:O49" xr:uid="{00000000-0002-0000-0800-000004000000}">
      <formula1>OR(AND(N25&gt;0.01,N25&lt;=999.99),LEN(N25)=0)</formula1>
    </dataValidation>
    <dataValidation type="custom" allowBlank="1" showInputMessage="1" showErrorMessage="1" errorTitle="   IMPORTANT!  Invalid Entry ..." error="Enter a value between 0 and 999.999_x000a__x000a_Please use no more than three (3) decimal(s)._x000a__x000a_Use a blank cell (and NOT zero) to indicate no activity / measurement._x000a__x000a_" sqref="P25:P49" xr:uid="{00000000-0002-0000-0800-000005000000}">
      <formula1>OR(AND(P25&gt;=0,P25&lt;=999.999),LEN(P25)=0)</formula1>
    </dataValidation>
    <dataValidation type="custom" allowBlank="1" showInputMessage="1" showErrorMessage="1" errorTitle="   IMPORTANT!  Invalid Entry ..." error="Enter a value between 0 and 999.9999_x000a__x000a_Please use no more than four (4) decimal(s)._x000a__x000a_Use a blank cell (and NOT zero) to indicate no activity / measurement._x000a__x000a_" sqref="Q25:Q49" xr:uid="{00000000-0002-0000-0800-000006000000}">
      <formula1>OR(AND(Q25&gt;=0,Q25&lt;=999.9999),LEN(Q25)=0)</formula1>
    </dataValidation>
    <dataValidation type="custom" allowBlank="1" showInputMessage="1" showErrorMessage="1" errorTitle="   IMPORTANT!  Invalid Entry ..." error="Enter a value between 0 and 999,999_x000a__x000a_Whole numbers are required._x000a__x000a_" sqref="L25:L49" xr:uid="{00000000-0002-0000-0800-000008000000}">
      <formula1>OR(AND(L25&gt;=0,L25&lt;=999999),LEN(L25)=0)</formula1>
    </dataValidation>
    <dataValidation type="custom" allowBlank="1" showInputMessage="1" showErrorMessage="1" errorTitle="   IMPORTANT!  Invalid Entry ..." error="Enter a value between 0 and 99.9999_x000a__x000a_Please use no more than four (4) decimal(s)._x000a__x000a_Use a blank cell (and NOT zero) to indicate no activity / measurement._x000a__x000a_" sqref="E25:G49" xr:uid="{00000000-0002-0000-0800-000009000000}">
      <formula1>OR(AND(E25&gt;=0,E25&lt;=99.9999),LEN(E25)=0)</formula1>
    </dataValidation>
    <dataValidation type="custom" allowBlank="1" showInputMessage="1" showErrorMessage="1" errorTitle="   IMPORTANT!  Invalid Entry ..." error="Enter a value between 0 and 999.99_x000a__x000a_Please use no more than two (2) decimal(s)._x000a__x000a_Use a blank cell (and NOT zero) to indicate no activity / measurement._x000a__x000a_" sqref="H25:I49" xr:uid="{00000000-0002-0000-0800-00000A000000}">
      <formula1>OR(AND(H25&gt;=0,H25&lt;=999.99),LEN(H25)=0)</formula1>
    </dataValidation>
    <dataValidation type="date" allowBlank="1" showInputMessage="1" showErrorMessage="1" errorTitle="   IMPORTANT!  Invalid Entry ..." error="Enter a valid date within the current month only." sqref="B25:B49" xr:uid="{2E5F036B-D79A-49D5-89F3-EBB4BE61D6C3}">
      <formula1>FormMasterDate</formula1>
      <formula2>FormLastDate</formula2>
    </dataValidation>
    <dataValidation type="textLength" operator="equal" allowBlank="1" showInputMessage="1" showErrorMessage="1" errorTitle="   IMPORTANT!  Invalid Entry ..." error="Location codes MUST be 3 characters in length._x000a_" sqref="C25:C49" xr:uid="{26CF3091-412C-4B54-885E-CE8F7E5F86B0}">
      <formula1>3</formula1>
    </dataValidation>
    <dataValidation type="textLength" operator="lessThan" allowBlank="1" showInputMessage="1" showErrorMessage="1" errorTitle="   IMPORTANT!  Invalid Entry ..." error="Please limit explanatory text to less than 256 characters in length._x000a_" sqref="D25:D49" xr:uid="{B19436AB-07E5-4C94-89CC-390032EDB83A}">
      <formula1>256</formula1>
    </dataValidation>
  </dataValidations>
  <printOptions horizontalCentered="1" verticalCentered="1"/>
  <pageMargins left="0.25" right="0.25" top="0.25" bottom="0.25" header="0.125" footer="0.125"/>
  <pageSetup orientation="landscape" r:id="rId1"/>
  <headerFooter alignWithMargins="0"/>
  <customProperties>
    <customPr name="SheetID" r:id="rId2"/>
  </customProperties>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Summary">
    <pageSetUpPr fitToPage="1"/>
  </sheetPr>
  <dimension ref="A1:J56"/>
  <sheetViews>
    <sheetView showGridLines="0" topLeftCell="G1" zoomScale="120" zoomScaleNormal="120" workbookViewId="0">
      <selection activeCell="L39" sqref="L39"/>
    </sheetView>
  </sheetViews>
  <sheetFormatPr defaultColWidth="9.1640625" defaultRowHeight="12.3" x14ac:dyDescent="0.4"/>
  <cols>
    <col min="1" max="1" width="7.44140625" style="123" customWidth="1"/>
    <col min="2" max="2" width="13.27734375" style="123" customWidth="1"/>
    <col min="3" max="3" width="12.44140625" style="123" customWidth="1"/>
    <col min="4" max="5" width="12.27734375" style="123" customWidth="1"/>
    <col min="6" max="7" width="9.71875" style="123" customWidth="1"/>
    <col min="8" max="9" width="7.1640625" style="123" customWidth="1"/>
    <col min="10" max="10" width="10.44140625" style="124" customWidth="1"/>
    <col min="11" max="16384" width="9.1640625" style="123"/>
  </cols>
  <sheetData>
    <row r="1" spans="1:10" ht="19.8" x14ac:dyDescent="0.65">
      <c r="A1" s="1185" t="s">
        <v>266</v>
      </c>
      <c r="B1" s="1185"/>
      <c r="C1" s="1185"/>
      <c r="D1" s="1185"/>
      <c r="E1" s="1185"/>
      <c r="F1" s="1185"/>
      <c r="G1" s="1185"/>
      <c r="H1" s="1185"/>
      <c r="I1" s="1185"/>
      <c r="J1" s="1185"/>
    </row>
    <row r="2" spans="1:10" ht="20.25" customHeight="1" x14ac:dyDescent="0.6">
      <c r="A2" s="1186" t="s">
        <v>267</v>
      </c>
      <c r="B2" s="1186"/>
      <c r="C2" s="1186"/>
      <c r="D2" s="1186"/>
      <c r="E2" s="1186"/>
      <c r="F2" s="1186"/>
      <c r="G2" s="1186"/>
      <c r="H2" s="1186"/>
      <c r="I2" s="1186"/>
      <c r="J2" s="1186"/>
    </row>
    <row r="3" spans="1:10" s="125" customFormat="1" ht="7.5" customHeight="1" x14ac:dyDescent="0.5">
      <c r="A3" s="127"/>
      <c r="B3" s="127"/>
      <c r="C3" s="127"/>
      <c r="D3" s="127"/>
      <c r="E3" s="128"/>
      <c r="F3" s="128"/>
      <c r="G3" s="127"/>
      <c r="H3" s="127"/>
      <c r="I3" s="127"/>
      <c r="J3" s="129"/>
    </row>
    <row r="4" spans="1:10" ht="17.5" customHeight="1" x14ac:dyDescent="0.45">
      <c r="A4" s="130" t="s">
        <v>268</v>
      </c>
      <c r="B4" s="169">
        <f>IF(LEN(FormMasterDate)=0,"",FormMasterDate)</f>
        <v>43525</v>
      </c>
      <c r="C4" s="132" t="s">
        <v>269</v>
      </c>
      <c r="D4" s="132"/>
      <c r="E4" s="133" t="str">
        <f>IF(LEN(FormWaterSysName)=0,"",FormWaterSysName)</f>
        <v>Cary, Town of</v>
      </c>
      <c r="F4" s="133"/>
      <c r="G4" s="133"/>
      <c r="H4" s="134"/>
      <c r="I4" s="135" t="s">
        <v>270</v>
      </c>
      <c r="J4" s="168" t="str">
        <f>IF(LEN(FormPWSIDNum)=0,"",FormPWSIDNum)</f>
        <v>NC0392020</v>
      </c>
    </row>
    <row r="5" spans="1:10" ht="13.8" x14ac:dyDescent="0.45">
      <c r="A5" s="129" t="s">
        <v>271</v>
      </c>
      <c r="B5" s="170">
        <f>IF(LEN(FormMasterDate)=0,"",FormMasterDate)</f>
        <v>43525</v>
      </c>
      <c r="C5" s="131" t="s">
        <v>272</v>
      </c>
      <c r="D5" s="131"/>
      <c r="E5" s="136" t="str">
        <f>IF(LEN(FormFacilityName)=0,"",FormFacilityName)</f>
        <v>Cary Apex WTP</v>
      </c>
      <c r="F5" s="136"/>
      <c r="G5" s="137"/>
    </row>
    <row r="6" spans="1:10" ht="7.5" customHeight="1" x14ac:dyDescent="0.4"/>
    <row r="7" spans="1:10" ht="17.25" customHeight="1" x14ac:dyDescent="0.45">
      <c r="A7" s="130" t="s">
        <v>273</v>
      </c>
      <c r="B7" s="130"/>
      <c r="C7" s="130"/>
      <c r="D7" s="130"/>
      <c r="E7" s="134"/>
      <c r="F7" s="134"/>
      <c r="G7" s="134"/>
      <c r="H7" s="134"/>
      <c r="I7" s="134"/>
      <c r="J7" s="138"/>
    </row>
    <row r="8" spans="1:10" ht="14.1" x14ac:dyDescent="0.5">
      <c r="A8" s="139" t="s">
        <v>274</v>
      </c>
      <c r="B8" s="139"/>
      <c r="C8" s="139"/>
      <c r="D8" s="710">
        <f>IF(SUM('1940-III - CFE Turb.'!rng_CFE_NumSampReqd)= 0,"",SUM('1940-III - CFE Turb.'!rng_CFE_CntGreaterThan_1))</f>
        <v>0</v>
      </c>
      <c r="F8" s="126" t="s">
        <v>275</v>
      </c>
      <c r="G8" s="126"/>
      <c r="H8" s="126"/>
      <c r="J8" s="710">
        <f>IF(SUM('1940-III - CFE Turb.'!rng_CFE_NumSampReqd)= 0,"",SUM('1940-III - CFE Turb.'!rng_CFE_NumSampReqd))</f>
        <v>186</v>
      </c>
    </row>
    <row r="9" spans="1:10" ht="14.1" x14ac:dyDescent="0.5">
      <c r="A9" s="139" t="s">
        <v>276</v>
      </c>
      <c r="B9" s="139"/>
      <c r="C9" s="139"/>
      <c r="D9" s="710">
        <f>IF(SUM('1940-III - CFE Turb.'!rng_CFE_NumSampReqd)= 0,"",SUM('1940-III - CFE Turb.'!rng_CFE_CntGreaterThan_.3))</f>
        <v>0</v>
      </c>
      <c r="F9" s="126" t="s">
        <v>277</v>
      </c>
      <c r="G9" s="126"/>
      <c r="H9" s="126"/>
      <c r="I9" s="140"/>
      <c r="J9" s="710">
        <f>IF(SUM('1940-III - CFE Turb.'!rng_CFE_NumSampTaken)= 0,"",SUM('1940-III - CFE Turb.'!rng_CFE_NumSampTaken))</f>
        <v>186</v>
      </c>
    </row>
    <row r="10" spans="1:10" ht="14.1" x14ac:dyDescent="0.5">
      <c r="A10" s="139" t="s">
        <v>278</v>
      </c>
      <c r="B10" s="139"/>
      <c r="C10" s="139"/>
      <c r="D10" s="171">
        <f>IF(OR(LEN(rng_CFE_NumSampTaken)=0,LEN(rng_CFE_CntGreaterThan_.3)=0),"",IF(rng_CFE_NumSampTaken=0,0,rng_CFE_CntGreaterThan_.3/rng_CFE_NumSampTaken))</f>
        <v>0</v>
      </c>
      <c r="F10" s="126" t="s">
        <v>279</v>
      </c>
      <c r="G10" s="126"/>
      <c r="H10" s="126"/>
      <c r="I10" s="126"/>
      <c r="J10" s="711">
        <f>IF(SUM('1940-III - CFE Turb.'!rng_CFE_MAXIMUM)= 0,"",MAX('1940-III - CFE Turb.'!rng_CFE_MAXIMUM))</f>
        <v>0.08</v>
      </c>
    </row>
    <row r="11" spans="1:10" ht="14.1" x14ac:dyDescent="0.5">
      <c r="F11" s="126" t="s">
        <v>280</v>
      </c>
      <c r="G11" s="126"/>
      <c r="H11" s="126"/>
      <c r="I11" s="126"/>
      <c r="J11" s="711">
        <f>IF(SUM('1940-III - CFE Turb.'!rng_CFE_NumSampTaken)= 0,"",IF(SUM('1940-III - CFE Turb.'!rng_CFE_NumSampTaken)= 0,"",SUM('1940-III - CFE Turb.'!rng_CFE_SUM)/SUM('1940-III - CFE Turb.'!rng_CFE_NumSampTaken)))</f>
        <v>4.7473118279569876E-2</v>
      </c>
    </row>
    <row r="12" spans="1:10" ht="7.5" customHeight="1" x14ac:dyDescent="0.4"/>
    <row r="13" spans="1:10" ht="17.25" customHeight="1" x14ac:dyDescent="0.45">
      <c r="A13" s="130" t="s">
        <v>281</v>
      </c>
      <c r="B13" s="130"/>
      <c r="C13" s="130"/>
      <c r="D13" s="130"/>
      <c r="E13" s="134"/>
      <c r="F13" s="134"/>
      <c r="G13" s="134"/>
      <c r="H13" s="141"/>
      <c r="I13" s="134"/>
      <c r="J13" s="141"/>
    </row>
    <row r="14" spans="1:10" s="142" customFormat="1" ht="14.1" x14ac:dyDescent="0.4">
      <c r="A14" s="145" t="s">
        <v>282</v>
      </c>
      <c r="B14" s="144" t="s">
        <v>283</v>
      </c>
      <c r="C14" s="144"/>
      <c r="D14" s="144"/>
      <c r="E14" s="144"/>
      <c r="F14" s="146"/>
      <c r="G14" s="147" t="s">
        <v>284</v>
      </c>
      <c r="H14" s="172" t="str">
        <f>IF(COUNTA('1940-V - IFE Turb.'!rng_ContinuouslyMonitored_1,'1940-V - IFE Turb.'!rng_ContinuouslyMonitored_2,'1940-V - IFE Turb.'!rng_ContinuouslyMonitored_3,'1940-V - IFE Turb.'!rng_ContinuouslyMonitored_4,'1940-V - IFE Turb.'!rng_ContinuouslyMonitored_5)=0,"",IF(J14="X","","X"))</f>
        <v>X</v>
      </c>
      <c r="I14" s="147" t="s">
        <v>285</v>
      </c>
      <c r="J14" s="172" t="str">
        <f>IF(COUNTA('1940-V - IFE Turb.'!rng_ContinuouslyMonitored_1,'1940-V - IFE Turb.'!rng_ContinuouslyMonitored_2,'1940-V - IFE Turb.'!rng_ContinuouslyMonitored_3,'1940-V - IFE Turb.'!rng_ContinuouslyMonitored_4,'1940-V - IFE Turb.'!rng_ContinuouslyMonitored_5)=0,"",IF(OR('1940-V - IFE Turb.'!rng_ContinuouslyMonitored_1="No",'1940-V - IFE Turb.'!rng_ContinuouslyMonitored_2="No",'1940-V - IFE Turb.'!rng_ContinuouslyMonitored_3="No",'1940-V - IFE Turb.'!rng_ContinuouslyMonitored_4="No",'1940-V - IFE Turb.'!rng_ContinuouslyMonitored_5="No"),"X",""))</f>
        <v/>
      </c>
    </row>
    <row r="15" spans="1:10" s="142" customFormat="1" ht="14.1" hidden="1" x14ac:dyDescent="0.4">
      <c r="A15" s="148" t="s">
        <v>286</v>
      </c>
      <c r="B15" s="149" t="s">
        <v>287</v>
      </c>
      <c r="C15" s="149"/>
      <c r="D15" s="149"/>
      <c r="E15" s="146"/>
      <c r="F15" s="146"/>
      <c r="G15" s="147" t="s">
        <v>284</v>
      </c>
      <c r="H15" s="172" t="str">
        <f>IF(COUNTA('1940-V - IFE Turb.'!rng_Below_EqualTo_2_Filters_1,'1940-V - IFE Turb.'!rng_Below_EqualTo_2_Filters_2,'1940-V - IFE Turb.'!rng_Below_EqualTo_2_Filters_3,'1940-V - IFE Turb.'!rng_Below_EqualTo_2_Filters_4,'1940-V - IFE Turb.'!rng_Below_EqualTo_2_Filters_5)=0,"",IF(OR('1940-V - IFE Turb.'!rng_Below_EqualTo_2_Filters_1="Yes",'1940-V - IFE Turb.'!rng_Below_EqualTo_2_Filters_2="Yes",'1940-V - IFE Turb.'!rng_Below_EqualTo_2_Filters_3="Yes",'1940-V - IFE Turb.'!rng_Below_EqualTo_2_Filters_4="Yes",'1940-V - IFE Turb.'!rng_Below_EqualTo_2_Filters_5="Yes"),"X",""))</f>
        <v/>
      </c>
      <c r="I15" s="147" t="s">
        <v>285</v>
      </c>
      <c r="J15" s="172" t="str">
        <f>IF(COUNTA('1940-V - IFE Turb.'!rng_Below_EqualTo_2_Filters_1,'1940-V - IFE Turb.'!rng_Below_EqualTo_2_Filters_2,'1940-V - IFE Turb.'!rng_Below_EqualTo_2_Filters_3,'1940-V - IFE Turb.'!rng_Below_EqualTo_2_Filters_4,'1940-V - IFE Turb.'!rng_Below_EqualTo_2_Filters_5)=0,"",IF(H15="X","","X"))</f>
        <v/>
      </c>
    </row>
    <row r="16" spans="1:10" s="142" customFormat="1" ht="27" hidden="1" customHeight="1" x14ac:dyDescent="0.5">
      <c r="A16" s="148" t="s">
        <v>288</v>
      </c>
      <c r="B16" s="1183" t="s">
        <v>289</v>
      </c>
      <c r="C16" s="1183"/>
      <c r="D16" s="1183"/>
      <c r="E16" s="1183"/>
      <c r="F16" s="1183"/>
      <c r="G16" s="150" t="s">
        <v>284</v>
      </c>
      <c r="H16" s="173" t="str">
        <f>IF(COUNTA('1940-V - IFE Turb.'!rng_Combined_In_Lieu_of_Individual_1,'1940-V - IFE Turb.'!rng_Combined_In_Lieu_of_Individual_2,'1940-V - IFE Turb.'!rng_Combined_In_Lieu_of_Individual_3,'1940-V - IFE Turb.'!rng_Combined_In_Lieu_of_Individual_4,'1940-V - IFE Turb.'!rng_Combined_In_Lieu_of_Individual_5)=0,"",IF(OR('1940-V - IFE Turb.'!rng_Combined_In_Lieu_of_Individual_1="Yes",'1940-V - IFE Turb.'!rng_Combined_In_Lieu_of_Individual_2="Yes",'1940-V - IFE Turb.'!rng_Combined_In_Lieu_of_Individual_3="Yes",'1940-V - IFE Turb.'!rng_Combined_In_Lieu_of_Individual_4="Yes",'1940-V - IFE Turb.'!rng_Combined_In_Lieu_of_Individual_5="Yes"),"X",""))</f>
        <v/>
      </c>
      <c r="I16" s="150" t="s">
        <v>285</v>
      </c>
      <c r="J16" s="173" t="str">
        <f>IF(COUNTA('1940-V - IFE Turb.'!rng_Combined_In_Lieu_of_Individual_1,'1940-V - IFE Turb.'!rng_Combined_In_Lieu_of_Individual_2,'1940-V - IFE Turb.'!rng_Combined_In_Lieu_of_Individual_3,'1940-V - IFE Turb.'!rng_Combined_In_Lieu_of_Individual_4,'1940-V - IFE Turb.'!rng_Combined_In_Lieu_of_Individual_5)=0,"",IF(H16="X","","X"))</f>
        <v/>
      </c>
    </row>
    <row r="17" spans="1:10" s="142" customFormat="1" ht="14.1" x14ac:dyDescent="0.4">
      <c r="A17" s="145" t="s">
        <v>290</v>
      </c>
      <c r="B17" s="144" t="s">
        <v>291</v>
      </c>
      <c r="C17" s="144"/>
      <c r="D17" s="144"/>
      <c r="E17" s="144"/>
      <c r="F17" s="144"/>
      <c r="G17" s="147" t="s">
        <v>284</v>
      </c>
      <c r="H17" s="172" t="str">
        <f>IF(COUNTA('1940-V - IFE Turb.'!rng_ResultsRecorded_1,'1940-V - IFE Turb.'!rng_ResultsRecorded_2,'1940-V - IFE Turb.'!rng_ResultsRecorded_3,'1940-V - IFE Turb.'!rng_ResultsRecorded_4,'1940-V - IFE Turb.'!rng_ResultsRecorded_5)=0,"",IF(J17="X","","X"))</f>
        <v>X</v>
      </c>
      <c r="I17" s="147" t="s">
        <v>285</v>
      </c>
      <c r="J17" s="172" t="str">
        <f>IF(COUNTA('1940-V - IFE Turb.'!rng_ResultsRecorded_1,'1940-V - IFE Turb.'!rng_ResultsRecorded_2,'1940-V - IFE Turb.'!rng_ResultsRecorded_3,'1940-V - IFE Turb.'!rng_ResultsRecorded_4,'1940-V - IFE Turb.'!rng_ResultsRecorded_5)=0,"",IF(OR('1940-V - IFE Turb.'!rng_ResultsRecorded_1="No",'1940-V - IFE Turb.'!rng_ResultsRecorded_2="No",'1940-V - IFE Turb.'!rng_ResultsRecorded_3="No",'1940-V - IFE Turb.'!rng_ResultsRecorded_4="No",'1940-V - IFE Turb.'!rng_ResultsRecorded_5="No"),"X",""))</f>
        <v/>
      </c>
    </row>
    <row r="18" spans="1:10" s="142" customFormat="1" ht="14.1" x14ac:dyDescent="0.4">
      <c r="A18" s="145" t="s">
        <v>292</v>
      </c>
      <c r="B18" s="144" t="s">
        <v>293</v>
      </c>
      <c r="C18" s="144"/>
      <c r="D18" s="144"/>
      <c r="E18" s="144"/>
      <c r="F18" s="144"/>
      <c r="G18" s="147" t="s">
        <v>284</v>
      </c>
      <c r="H18" s="172" t="str">
        <f>IF(COUNTA('1940-V - IFE Turb.'!rng_MonitorFailure_1,'1940-V - IFE Turb.'!rng_MonitorFailure_2,'1940-V - IFE Turb.'!rng_MonitorFailure_3,'1940-V - IFE Turb.'!rng_MonitorFailure_4,'1940-V - IFE Turb.'!rng_MonitorFailure_5)=0,"",IF(OR('1940-V - IFE Turb.'!rng_MonitorFailure_1="Yes",'1940-V - IFE Turb.'!rng_MonitorFailure_2="Yes",'1940-V - IFE Turb.'!rng_MonitorFailure_3="Yes",'1940-V - IFE Turb.'!rng_MonitorFailure_4="Yes",'1940-V - IFE Turb.'!rng_MonitorFailure_5="Yes"),"X",""))</f>
        <v/>
      </c>
      <c r="I18" s="147" t="s">
        <v>285</v>
      </c>
      <c r="J18" s="172" t="str">
        <f>IF(COUNTA('1940-V - IFE Turb.'!rng_MonitorFailure_1,'1940-V - IFE Turb.'!rng_MonitorFailure_2,'1940-V - IFE Turb.'!rng_MonitorFailure_3,'1940-V - IFE Turb.'!rng_MonitorFailure_4,'1940-V - IFE Turb.'!rng_MonitorFailure_5)=0,"",IF(H18="X","","X"))</f>
        <v>X</v>
      </c>
    </row>
    <row r="19" spans="1:10" s="142" customFormat="1" ht="27" hidden="1" customHeight="1" x14ac:dyDescent="0.5">
      <c r="A19" s="148" t="s">
        <v>286</v>
      </c>
      <c r="B19" s="1183" t="s">
        <v>294</v>
      </c>
      <c r="C19" s="1183"/>
      <c r="D19" s="1183"/>
      <c r="E19" s="1183"/>
      <c r="F19" s="1183"/>
      <c r="G19" s="150" t="s">
        <v>284</v>
      </c>
      <c r="H19" s="173" t="str">
        <f>IF(COUNTA('1940-V - IFE Turb.'!rng_Grab_Samples_Taken_1,'1940-V - IFE Turb.'!rng_Grab_Samples_Taken_2,'1940-V - IFE Turb.'!rng_Grab_Samples_Taken_3,'1940-V - IFE Turb.'!rng_Grab_Samples_Taken_4,'1940-V - IFE Turb.'!rng_Grab_Samples_Taken_5)=0,"",IF(OR('1940-V - IFE Turb.'!rng_Grab_Samples_Taken_1="Yes",'1940-V - IFE Turb.'!rng_Grab_Samples_Taken_2="Yes",'1940-V - IFE Turb.'!rng_Grab_Samples_Taken_3="Yes",'1940-V - IFE Turb.'!rng_Grab_Samples_Taken_4="Yes",'1940-V - IFE Turb.'!rng_Grab_Samples_Taken_5="Yes"),"X",""))</f>
        <v/>
      </c>
      <c r="I19" s="150" t="s">
        <v>285</v>
      </c>
      <c r="J19" s="173" t="str">
        <f>IF(COUNTA('1940-V - IFE Turb.'!rng_Grab_Samples_Taken_1,'1940-V - IFE Turb.'!rng_Grab_Samples_Taken_2,'1940-V - IFE Turb.'!rng_Grab_Samples_Taken_3,'1940-V - IFE Turb.'!rng_Grab_Samples_Taken_4,'1940-V - IFE Turb.'!rng_Grab_Samples_Taken_5)=0,"",IF(H19="X","","X"))</f>
        <v/>
      </c>
    </row>
    <row r="20" spans="1:10" s="142" customFormat="1" ht="14.1" hidden="1" x14ac:dyDescent="0.4">
      <c r="A20" s="148" t="s">
        <v>288</v>
      </c>
      <c r="B20" s="149" t="s">
        <v>295</v>
      </c>
      <c r="C20" s="149"/>
      <c r="D20" s="149"/>
      <c r="E20" s="149"/>
      <c r="F20" s="149"/>
      <c r="G20" s="147" t="s">
        <v>284</v>
      </c>
      <c r="H20" s="172" t="str">
        <f>IF(COUNTA('1940-V - IFE Turb.'!rng_Resume_Monitoring_Within_14d_1,'1940-V - IFE Turb.'!rng_Resume_Monitoring_Within_14d_2,'1940-V - IFE Turb.'!rng_Resume_Monitoring_Within_14d_3,'1940-V - IFE Turb.'!rng_Resume_Monitoring_Within_14d_4,'1940-V - IFE Turb.'!rng_Resume_Monitoring_Within_14d_5)=0,"",IF(OR('1940-V - IFE Turb.'!rng_Resume_Monitoring_Within_14d_1="Yes",'1940-V - IFE Turb.'!rng_Resume_Monitoring_Within_14d_2="Yes",'1940-V - IFE Turb.'!rng_Resume_Monitoring_Within_14d_3="Yes",'1940-V - IFE Turb.'!rng_Resume_Monitoring_Within_14d_4="Yes",'1940-V - IFE Turb.'!rng_Resume_Monitoring_Within_14d_5="Yes"),"X",""))</f>
        <v/>
      </c>
      <c r="I20" s="147" t="s">
        <v>285</v>
      </c>
      <c r="J20" s="172" t="str">
        <f>IF(COUNTA('1940-V - IFE Turb.'!rng_Resume_Monitoring_Within_14d_1,'1940-V - IFE Turb.'!rng_Resume_Monitoring_Within_14d_2,'1940-V - IFE Turb.'!rng_Resume_Monitoring_Within_14d_3,'1940-V - IFE Turb.'!rng_Resume_Monitoring_Within_14d_4,'1940-V - IFE Turb.'!rng_Resume_Monitoring_Within_14d_5)=0,"",IF(H20="X","","X"))</f>
        <v/>
      </c>
    </row>
    <row r="21" spans="1:10" s="142" customFormat="1" ht="27" hidden="1" customHeight="1" x14ac:dyDescent="0.5">
      <c r="A21" s="148" t="s">
        <v>288</v>
      </c>
      <c r="B21" s="1183" t="s">
        <v>296</v>
      </c>
      <c r="C21" s="1183"/>
      <c r="D21" s="1183"/>
      <c r="E21" s="1183"/>
      <c r="F21" s="1183"/>
      <c r="G21" s="150" t="s">
        <v>284</v>
      </c>
      <c r="H21" s="173" t="str">
        <f>IF(COUNTA('1940-V - IFE Turb.'!rng_Resume_Monitoring_Within_5wd_1,'1940-V - IFE Turb.'!rng_Resume_Monitoring_Within_5wd_2,'1940-V - IFE Turb.'!rng_Resume_Monitoring_Within_5wd_3,'1940-V - IFE Turb.'!rng_Resume_Monitoring_Within_5wd_4,'1940-V - IFE Turb.'!rng_Resume_Monitoring_Within_5wd_5)=0,"",IF(OR('1940-V - IFE Turb.'!rng_Resume_Monitoring_Within_5wd_1="Yes",'1940-V - IFE Turb.'!rng_Resume_Monitoring_Within_5wd_2="Yes",'1940-V - IFE Turb.'!rng_Resume_Monitoring_Within_5wd_3="Yes",'1940-V - IFE Turb.'!rng_Resume_Monitoring_Within_5wd_4="Yes",'1940-V - IFE Turb.'!rng_Resume_Monitoring_Within_5wd_5="Yes"),"X",""))</f>
        <v/>
      </c>
      <c r="I21" s="150" t="s">
        <v>285</v>
      </c>
      <c r="J21" s="173" t="str">
        <f>IF(COUNTA('1940-V - IFE Turb.'!rng_Resume_Monitoring_Within_5wd_1,'1940-V - IFE Turb.'!rng_Resume_Monitoring_Within_5wd_2,'1940-V - IFE Turb.'!rng_Resume_Monitoring_Within_5wd_3,'1940-V - IFE Turb.'!rng_Resume_Monitoring_Within_5wd_4,'1940-V - IFE Turb.'!rng_Resume_Monitoring_Within_5wd_5)=0,"",IF(H21="X","","X"))</f>
        <v/>
      </c>
    </row>
    <row r="22" spans="1:10" s="142" customFormat="1" ht="14.1" x14ac:dyDescent="0.4">
      <c r="A22" s="145" t="s">
        <v>297</v>
      </c>
      <c r="B22" s="144" t="s">
        <v>298</v>
      </c>
      <c r="C22" s="144"/>
      <c r="D22" s="144"/>
      <c r="E22" s="144"/>
      <c r="F22" s="144"/>
      <c r="G22" s="146"/>
      <c r="H22" s="151"/>
      <c r="I22" s="146"/>
      <c r="J22" s="151"/>
    </row>
    <row r="23" spans="1:10" s="142" customFormat="1" ht="14.1" x14ac:dyDescent="0.4">
      <c r="A23" s="143"/>
      <c r="B23" s="144" t="s">
        <v>299</v>
      </c>
      <c r="C23" s="144"/>
      <c r="D23" s="146"/>
      <c r="E23" s="146"/>
      <c r="F23" s="146"/>
      <c r="G23" s="147" t="s">
        <v>284</v>
      </c>
      <c r="H23" s="172" t="str">
        <f>IF(COUNTA('1940-V - IFE Turb.'!rng_Turb_Above_1_0_Within_Month_1,'1940-V - IFE Turb.'!rng_Turb_Above_1_0_Within_Month_2,'1940-V - IFE Turb.'!rng_Turb_Above_1_0_Within_Month_3,'1940-V - IFE Turb.'!rng_Turb_Above_1_0_Within_Month_4,'1940-V - IFE Turb.'!rng_Turb_Above_1_0_Within_Month_5)=0,"",IF(OR('1940-V - IFE Turb.'!rng_Turb_Above_1_0_Within_Month_1="Yes",'1940-V - IFE Turb.'!rng_Turb_Above_1_0_Within_Month_2="Yes",'1940-V - IFE Turb.'!rng_Turb_Above_1_0_Within_Month_3="Yes",'1940-V - IFE Turb.'!rng_Turb_Above_1_0_Within_Month_4="Yes",'1940-V - IFE Turb.'!rng_Turb_Above_1_0_Within_Month_5="Yes"),"X",""))</f>
        <v/>
      </c>
      <c r="I23" s="147" t="s">
        <v>285</v>
      </c>
      <c r="J23" s="172" t="str">
        <f>IF(COUNTA('1940-V - IFE Turb.'!rng_Turb_Above_1_0_Within_Month_1,'1940-V - IFE Turb.'!rng_Turb_Above_1_0_Within_Month_2,'1940-V - IFE Turb.'!rng_Turb_Above_1_0_Within_Month_3,'1940-V - IFE Turb.'!rng_Turb_Above_1_0_Within_Month_4,'1940-V - IFE Turb.'!rng_Turb_Above_1_0_Within_Month_5)=0,"",IF(H23="X","","X"))</f>
        <v>X</v>
      </c>
    </row>
    <row r="24" spans="1:10" s="142" customFormat="1" ht="14.1" x14ac:dyDescent="0.4">
      <c r="A24" s="145" t="s">
        <v>300</v>
      </c>
      <c r="B24" s="144" t="s">
        <v>301</v>
      </c>
      <c r="C24" s="144"/>
      <c r="D24" s="144"/>
      <c r="E24" s="144"/>
      <c r="F24" s="144"/>
      <c r="G24" s="146"/>
      <c r="H24" s="151"/>
      <c r="I24" s="146"/>
      <c r="J24" s="151"/>
    </row>
    <row r="25" spans="1:10" s="142" customFormat="1" ht="14.1" x14ac:dyDescent="0.4">
      <c r="A25" s="143"/>
      <c r="B25" s="144" t="s">
        <v>302</v>
      </c>
      <c r="C25" s="144"/>
      <c r="D25" s="144"/>
      <c r="E25" s="144"/>
      <c r="F25" s="144"/>
      <c r="G25" s="144"/>
      <c r="H25" s="151"/>
      <c r="I25" s="151"/>
      <c r="J25" s="151"/>
    </row>
    <row r="26" spans="1:10" s="142" customFormat="1" ht="14.1" x14ac:dyDescent="0.4">
      <c r="A26" s="143"/>
      <c r="B26" s="144" t="s">
        <v>303</v>
      </c>
      <c r="C26" s="144"/>
      <c r="D26" s="144"/>
      <c r="E26" s="146"/>
      <c r="F26" s="146"/>
      <c r="G26" s="147" t="s">
        <v>284</v>
      </c>
      <c r="H26" s="172" t="str">
        <f>IF(COUNTA('1940-V - IFE Turb.'!rng_Turb_Above_0_5_Within_Month_1,'1940-V - IFE Turb.'!rng_Turb_Above_0_5_Within_Month_2,'1940-V - IFE Turb.'!rng_Turb_Above_0_5_Within_Month_3,'1940-V - IFE Turb.'!rng_Turb_Above_0_5_Within_Month_4,'1940-V - IFE Turb.'!rng_Turb_Above_0_5_Within_Month_5)=0,"",IF(OR('1940-V - IFE Turb.'!rng_Turb_Above_0_5_Within_Month_1="Yes",'1940-V - IFE Turb.'!rng_Turb_Above_0_5_Within_Month_2="Yes",'1940-V - IFE Turb.'!rng_Turb_Above_0_5_Within_Month_3="Yes",'1940-V - IFE Turb.'!rng_Turb_Above_0_5_Within_Month_4="Yes",'1940-V - IFE Turb.'!rng_Turb_Above_0_5_Within_Month_5="Yes"),"X",""))</f>
        <v/>
      </c>
      <c r="I26" s="147" t="s">
        <v>285</v>
      </c>
      <c r="J26" s="172" t="str">
        <f>IF(COUNTA('1940-V - IFE Turb.'!rng_Turb_Above_0_5_Within_Month_1,'1940-V - IFE Turb.'!rng_Turb_Above_0_5_Within_Month_2,'1940-V - IFE Turb.'!rng_Turb_Above_0_5_Within_Month_3,'1940-V - IFE Turb.'!rng_Turb_Above_0_5_Within_Month_4,'1940-V - IFE Turb.'!rng_Turb_Above_0_5_Within_Month_5)=0,"",IF(H26="X","","X"))</f>
        <v>X</v>
      </c>
    </row>
    <row r="27" spans="1:10" s="142" customFormat="1" ht="14.1" x14ac:dyDescent="0.4">
      <c r="A27" s="145" t="s">
        <v>304</v>
      </c>
      <c r="B27" s="144" t="s">
        <v>298</v>
      </c>
      <c r="C27" s="144"/>
      <c r="D27" s="144"/>
      <c r="E27" s="144"/>
      <c r="F27" s="144"/>
      <c r="G27" s="146"/>
      <c r="H27" s="151"/>
      <c r="I27" s="146"/>
      <c r="J27" s="151"/>
    </row>
    <row r="28" spans="1:10" s="142" customFormat="1" ht="14.1" x14ac:dyDescent="0.4">
      <c r="A28" s="143"/>
      <c r="B28" s="144" t="s">
        <v>305</v>
      </c>
      <c r="C28" s="144"/>
      <c r="D28" s="144"/>
      <c r="E28" s="144"/>
      <c r="F28" s="146"/>
      <c r="G28" s="147" t="s">
        <v>284</v>
      </c>
      <c r="H28" s="172" t="str">
        <f>IF(COUNTA('1940-V - IFE Turb.'!rng_Turb_Above_1_0_Within_3_Months_1,'1940-V - IFE Turb.'!rng_Turb_Above_1_0_Within_3_Months_2,'1940-V - IFE Turb.'!rng_Turb_Above_1_0_Within_3_Months_3,'1940-V - IFE Turb.'!rng_Turb_Above_1_0_Within_3_Months_4,'1940-V - IFE Turb.'!rng_Turb_Above_1_0_Within_3_Months_5)=0,"",IF(OR('1940-V - IFE Turb.'!rng_Turb_Above_1_0_Within_3_Months_1="Yes",'1940-V - IFE Turb.'!rng_Turb_Above_1_0_Within_3_Months_2="Yes",'1940-V - IFE Turb.'!rng_Turb_Above_1_0_Within_3_Months_3="Yes",'1940-V - IFE Turb.'!rng_Turb_Above_1_0_Within_3_Months_4="Yes",'1940-V - IFE Turb.'!rng_Turb_Above_1_0_Within_3_Months_5="Yes"),"X",""))</f>
        <v/>
      </c>
      <c r="I28" s="147" t="s">
        <v>285</v>
      </c>
      <c r="J28" s="172" t="str">
        <f>IF(COUNTA('1940-V - IFE Turb.'!rng_Turb_Above_1_0_Within_3_Months_1,'1940-V - IFE Turb.'!rng_Turb_Above_1_0_Within_3_Months_2,'1940-V - IFE Turb.'!rng_Turb_Above_1_0_Within_3_Months_3,'1940-V - IFE Turb.'!rng_Turb_Above_1_0_Within_3_Months_4,'1940-V - IFE Turb.'!rng_Turb_Above_1_0_Within_3_Months_5)=0,"",IF(H28="X","","X"))</f>
        <v>X</v>
      </c>
    </row>
    <row r="29" spans="1:10" s="142" customFormat="1" ht="14.1" x14ac:dyDescent="0.4">
      <c r="A29" s="145" t="s">
        <v>306</v>
      </c>
      <c r="B29" s="144" t="s">
        <v>307</v>
      </c>
      <c r="C29" s="144"/>
      <c r="D29" s="144"/>
      <c r="E29" s="144"/>
      <c r="F29" s="144"/>
      <c r="G29" s="151"/>
      <c r="H29" s="151"/>
      <c r="I29" s="151"/>
      <c r="J29" s="151"/>
    </row>
    <row r="30" spans="1:10" s="142" customFormat="1" ht="14.1" x14ac:dyDescent="0.4">
      <c r="A30" s="143"/>
      <c r="B30" s="144" t="s">
        <v>308</v>
      </c>
      <c r="C30" s="144"/>
      <c r="D30" s="144"/>
      <c r="E30" s="146"/>
      <c r="F30" s="146"/>
      <c r="G30" s="147" t="s">
        <v>284</v>
      </c>
      <c r="H30" s="172" t="str">
        <f>IF(COUNTA('1940-V - IFE Turb.'!rng_Turb_Above_2_0_Within_3_Months_1,'1940-V - IFE Turb.'!rng_Turb_Above_2_0_Within_3_Months_2,'1940-V - IFE Turb.'!rng_Turb_Above_2_0_Within_3_Months_3,'1940-V - IFE Turb.'!rng_Turb_Above_2_0_Within_3_Months_4,'1940-V - IFE Turb.'!rng_Turb_Above_2_0_Within_3_Months_5)=0,"",IF(OR('1940-V - IFE Turb.'!rng_Turb_Above_2_0_Within_3_Months_1="Yes",'1940-V - IFE Turb.'!rng_Turb_Above_2_0_Within_3_Months_2="Yes",'1940-V - IFE Turb.'!rng_Turb_Above_2_0_Within_3_Months_3="Yes",'1940-V - IFE Turb.'!rng_Turb_Above_2_0_Within_3_Months_4="Yes",'1940-V - IFE Turb.'!rng_Turb_Above_2_0_Within_3_Months_5="Yes"),"X",""))</f>
        <v/>
      </c>
      <c r="I30" s="147" t="s">
        <v>285</v>
      </c>
      <c r="J30" s="172" t="str">
        <f>IF(COUNTA('1940-V - IFE Turb.'!rng_Turb_Above_2_0_Within_3_Months_1,'1940-V - IFE Turb.'!rng_Turb_Above_2_0_Within_3_Months_2,'1940-V - IFE Turb.'!rng_Turb_Above_2_0_Within_3_Months_3,'1940-V - IFE Turb.'!rng_Turb_Above_2_0_Within_3_Months_4,'1940-V - IFE Turb.'!rng_Turb_Above_2_0_Within_3_Months_5)=0,"",IF(H30="X","","X"))</f>
        <v>X</v>
      </c>
    </row>
    <row r="31" spans="1:10" ht="7.5" customHeight="1" x14ac:dyDescent="0.5">
      <c r="B31" s="125"/>
      <c r="F31" s="125"/>
      <c r="H31" s="124"/>
    </row>
    <row r="32" spans="1:10" ht="17.25" customHeight="1" x14ac:dyDescent="0.45">
      <c r="A32" s="130" t="s">
        <v>309</v>
      </c>
      <c r="B32" s="130"/>
      <c r="C32" s="130"/>
      <c r="D32" s="130"/>
      <c r="E32" s="130"/>
      <c r="F32" s="134"/>
      <c r="G32" s="134"/>
      <c r="H32" s="134"/>
      <c r="I32" s="134"/>
      <c r="J32" s="138"/>
    </row>
    <row r="33" spans="1:10" ht="14.1" x14ac:dyDescent="0.5">
      <c r="A33" s="139" t="s">
        <v>310</v>
      </c>
      <c r="B33" s="139"/>
      <c r="D33" s="174" t="str">
        <f>IF(OR(LEN(FormWaterSysName)=0,LEN('1940-IV - EP DI'!rng_DisinfectantUsed)=0),"",'1940-IV - EP DI'!rng_DisinfectantUsed)</f>
        <v>Chlorine</v>
      </c>
      <c r="F33" s="126" t="s">
        <v>311</v>
      </c>
      <c r="G33" s="126"/>
      <c r="H33" s="126"/>
      <c r="I33" s="140"/>
      <c r="J33" s="175">
        <f>IF(SUM('1940-IV - EP DI'!rng_EPRD_NumSampReqd)= 0,"",SUM('1940-IV - EP DI'!rng_EPRD_NumSampReqd))</f>
        <v>186</v>
      </c>
    </row>
    <row r="34" spans="1:10" ht="14.1" x14ac:dyDescent="0.5">
      <c r="A34" s="139" t="s">
        <v>312</v>
      </c>
      <c r="B34" s="139"/>
      <c r="C34" s="139"/>
      <c r="D34" s="712">
        <f>IF(SUM('1940-IV - EP DI'!rng_EPRD_MINIMUM)= 0,"",MIN('1940-IV - EP DI'!rng_EPRD_MINIMUM))</f>
        <v>1.8</v>
      </c>
      <c r="F34" s="126" t="s">
        <v>313</v>
      </c>
      <c r="G34" s="126"/>
      <c r="H34" s="126"/>
      <c r="I34" s="140"/>
      <c r="J34" s="175">
        <f>IF(SUM('1940-IV - EP DI'!rng_EPRD_NumSampTaken)= 0,"",SUM('1940-IV - EP DI'!rng_EPRD_NumSampTaken))</f>
        <v>186</v>
      </c>
    </row>
    <row r="35" spans="1:10" ht="7.5" customHeight="1" x14ac:dyDescent="0.5">
      <c r="F35" s="139"/>
    </row>
    <row r="36" spans="1:10" s="152" customFormat="1" ht="17.25" customHeight="1" x14ac:dyDescent="0.45">
      <c r="A36" s="130" t="s">
        <v>314</v>
      </c>
      <c r="B36" s="130"/>
      <c r="C36" s="130"/>
      <c r="D36" s="130"/>
      <c r="E36" s="130"/>
      <c r="F36" s="153"/>
      <c r="G36" s="153"/>
      <c r="H36" s="153"/>
      <c r="I36" s="153"/>
      <c r="J36" s="154"/>
    </row>
    <row r="37" spans="1:10" ht="14.1" x14ac:dyDescent="0.5">
      <c r="A37" s="139" t="str">
        <f>"Number of samples under " &amp; TEXT(limit_DistResDisinfConc_in_mg_per_L,"0.000") &amp; " mg/L (without any detectable) excluding where HPC is ≤ " &amp; limit_HPC_in_mL &amp; "/mL"</f>
        <v>Number of samples under 0.010 mg/L (without any detectable) excluding where HPC is ≤ 500/mL</v>
      </c>
      <c r="B37" s="125"/>
      <c r="C37" s="125"/>
      <c r="D37" s="125"/>
      <c r="E37" s="125"/>
      <c r="F37" s="125"/>
      <c r="G37" s="125"/>
      <c r="H37" s="125"/>
      <c r="J37" s="175">
        <f>IF(LEN(FormWaterSysName)=0,"",rng_DistResDisinfConc_metric_1)</f>
        <v>0</v>
      </c>
    </row>
    <row r="38" spans="1:10" ht="7.5" customHeight="1" x14ac:dyDescent="0.4"/>
    <row r="39" spans="1:10" ht="17.25" customHeight="1" x14ac:dyDescent="0.45">
      <c r="A39" s="130" t="s">
        <v>315</v>
      </c>
      <c r="B39" s="130"/>
      <c r="C39" s="130"/>
      <c r="D39" s="134"/>
      <c r="E39" s="134"/>
      <c r="F39" s="134"/>
      <c r="G39" s="134"/>
      <c r="H39" s="134"/>
      <c r="I39" s="134"/>
      <c r="J39" s="138"/>
    </row>
    <row r="40" spans="1:10" ht="14.1" x14ac:dyDescent="0.5">
      <c r="A40" s="139" t="s">
        <v>316</v>
      </c>
      <c r="B40" s="139"/>
      <c r="C40" s="139"/>
      <c r="D40" s="176">
        <f>IF(SUM('1940-II - Phy. &amp; Chem.'!rng_CTCalc)= 0,"",MIN('1940-II - Phy. &amp; Chem.'!rng_CTCalc_MINIMUM))</f>
        <v>1.2327443451668252</v>
      </c>
      <c r="F40" s="126" t="s">
        <v>317</v>
      </c>
      <c r="G40" s="126"/>
      <c r="H40" s="126"/>
      <c r="I40" s="140"/>
      <c r="J40" s="177">
        <f>IF(COUNT([0]!rng_Hours_PlantOp)= 0,"",COUNT([0]!rng_Hours_PlantOp)-rng_Hours_PlantOp_0_Entries)</f>
        <v>31</v>
      </c>
    </row>
    <row r="41" spans="1:10" ht="14.1" x14ac:dyDescent="0.5">
      <c r="A41" s="139" t="s">
        <v>318</v>
      </c>
      <c r="B41" s="139"/>
      <c r="C41" s="139"/>
      <c r="D41" s="177">
        <f>IF(COUNT([0]!rng_Hours_PlantOp)= 0,"",SUM('1940-II - Phy. &amp; Chem.'!rng_CT_CntLessThan_1.0))</f>
        <v>0</v>
      </c>
      <c r="F41" s="126" t="s">
        <v>319</v>
      </c>
      <c r="G41" s="126"/>
      <c r="H41" s="126"/>
      <c r="I41" s="126"/>
      <c r="J41" s="177">
        <f>IF(COUNT('1940-II - Phy. &amp; Chem.'!rng_CTCalc)= 0,"",COUNT('1940-II - Phy. &amp; Chem.'!rng_CTCalc))</f>
        <v>31</v>
      </c>
    </row>
    <row r="42" spans="1:10" ht="7.5" customHeight="1" x14ac:dyDescent="0.5">
      <c r="A42" s="125"/>
    </row>
    <row r="43" spans="1:10" ht="21" customHeight="1" x14ac:dyDescent="0.45">
      <c r="A43" s="701" t="s">
        <v>710</v>
      </c>
      <c r="B43" s="702"/>
      <c r="C43" s="702"/>
      <c r="D43" s="703"/>
      <c r="E43" s="703"/>
      <c r="F43" s="703"/>
      <c r="G43" s="703"/>
      <c r="H43" s="703"/>
      <c r="I43" s="703"/>
      <c r="J43" s="704"/>
    </row>
    <row r="44" spans="1:10" x14ac:dyDescent="0.4">
      <c r="A44" s="1187" t="str">
        <f>IF(AND(LEN('General Info'!A36)=0,LEN('General Info'!A47)=0),"",IF(AND(LEN('General Info'!A36)&gt;0,LEN('General Info'!A47)&gt;0),"PLANT OPS: "&amp;'General Info'!A36&amp;"   •••   DISTRIBUTION:  "&amp;'General Info'!A47,IF(AND(LEN('General Info'!A36)&gt;0,LEN('General Info'!A47)=0),"PLANT OPS: "&amp;'General Info'!A36,IF(AND(LEN('General Info'!A36)=0,LEN('General Info'!A47)&gt;0),"DISTRIBUTION: "&amp;'General Info'!A47,""))))</f>
        <v/>
      </c>
      <c r="B44" s="1187"/>
      <c r="C44" s="1187"/>
      <c r="D44" s="1187"/>
      <c r="E44" s="1187"/>
      <c r="F44" s="1187"/>
      <c r="G44" s="1187"/>
      <c r="H44" s="1187"/>
      <c r="I44" s="1187"/>
      <c r="J44" s="1187"/>
    </row>
    <row r="45" spans="1:10" ht="7.5" customHeight="1" x14ac:dyDescent="0.4">
      <c r="A45" s="1188"/>
      <c r="B45" s="1188"/>
      <c r="C45" s="1188"/>
      <c r="D45" s="1188"/>
      <c r="E45" s="1188"/>
      <c r="F45" s="1188"/>
      <c r="G45" s="1188"/>
      <c r="H45" s="1188"/>
      <c r="I45" s="1188"/>
      <c r="J45" s="1188"/>
    </row>
    <row r="46" spans="1:10" ht="17.25" customHeight="1" x14ac:dyDescent="0.4">
      <c r="A46" s="1188"/>
      <c r="B46" s="1188"/>
      <c r="C46" s="1188"/>
      <c r="D46" s="1188"/>
      <c r="E46" s="1188"/>
      <c r="F46" s="1188"/>
      <c r="G46" s="1188"/>
      <c r="H46" s="1188"/>
      <c r="I46" s="1188"/>
      <c r="J46" s="1188"/>
    </row>
    <row r="47" spans="1:10" x14ac:dyDescent="0.4">
      <c r="A47" s="1188"/>
      <c r="B47" s="1188"/>
      <c r="C47" s="1188"/>
      <c r="D47" s="1188"/>
      <c r="E47" s="1188"/>
      <c r="F47" s="1188"/>
      <c r="G47" s="1188"/>
      <c r="H47" s="1188"/>
      <c r="I47" s="1188"/>
      <c r="J47" s="1188"/>
    </row>
    <row r="48" spans="1:10" ht="7.5" customHeight="1" x14ac:dyDescent="0.4">
      <c r="A48" s="1188"/>
      <c r="B48" s="1188"/>
      <c r="C48" s="1188"/>
      <c r="D48" s="1188"/>
      <c r="E48" s="1188"/>
      <c r="F48" s="1188"/>
      <c r="G48" s="1188"/>
      <c r="H48" s="1188"/>
      <c r="I48" s="1188"/>
      <c r="J48" s="1188"/>
    </row>
    <row r="49" spans="1:10" ht="17.25" customHeight="1" x14ac:dyDescent="0.4">
      <c r="A49" s="1188"/>
      <c r="B49" s="1188"/>
      <c r="C49" s="1188"/>
      <c r="D49" s="1188"/>
      <c r="E49" s="1188"/>
      <c r="F49" s="1188"/>
      <c r="G49" s="1188"/>
      <c r="H49" s="1188"/>
      <c r="I49" s="1188"/>
      <c r="J49" s="1188"/>
    </row>
    <row r="50" spans="1:10" x14ac:dyDescent="0.4">
      <c r="A50" s="1188"/>
      <c r="B50" s="1188"/>
      <c r="C50" s="1188"/>
      <c r="D50" s="1188"/>
      <c r="E50" s="1188"/>
      <c r="F50" s="1188"/>
      <c r="G50" s="1188"/>
      <c r="H50" s="1188"/>
      <c r="I50" s="1188"/>
      <c r="J50" s="1188"/>
    </row>
    <row r="51" spans="1:10" ht="7.5" customHeight="1" x14ac:dyDescent="0.4">
      <c r="A51" s="1189"/>
      <c r="B51" s="1189"/>
      <c r="C51" s="1189"/>
      <c r="D51" s="1189"/>
      <c r="E51" s="1189"/>
      <c r="F51" s="1189"/>
      <c r="G51" s="1189"/>
      <c r="H51" s="1189"/>
      <c r="I51" s="1189"/>
      <c r="J51" s="1189"/>
    </row>
    <row r="52" spans="1:10" ht="38.25" customHeight="1" x14ac:dyDescent="0.4">
      <c r="A52" s="705"/>
      <c r="B52" s="1184" t="str">
        <f>FormCertificationText</f>
        <v>By checking this box, the ORC certifies that the requirements of 15A NCAC 18C .1301 "General Requirements",  .1302 "Tests, Forms, and Reporting", and .1303 "Facility Oversight" have been met for the month of March, 2019 and that records documenting compliance with this rule are maintained on the premises and available for inspection upon request.</v>
      </c>
      <c r="C52" s="1184"/>
      <c r="D52" s="1184"/>
      <c r="E52" s="1184"/>
      <c r="F52" s="1184"/>
      <c r="G52" s="1184"/>
      <c r="H52" s="1184"/>
      <c r="I52" s="1184"/>
      <c r="J52" s="1184"/>
    </row>
    <row r="53" spans="1:10" s="2" customFormat="1" ht="6" customHeight="1" x14ac:dyDescent="0.35">
      <c r="I53" s="3"/>
      <c r="J53" s="155"/>
    </row>
    <row r="54" spans="1:10" s="2" customFormat="1" ht="10.15" customHeight="1" x14ac:dyDescent="0.35">
      <c r="A54" s="2" t="s">
        <v>67</v>
      </c>
      <c r="D54" s="156" t="s">
        <v>69</v>
      </c>
      <c r="E54" s="156"/>
      <c r="F54" s="178" t="str">
        <f>IF(LEN(ORC)=0,"",ORC)</f>
        <v/>
      </c>
      <c r="G54" s="157"/>
      <c r="H54" s="157"/>
      <c r="I54" s="157"/>
      <c r="J54" s="158"/>
    </row>
    <row r="55" spans="1:10" s="2" customFormat="1" ht="10.15" customHeight="1" x14ac:dyDescent="0.35">
      <c r="A55" s="2" t="s">
        <v>27</v>
      </c>
      <c r="D55" s="156"/>
    </row>
    <row r="56" spans="1:10" s="2" customFormat="1" ht="10.15" customHeight="1" x14ac:dyDescent="0.35">
      <c r="A56" s="2" t="str">
        <f>Version_complete</f>
        <v>Version: V02.11-01</v>
      </c>
      <c r="D56" s="156" t="s">
        <v>70</v>
      </c>
      <c r="E56" s="156"/>
      <c r="F56" s="179" t="str">
        <f>IF(LEN(CertificateGrade)=0,"",CertificateGrade)</f>
        <v>A</v>
      </c>
      <c r="G56" s="159"/>
      <c r="H56" s="159"/>
      <c r="I56" s="160" t="s">
        <v>157</v>
      </c>
      <c r="J56" s="179" t="str">
        <f>IF(LEN(CertificateNumber)=0,"",CertificateNumber)</f>
        <v>975930</v>
      </c>
    </row>
  </sheetData>
  <sheetProtection algorithmName="SHA-512" hashValue="uXWyG7Q+aCZH3l6a+dZJ4eR+w+1HLjgjhdAN7hHEQGMgBcK91OKHi0C4kcrwB0s5Pu5RM5AB0JUZaYxxCgJQjQ==" saltValue="wTv0oG8bs859t0djNESZXA==" spinCount="100000" sheet="1" objects="1" scenarios="1"/>
  <mergeCells count="7">
    <mergeCell ref="B21:F21"/>
    <mergeCell ref="B52:J52"/>
    <mergeCell ref="A1:J1"/>
    <mergeCell ref="A2:J2"/>
    <mergeCell ref="B16:F16"/>
    <mergeCell ref="B19:F19"/>
    <mergeCell ref="A44:J51"/>
  </mergeCells>
  <phoneticPr fontId="40" type="noConversion"/>
  <conditionalFormatting sqref="J41">
    <cfRule type="expression" dxfId="24" priority="1" stopIfTrue="1">
      <formula>(J41&lt;J40)</formula>
    </cfRule>
  </conditionalFormatting>
  <conditionalFormatting sqref="D41">
    <cfRule type="expression" dxfId="23" priority="2" stopIfTrue="1">
      <formula>AND(LEN(D41),D41&gt;0)</formula>
    </cfRule>
  </conditionalFormatting>
  <conditionalFormatting sqref="J9">
    <cfRule type="expression" dxfId="22" priority="3" stopIfTrue="1">
      <formula>(rng_CFE_NumSampTaken&lt;rng_CFE_NumSampReqd)</formula>
    </cfRule>
  </conditionalFormatting>
  <conditionalFormatting sqref="J34">
    <cfRule type="expression" dxfId="21" priority="4" stopIfTrue="1">
      <formula>(rng_EPRD_NumSampTaken&lt;rng_EPRD_NumSampReqd)</formula>
    </cfRule>
  </conditionalFormatting>
  <conditionalFormatting sqref="J37">
    <cfRule type="expression" dxfId="20" priority="5" stopIfTrue="1">
      <formula>(rng_DistResDisinfConc_metric_1&gt;0)</formula>
    </cfRule>
  </conditionalFormatting>
  <printOptions horizontalCentered="1" verticalCentered="1"/>
  <pageMargins left="0.25" right="0.25" top="0.25" bottom="0.25" header="0.13" footer="0.13"/>
  <pageSetup orientation="portrait" r:id="rId1"/>
  <headerFooter alignWithMargins="0"/>
  <customProperties>
    <customPr name="SheetID" r:id="rId2"/>
  </customProperties>
  <drawing r:id="rId3"/>
  <legacyDrawing r:id="rId4"/>
  <controls>
    <mc:AlternateContent xmlns:mc="http://schemas.openxmlformats.org/markup-compatibility/2006">
      <mc:Choice Requires="x14">
        <control shapeId="108545" r:id="rId5" name="chkAcknowlegement_summary">
          <controlPr defaultSize="0" disabled="1" autoFill="0" autoLine="0" autoPict="0" r:id="rId6">
            <anchor moveWithCells="1">
              <from>
                <xdr:col>0</xdr:col>
                <xdr:colOff>190500</xdr:colOff>
                <xdr:row>51</xdr:row>
                <xdr:rowOff>19050</xdr:rowOff>
              </from>
              <to>
                <xdr:col>0</xdr:col>
                <xdr:colOff>449580</xdr:colOff>
                <xdr:row>51</xdr:row>
                <xdr:rowOff>266700</xdr:rowOff>
              </to>
            </anchor>
          </controlPr>
        </control>
      </mc:Choice>
      <mc:Fallback>
        <control shapeId="108545" r:id="rId5" name="chkAcknowlegement_summary"/>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DropDownLists">
    <pageSetUpPr autoPageBreaks="0" fitToPage="1"/>
  </sheetPr>
  <dimension ref="A1:AU46"/>
  <sheetViews>
    <sheetView showGridLines="0" workbookViewId="0"/>
  </sheetViews>
  <sheetFormatPr defaultColWidth="8.83203125" defaultRowHeight="12.3" x14ac:dyDescent="0.4"/>
  <cols>
    <col min="1" max="1" width="19.5546875" style="677" customWidth="1"/>
    <col min="2" max="2" width="20.1640625" style="681" customWidth="1"/>
    <col min="3" max="3" width="19.1640625" style="335" customWidth="1"/>
    <col min="4" max="4" width="10.71875" style="682" customWidth="1"/>
    <col min="5" max="5" width="30.1640625" style="335" customWidth="1"/>
    <col min="6" max="6" width="10.71875" style="682" customWidth="1"/>
    <col min="7" max="7" width="26.1640625" style="335" customWidth="1"/>
    <col min="8" max="8" width="10.71875" style="682" customWidth="1"/>
    <col min="9" max="9" width="24.71875" style="335" customWidth="1"/>
    <col min="10" max="10" width="10.71875" style="682" customWidth="1"/>
    <col min="11" max="11" width="24.71875" style="335" customWidth="1"/>
    <col min="12" max="12" width="10.71875" style="682" customWidth="1"/>
    <col min="13" max="13" width="24.71875" style="335" customWidth="1"/>
    <col min="14" max="14" width="10.71875" style="682" customWidth="1"/>
    <col min="15" max="15" width="24.71875" style="335" customWidth="1"/>
    <col min="16" max="16" width="10.71875" style="682" customWidth="1"/>
    <col min="17" max="17" width="24.71875" style="335" customWidth="1"/>
    <col min="18" max="18" width="10.71875" style="682" customWidth="1"/>
    <col min="19" max="19" width="30.83203125" style="335" customWidth="1"/>
    <col min="20" max="20" width="10.71875" style="682" customWidth="1"/>
    <col min="21" max="21" width="30.83203125" style="335" customWidth="1"/>
    <col min="22" max="22" width="10.71875" style="682" customWidth="1"/>
    <col min="23" max="23" width="24.71875" style="335" customWidth="1"/>
    <col min="24" max="24" width="22.27734375" style="335" customWidth="1"/>
    <col min="25" max="25" width="26" style="335" customWidth="1"/>
    <col min="26" max="26" width="24.71875" style="335" customWidth="1"/>
    <col min="27" max="27" width="20" style="335" customWidth="1"/>
    <col min="28" max="28" width="10.71875" style="682" customWidth="1"/>
    <col min="29" max="29" width="20.27734375" style="335" customWidth="1"/>
    <col min="30" max="31" width="28.1640625" style="335" customWidth="1"/>
    <col min="32" max="32" width="8.27734375" style="335" customWidth="1"/>
    <col min="33" max="33" width="22.83203125" style="335" customWidth="1"/>
    <col min="34" max="34" width="20.1640625" style="335" customWidth="1"/>
    <col min="35" max="36" width="8.27734375" style="335" customWidth="1"/>
    <col min="37" max="37" width="19.1640625" style="335" customWidth="1"/>
    <col min="38" max="38" width="10.71875" style="682" customWidth="1"/>
    <col min="39" max="39" width="19.5546875" style="335" customWidth="1"/>
    <col min="40" max="40" width="20.27734375" style="682" customWidth="1"/>
    <col min="41" max="41" width="19.5546875" style="335" customWidth="1"/>
    <col min="42" max="42" width="20.27734375" style="682" customWidth="1"/>
    <col min="43" max="43" width="19.5546875" style="335" customWidth="1"/>
    <col min="44" max="44" width="13.27734375" style="682" customWidth="1"/>
    <col min="45" max="46" width="19.5546875" style="335" customWidth="1"/>
    <col min="47" max="47" width="13.71875" style="335" customWidth="1"/>
    <col min="48" max="16384" width="8.83203125" style="335"/>
  </cols>
  <sheetData>
    <row r="1" spans="1:47" x14ac:dyDescent="0.4">
      <c r="A1" s="677" t="s">
        <v>320</v>
      </c>
      <c r="B1" s="678" t="s">
        <v>321</v>
      </c>
      <c r="C1" s="335" t="s">
        <v>322</v>
      </c>
      <c r="D1" s="678" t="s">
        <v>323</v>
      </c>
      <c r="E1" s="679" t="s">
        <v>324</v>
      </c>
      <c r="F1" s="678" t="s">
        <v>323</v>
      </c>
      <c r="G1" s="335" t="s">
        <v>325</v>
      </c>
      <c r="H1" s="678" t="s">
        <v>323</v>
      </c>
      <c r="I1" s="335" t="s">
        <v>326</v>
      </c>
      <c r="J1" s="678" t="s">
        <v>323</v>
      </c>
      <c r="K1" s="335" t="s">
        <v>327</v>
      </c>
      <c r="L1" s="678" t="s">
        <v>323</v>
      </c>
      <c r="M1" s="335" t="s">
        <v>328</v>
      </c>
      <c r="N1" s="678" t="s">
        <v>323</v>
      </c>
      <c r="O1" s="335" t="s">
        <v>329</v>
      </c>
      <c r="P1" s="678" t="s">
        <v>323</v>
      </c>
      <c r="Q1" s="335" t="s">
        <v>330</v>
      </c>
      <c r="R1" s="678" t="s">
        <v>323</v>
      </c>
      <c r="S1" s="335" t="s">
        <v>331</v>
      </c>
      <c r="T1" s="678" t="s">
        <v>323</v>
      </c>
      <c r="U1" s="335" t="s">
        <v>332</v>
      </c>
      <c r="V1" s="678" t="s">
        <v>323</v>
      </c>
      <c r="W1" s="335" t="s">
        <v>333</v>
      </c>
      <c r="X1" s="335" t="s">
        <v>334</v>
      </c>
      <c r="Y1" s="335" t="s">
        <v>335</v>
      </c>
      <c r="Z1" s="335" t="s">
        <v>336</v>
      </c>
      <c r="AA1" s="335" t="s">
        <v>337</v>
      </c>
      <c r="AB1" s="678" t="s">
        <v>323</v>
      </c>
      <c r="AC1" s="335" t="s">
        <v>338</v>
      </c>
      <c r="AD1" s="335" t="s">
        <v>339</v>
      </c>
      <c r="AE1" s="335" t="s">
        <v>339</v>
      </c>
      <c r="AF1" s="335" t="s">
        <v>340</v>
      </c>
      <c r="AG1" s="335" t="s">
        <v>341</v>
      </c>
      <c r="AH1" s="335" t="s">
        <v>215</v>
      </c>
      <c r="AI1" s="335" t="s">
        <v>342</v>
      </c>
      <c r="AJ1" s="335" t="s">
        <v>343</v>
      </c>
      <c r="AK1" s="335" t="s">
        <v>245</v>
      </c>
      <c r="AL1" s="678" t="s">
        <v>323</v>
      </c>
      <c r="AM1" s="680" t="s">
        <v>344</v>
      </c>
      <c r="AN1" s="678" t="s">
        <v>345</v>
      </c>
      <c r="AO1" s="680" t="s">
        <v>346</v>
      </c>
      <c r="AP1" s="678" t="s">
        <v>345</v>
      </c>
      <c r="AQ1" s="680" t="s">
        <v>347</v>
      </c>
      <c r="AR1" s="678" t="s">
        <v>348</v>
      </c>
      <c r="AS1" s="680" t="s">
        <v>349</v>
      </c>
      <c r="AT1" s="680" t="s">
        <v>350</v>
      </c>
      <c r="AU1" s="680" t="s">
        <v>351</v>
      </c>
    </row>
    <row r="2" spans="1:47" ht="14.7" x14ac:dyDescent="0.6">
      <c r="A2" s="677">
        <v>43525</v>
      </c>
      <c r="B2" s="681">
        <v>1</v>
      </c>
      <c r="C2" s="335" t="s">
        <v>352</v>
      </c>
      <c r="D2" s="682">
        <v>1</v>
      </c>
      <c r="E2" s="335" t="s">
        <v>353</v>
      </c>
      <c r="F2" s="682">
        <v>2</v>
      </c>
      <c r="G2" s="335" t="s">
        <v>354</v>
      </c>
      <c r="H2" s="682">
        <v>21</v>
      </c>
      <c r="I2" s="335" t="s">
        <v>355</v>
      </c>
      <c r="J2" s="682">
        <v>11</v>
      </c>
      <c r="K2" s="335" t="s">
        <v>218</v>
      </c>
      <c r="L2" s="682">
        <v>4</v>
      </c>
      <c r="M2" s="335" t="s">
        <v>356</v>
      </c>
      <c r="N2" s="682">
        <v>18</v>
      </c>
      <c r="O2" s="335" t="s">
        <v>357</v>
      </c>
      <c r="P2" s="682">
        <v>13</v>
      </c>
      <c r="Q2" s="335" t="s">
        <v>358</v>
      </c>
      <c r="R2" s="682">
        <v>1</v>
      </c>
      <c r="S2" s="335" t="s">
        <v>353</v>
      </c>
      <c r="T2" s="682">
        <v>14</v>
      </c>
      <c r="U2" s="335" t="s">
        <v>359</v>
      </c>
      <c r="V2" s="682">
        <v>19</v>
      </c>
      <c r="W2" s="335" t="s">
        <v>360</v>
      </c>
      <c r="X2" s="335" t="s">
        <v>361</v>
      </c>
      <c r="Y2" s="335" t="s">
        <v>362</v>
      </c>
      <c r="Z2" s="335" t="s">
        <v>361</v>
      </c>
      <c r="AA2" s="335" t="s">
        <v>284</v>
      </c>
      <c r="AB2" s="682">
        <v>9</v>
      </c>
      <c r="AC2" s="335" t="s">
        <v>160</v>
      </c>
      <c r="AD2" s="335" t="s">
        <v>363</v>
      </c>
      <c r="AE2" s="335" t="s">
        <v>363</v>
      </c>
      <c r="AF2" s="335" t="s">
        <v>284</v>
      </c>
      <c r="AG2" s="335" t="s">
        <v>364</v>
      </c>
      <c r="AH2" s="335" t="s">
        <v>365</v>
      </c>
      <c r="AI2" s="335" t="s">
        <v>366</v>
      </c>
      <c r="AJ2" s="335" t="s">
        <v>367</v>
      </c>
      <c r="AK2" s="335">
        <v>1</v>
      </c>
      <c r="AL2" s="682">
        <v>17</v>
      </c>
      <c r="AM2" s="346" t="s">
        <v>368</v>
      </c>
      <c r="AN2" s="346" t="s">
        <v>368</v>
      </c>
      <c r="AO2" s="346" t="s">
        <v>369</v>
      </c>
      <c r="AP2" s="346" t="s">
        <v>370</v>
      </c>
      <c r="AQ2" s="346" t="s">
        <v>371</v>
      </c>
      <c r="AR2" s="682">
        <v>2</v>
      </c>
      <c r="AS2" s="346" t="s">
        <v>372</v>
      </c>
      <c r="AT2" s="346" t="s">
        <v>373</v>
      </c>
      <c r="AU2" s="346" t="s">
        <v>136</v>
      </c>
    </row>
    <row r="3" spans="1:47" x14ac:dyDescent="0.4">
      <c r="A3" s="677">
        <v>43526</v>
      </c>
      <c r="B3" s="681">
        <v>2</v>
      </c>
      <c r="C3" s="335" t="s">
        <v>325</v>
      </c>
      <c r="D3" s="682">
        <v>2</v>
      </c>
      <c r="E3" s="335" t="s">
        <v>354</v>
      </c>
      <c r="F3" s="682">
        <v>3</v>
      </c>
      <c r="G3" s="335" t="s">
        <v>374</v>
      </c>
      <c r="H3" s="682">
        <v>34</v>
      </c>
      <c r="I3" s="335" t="s">
        <v>375</v>
      </c>
      <c r="J3" s="682">
        <v>12</v>
      </c>
      <c r="K3" s="335" t="s">
        <v>376</v>
      </c>
      <c r="L3" s="682">
        <v>5</v>
      </c>
      <c r="M3" s="335" t="s">
        <v>377</v>
      </c>
      <c r="N3" s="682">
        <v>23</v>
      </c>
      <c r="O3" s="335" t="s">
        <v>378</v>
      </c>
      <c r="P3" s="682">
        <v>41</v>
      </c>
      <c r="Q3" s="335" t="s">
        <v>379</v>
      </c>
      <c r="R3" s="682">
        <v>7</v>
      </c>
      <c r="S3" s="335" t="s">
        <v>380</v>
      </c>
      <c r="T3" s="682">
        <v>25</v>
      </c>
      <c r="U3" s="335" t="s">
        <v>381</v>
      </c>
      <c r="V3" s="682">
        <v>36</v>
      </c>
      <c r="W3" s="335" t="s">
        <v>382</v>
      </c>
      <c r="X3" s="335" t="s">
        <v>383</v>
      </c>
      <c r="Y3" s="335" t="s">
        <v>384</v>
      </c>
      <c r="Z3" s="335" t="s">
        <v>383</v>
      </c>
      <c r="AA3" s="335" t="s">
        <v>285</v>
      </c>
      <c r="AB3" s="682">
        <v>8</v>
      </c>
      <c r="AC3" s="335" t="s">
        <v>385</v>
      </c>
      <c r="AD3" s="335" t="s">
        <v>386</v>
      </c>
      <c r="AE3" s="335" t="s">
        <v>386</v>
      </c>
      <c r="AF3" s="335" t="s">
        <v>285</v>
      </c>
      <c r="AG3" s="335" t="s">
        <v>209</v>
      </c>
      <c r="AH3" s="335" t="s">
        <v>387</v>
      </c>
      <c r="AI3" s="335" t="s">
        <v>388</v>
      </c>
      <c r="AJ3" s="335" t="s">
        <v>389</v>
      </c>
      <c r="AK3" s="335">
        <v>2</v>
      </c>
      <c r="AL3" s="682">
        <v>6</v>
      </c>
      <c r="AM3" s="346" t="s">
        <v>370</v>
      </c>
      <c r="AO3" s="346"/>
      <c r="AP3" s="346" t="s">
        <v>370</v>
      </c>
      <c r="AQ3" s="346" t="s">
        <v>390</v>
      </c>
      <c r="AR3" s="682">
        <v>3</v>
      </c>
      <c r="AS3" s="346" t="s">
        <v>391</v>
      </c>
      <c r="AT3" s="346" t="s">
        <v>392</v>
      </c>
    </row>
    <row r="4" spans="1:47" x14ac:dyDescent="0.4">
      <c r="A4" s="677">
        <v>43527</v>
      </c>
      <c r="B4" s="681">
        <v>3</v>
      </c>
      <c r="C4" s="335" t="s">
        <v>329</v>
      </c>
      <c r="D4" s="682">
        <v>3</v>
      </c>
      <c r="E4" s="335" t="s">
        <v>374</v>
      </c>
      <c r="F4" s="682">
        <v>15</v>
      </c>
      <c r="G4" s="335" t="s">
        <v>393</v>
      </c>
      <c r="H4" s="682">
        <v>35</v>
      </c>
      <c r="I4" s="335" t="s">
        <v>394</v>
      </c>
      <c r="J4" s="682">
        <v>26</v>
      </c>
      <c r="K4" s="335" t="s">
        <v>395</v>
      </c>
      <c r="L4" s="682">
        <v>24</v>
      </c>
      <c r="M4" s="335" t="s">
        <v>396</v>
      </c>
      <c r="N4" s="682">
        <v>27</v>
      </c>
      <c r="O4" s="335" t="s">
        <v>397</v>
      </c>
      <c r="P4" s="682">
        <v>44</v>
      </c>
      <c r="Q4" s="335" t="s">
        <v>398</v>
      </c>
      <c r="R4" s="682">
        <v>10</v>
      </c>
      <c r="S4" s="335" t="s">
        <v>399</v>
      </c>
      <c r="T4" s="682">
        <v>29</v>
      </c>
      <c r="U4" s="335" t="s">
        <v>400</v>
      </c>
      <c r="V4" s="682">
        <v>40</v>
      </c>
      <c r="W4" s="335" t="s">
        <v>401</v>
      </c>
      <c r="AC4" s="335" t="s">
        <v>402</v>
      </c>
      <c r="AE4" s="335" t="s">
        <v>403</v>
      </c>
      <c r="AG4" s="335" t="s">
        <v>210</v>
      </c>
      <c r="AK4" s="335">
        <v>3</v>
      </c>
      <c r="AM4" s="346"/>
      <c r="AO4" s="346"/>
      <c r="AP4" s="346" t="s">
        <v>370</v>
      </c>
      <c r="AQ4" s="346" t="s">
        <v>404</v>
      </c>
      <c r="AR4" s="682">
        <v>4</v>
      </c>
      <c r="AS4" s="346" t="s">
        <v>405</v>
      </c>
      <c r="AT4" s="346"/>
    </row>
    <row r="5" spans="1:47" x14ac:dyDescent="0.4">
      <c r="A5" s="677">
        <v>43528</v>
      </c>
      <c r="B5" s="681">
        <v>4</v>
      </c>
      <c r="C5" s="335" t="s">
        <v>333</v>
      </c>
      <c r="D5" s="682">
        <v>4</v>
      </c>
      <c r="E5" s="335" t="s">
        <v>356</v>
      </c>
      <c r="F5" s="682">
        <v>16</v>
      </c>
      <c r="G5" s="335" t="s">
        <v>406</v>
      </c>
      <c r="H5" s="682">
        <v>37</v>
      </c>
      <c r="I5" s="335" t="s">
        <v>407</v>
      </c>
      <c r="J5" s="682">
        <v>38</v>
      </c>
      <c r="K5" s="335" t="s">
        <v>408</v>
      </c>
      <c r="N5" s="682">
        <v>33</v>
      </c>
      <c r="O5" s="335" t="s">
        <v>409</v>
      </c>
      <c r="P5" s="682">
        <v>24</v>
      </c>
      <c r="Q5" s="335" t="s">
        <v>396</v>
      </c>
      <c r="R5" s="682">
        <v>11</v>
      </c>
      <c r="S5" s="335" t="s">
        <v>218</v>
      </c>
      <c r="T5" s="682">
        <v>31</v>
      </c>
      <c r="U5" s="335" t="s">
        <v>410</v>
      </c>
      <c r="V5" s="682">
        <v>24</v>
      </c>
      <c r="W5" s="335" t="s">
        <v>396</v>
      </c>
      <c r="AG5" s="335" t="s">
        <v>211</v>
      </c>
      <c r="AK5" s="335">
        <v>4</v>
      </c>
      <c r="AM5" s="346"/>
      <c r="AO5" s="346"/>
      <c r="AQ5" s="346"/>
      <c r="AR5" s="682">
        <v>5</v>
      </c>
      <c r="AS5" s="346" t="s">
        <v>411</v>
      </c>
      <c r="AT5" s="346"/>
    </row>
    <row r="6" spans="1:47" x14ac:dyDescent="0.4">
      <c r="A6" s="677">
        <v>43529</v>
      </c>
      <c r="B6" s="681">
        <v>5</v>
      </c>
      <c r="C6" s="335" t="s">
        <v>331</v>
      </c>
      <c r="D6" s="682">
        <v>5</v>
      </c>
      <c r="E6" s="335" t="s">
        <v>377</v>
      </c>
      <c r="F6" s="682">
        <v>28</v>
      </c>
      <c r="G6" s="335" t="s">
        <v>412</v>
      </c>
      <c r="H6" s="682">
        <v>24</v>
      </c>
      <c r="I6" s="335" t="s">
        <v>396</v>
      </c>
      <c r="J6" s="682">
        <v>24</v>
      </c>
      <c r="K6" s="335" t="s">
        <v>396</v>
      </c>
      <c r="N6" s="682">
        <v>45</v>
      </c>
      <c r="O6" s="335" t="s">
        <v>712</v>
      </c>
      <c r="R6" s="682">
        <v>20</v>
      </c>
      <c r="S6" s="335" t="s">
        <v>413</v>
      </c>
      <c r="T6" s="682">
        <v>32</v>
      </c>
      <c r="U6" s="335" t="s">
        <v>414</v>
      </c>
      <c r="AG6" s="335" t="s">
        <v>212</v>
      </c>
      <c r="AK6" s="335">
        <v>5</v>
      </c>
      <c r="AM6" s="346"/>
      <c r="AO6" s="346"/>
      <c r="AQ6" s="346"/>
      <c r="AS6" s="346"/>
      <c r="AT6" s="346"/>
    </row>
    <row r="7" spans="1:47" x14ac:dyDescent="0.4">
      <c r="A7" s="677">
        <v>43530</v>
      </c>
      <c r="B7" s="681">
        <v>6</v>
      </c>
      <c r="C7" s="335" t="s">
        <v>415</v>
      </c>
      <c r="D7" s="682">
        <v>6</v>
      </c>
      <c r="E7" s="335" t="s">
        <v>416</v>
      </c>
      <c r="F7" s="682">
        <v>30</v>
      </c>
      <c r="G7" s="335" t="s">
        <v>417</v>
      </c>
      <c r="N7" s="682">
        <v>24</v>
      </c>
      <c r="O7" s="335" t="s">
        <v>396</v>
      </c>
      <c r="R7" s="682">
        <v>22</v>
      </c>
      <c r="S7" s="335" t="s">
        <v>418</v>
      </c>
      <c r="T7" s="682">
        <v>43</v>
      </c>
      <c r="U7" s="335" t="s">
        <v>419</v>
      </c>
      <c r="AG7" s="335" t="s">
        <v>213</v>
      </c>
      <c r="AK7" s="335">
        <v>6</v>
      </c>
      <c r="AM7" s="346"/>
      <c r="AO7" s="346"/>
      <c r="AQ7" s="346"/>
      <c r="AS7" s="346"/>
      <c r="AT7" s="346"/>
    </row>
    <row r="8" spans="1:47" x14ac:dyDescent="0.4">
      <c r="A8" s="677">
        <v>43531</v>
      </c>
      <c r="B8" s="681">
        <v>7</v>
      </c>
      <c r="C8" s="335" t="s">
        <v>420</v>
      </c>
      <c r="D8" s="682">
        <v>7</v>
      </c>
      <c r="E8" s="335" t="s">
        <v>380</v>
      </c>
      <c r="F8" s="682">
        <v>24</v>
      </c>
      <c r="G8" s="335" t="s">
        <v>396</v>
      </c>
      <c r="R8" s="682">
        <v>26</v>
      </c>
      <c r="S8" s="335" t="s">
        <v>395</v>
      </c>
      <c r="T8" s="682">
        <v>24</v>
      </c>
      <c r="U8" s="335" t="s">
        <v>396</v>
      </c>
      <c r="AG8" s="335" t="s">
        <v>214</v>
      </c>
      <c r="AK8" s="335">
        <v>7</v>
      </c>
      <c r="AM8" s="346"/>
      <c r="AO8" s="346"/>
      <c r="AQ8" s="346"/>
      <c r="AS8" s="346"/>
      <c r="AT8" s="346"/>
    </row>
    <row r="9" spans="1:47" x14ac:dyDescent="0.4">
      <c r="A9" s="677">
        <v>43532</v>
      </c>
      <c r="B9" s="681">
        <v>8</v>
      </c>
      <c r="C9" s="335" t="s">
        <v>421</v>
      </c>
      <c r="D9" s="682">
        <v>8</v>
      </c>
      <c r="E9" s="335" t="s">
        <v>385</v>
      </c>
      <c r="R9" s="682">
        <v>31</v>
      </c>
      <c r="S9" s="335" t="s">
        <v>410</v>
      </c>
      <c r="AG9" s="335" t="s">
        <v>216</v>
      </c>
      <c r="AK9" s="335">
        <v>8</v>
      </c>
      <c r="AM9" s="346"/>
      <c r="AO9" s="346"/>
      <c r="AQ9" s="346"/>
      <c r="AS9" s="346"/>
      <c r="AT9" s="346"/>
    </row>
    <row r="10" spans="1:47" x14ac:dyDescent="0.4">
      <c r="A10" s="677">
        <v>43533</v>
      </c>
      <c r="B10" s="681">
        <v>9</v>
      </c>
      <c r="C10" s="335" t="s">
        <v>422</v>
      </c>
      <c r="D10" s="682">
        <v>9</v>
      </c>
      <c r="E10" s="335" t="s">
        <v>160</v>
      </c>
      <c r="R10" s="682">
        <v>38</v>
      </c>
      <c r="S10" s="335" t="s">
        <v>408</v>
      </c>
      <c r="AK10" s="335">
        <v>9</v>
      </c>
      <c r="AM10" s="346"/>
      <c r="AO10" s="346"/>
      <c r="AQ10" s="346"/>
      <c r="AS10" s="346"/>
      <c r="AT10" s="346"/>
    </row>
    <row r="11" spans="1:47" x14ac:dyDescent="0.4">
      <c r="A11" s="677">
        <v>43534</v>
      </c>
      <c r="B11" s="681">
        <v>10</v>
      </c>
      <c r="C11" s="335" t="s">
        <v>423</v>
      </c>
      <c r="D11" s="682">
        <v>10</v>
      </c>
      <c r="E11" s="335" t="s">
        <v>399</v>
      </c>
      <c r="R11" s="682">
        <v>39</v>
      </c>
      <c r="S11" s="335" t="s">
        <v>424</v>
      </c>
      <c r="AK11" s="335">
        <v>10</v>
      </c>
      <c r="AM11" s="346"/>
      <c r="AO11" s="346"/>
      <c r="AQ11" s="346"/>
      <c r="AS11" s="346"/>
      <c r="AT11" s="346"/>
    </row>
    <row r="12" spans="1:47" x14ac:dyDescent="0.4">
      <c r="A12" s="677">
        <v>43535</v>
      </c>
      <c r="B12" s="681">
        <v>11</v>
      </c>
      <c r="C12" s="335" t="s">
        <v>425</v>
      </c>
      <c r="D12" s="682">
        <v>11</v>
      </c>
      <c r="E12" s="335" t="s">
        <v>218</v>
      </c>
      <c r="R12" s="682">
        <v>42</v>
      </c>
      <c r="S12" s="335" t="s">
        <v>426</v>
      </c>
      <c r="AM12" s="346"/>
      <c r="AO12" s="346"/>
      <c r="AQ12" s="346"/>
      <c r="AS12" s="346"/>
      <c r="AT12" s="346"/>
    </row>
    <row r="13" spans="1:47" x14ac:dyDescent="0.4">
      <c r="A13" s="677">
        <v>43536</v>
      </c>
      <c r="B13" s="681">
        <v>12</v>
      </c>
      <c r="C13" s="335" t="s">
        <v>332</v>
      </c>
      <c r="D13" s="682">
        <v>12</v>
      </c>
      <c r="E13" s="335" t="s">
        <v>376</v>
      </c>
      <c r="R13" s="682">
        <v>24</v>
      </c>
      <c r="S13" s="335" t="s">
        <v>396</v>
      </c>
      <c r="AM13" s="346"/>
      <c r="AO13" s="346"/>
      <c r="AQ13" s="346"/>
      <c r="AS13" s="346"/>
      <c r="AT13" s="346"/>
    </row>
    <row r="14" spans="1:47" x14ac:dyDescent="0.4">
      <c r="A14" s="677">
        <v>43537</v>
      </c>
      <c r="D14" s="682">
        <v>13</v>
      </c>
      <c r="E14" s="335" t="s">
        <v>358</v>
      </c>
      <c r="AM14" s="346"/>
      <c r="AO14" s="346"/>
      <c r="AQ14" s="346"/>
      <c r="AS14" s="346"/>
      <c r="AT14" s="346"/>
    </row>
    <row r="15" spans="1:47" x14ac:dyDescent="0.4">
      <c r="A15" s="677">
        <v>43538</v>
      </c>
      <c r="D15" s="682">
        <v>14</v>
      </c>
      <c r="E15" s="335" t="s">
        <v>427</v>
      </c>
      <c r="AM15" s="346"/>
      <c r="AO15" s="346"/>
      <c r="AQ15" s="346"/>
      <c r="AS15" s="346"/>
      <c r="AT15" s="346"/>
    </row>
    <row r="16" spans="1:47" x14ac:dyDescent="0.4">
      <c r="A16" s="677">
        <v>43539</v>
      </c>
      <c r="D16" s="682">
        <v>15</v>
      </c>
      <c r="E16" s="335" t="s">
        <v>393</v>
      </c>
      <c r="AM16" s="346"/>
      <c r="AO16" s="346"/>
      <c r="AQ16" s="346"/>
      <c r="AS16" s="346"/>
      <c r="AT16" s="346"/>
    </row>
    <row r="17" spans="1:46" x14ac:dyDescent="0.4">
      <c r="A17" s="677">
        <v>43540</v>
      </c>
      <c r="D17" s="682">
        <v>16</v>
      </c>
      <c r="E17" s="335" t="s">
        <v>406</v>
      </c>
      <c r="AM17" s="346"/>
      <c r="AO17" s="346"/>
      <c r="AQ17" s="346"/>
      <c r="AS17" s="346"/>
      <c r="AT17" s="346"/>
    </row>
    <row r="18" spans="1:46" x14ac:dyDescent="0.4">
      <c r="A18" s="677">
        <v>43541</v>
      </c>
      <c r="D18" s="682">
        <v>17</v>
      </c>
      <c r="E18" s="335" t="s">
        <v>428</v>
      </c>
      <c r="AM18" s="346"/>
      <c r="AO18" s="346"/>
      <c r="AQ18" s="346"/>
      <c r="AS18" s="346"/>
      <c r="AT18" s="346"/>
    </row>
    <row r="19" spans="1:46" x14ac:dyDescent="0.4">
      <c r="A19" s="677">
        <v>43542</v>
      </c>
      <c r="D19" s="682">
        <v>18</v>
      </c>
      <c r="E19" s="335" t="s">
        <v>357</v>
      </c>
      <c r="AM19" s="346"/>
      <c r="AO19" s="346"/>
      <c r="AQ19" s="346"/>
      <c r="AS19" s="346"/>
      <c r="AT19" s="346"/>
    </row>
    <row r="20" spans="1:46" x14ac:dyDescent="0.4">
      <c r="A20" s="677">
        <v>43543</v>
      </c>
      <c r="D20" s="682">
        <v>19</v>
      </c>
      <c r="E20" s="335" t="s">
        <v>360</v>
      </c>
      <c r="AM20" s="346"/>
      <c r="AO20" s="346"/>
      <c r="AQ20" s="346"/>
      <c r="AS20" s="346"/>
      <c r="AT20" s="346"/>
    </row>
    <row r="21" spans="1:46" x14ac:dyDescent="0.4">
      <c r="A21" s="677">
        <v>43544</v>
      </c>
      <c r="D21" s="682">
        <v>20</v>
      </c>
      <c r="E21" s="335" t="s">
        <v>413</v>
      </c>
      <c r="AM21" s="346"/>
      <c r="AO21" s="346"/>
      <c r="AQ21" s="346"/>
      <c r="AS21" s="346"/>
      <c r="AT21" s="346"/>
    </row>
    <row r="22" spans="1:46" x14ac:dyDescent="0.4">
      <c r="A22" s="677">
        <v>43545</v>
      </c>
      <c r="D22" s="682">
        <v>21</v>
      </c>
      <c r="E22" s="335" t="s">
        <v>355</v>
      </c>
      <c r="AM22" s="346"/>
      <c r="AO22" s="346"/>
      <c r="AQ22" s="346"/>
      <c r="AS22" s="346"/>
      <c r="AT22" s="346"/>
    </row>
    <row r="23" spans="1:46" x14ac:dyDescent="0.4">
      <c r="A23" s="677">
        <v>43546</v>
      </c>
      <c r="D23" s="682">
        <v>22</v>
      </c>
      <c r="E23" s="335" t="s">
        <v>418</v>
      </c>
      <c r="AM23" s="346"/>
      <c r="AO23" s="346"/>
      <c r="AQ23" s="346"/>
      <c r="AS23" s="346"/>
      <c r="AT23" s="346"/>
    </row>
    <row r="24" spans="1:46" x14ac:dyDescent="0.4">
      <c r="A24" s="677">
        <v>43547</v>
      </c>
      <c r="D24" s="682">
        <v>23</v>
      </c>
      <c r="E24" s="335" t="s">
        <v>378</v>
      </c>
      <c r="AM24" s="346"/>
      <c r="AO24" s="346"/>
      <c r="AQ24" s="346"/>
      <c r="AS24" s="346"/>
      <c r="AT24" s="346"/>
    </row>
    <row r="25" spans="1:46" x14ac:dyDescent="0.4">
      <c r="A25" s="677">
        <v>43548</v>
      </c>
      <c r="D25" s="682">
        <v>24</v>
      </c>
      <c r="E25" s="335" t="s">
        <v>396</v>
      </c>
      <c r="AM25" s="346"/>
      <c r="AO25" s="346"/>
      <c r="AQ25" s="346"/>
      <c r="AS25" s="346"/>
      <c r="AT25" s="346"/>
    </row>
    <row r="26" spans="1:46" x14ac:dyDescent="0.4">
      <c r="A26" s="677">
        <v>43549</v>
      </c>
      <c r="D26" s="682">
        <v>25</v>
      </c>
      <c r="E26" s="335" t="s">
        <v>381</v>
      </c>
      <c r="AM26" s="346"/>
      <c r="AO26" s="346"/>
      <c r="AQ26" s="346"/>
      <c r="AS26" s="346"/>
      <c r="AT26" s="346"/>
    </row>
    <row r="27" spans="1:46" x14ac:dyDescent="0.4">
      <c r="A27" s="677">
        <v>43550</v>
      </c>
      <c r="D27" s="682">
        <v>26</v>
      </c>
      <c r="E27" s="335" t="s">
        <v>395</v>
      </c>
      <c r="AM27" s="346"/>
      <c r="AO27" s="346"/>
      <c r="AQ27" s="346"/>
      <c r="AS27" s="346"/>
      <c r="AT27" s="346"/>
    </row>
    <row r="28" spans="1:46" x14ac:dyDescent="0.4">
      <c r="A28" s="677">
        <v>43551</v>
      </c>
      <c r="D28" s="682">
        <v>27</v>
      </c>
      <c r="E28" s="335" t="s">
        <v>397</v>
      </c>
      <c r="AM28" s="346"/>
      <c r="AO28" s="346"/>
      <c r="AQ28" s="346"/>
      <c r="AS28" s="346"/>
      <c r="AT28" s="346"/>
    </row>
    <row r="29" spans="1:46" x14ac:dyDescent="0.4">
      <c r="A29" s="677">
        <v>43552</v>
      </c>
      <c r="D29" s="682">
        <v>28</v>
      </c>
      <c r="E29" s="335" t="s">
        <v>412</v>
      </c>
      <c r="AM29" s="346"/>
      <c r="AO29" s="346"/>
      <c r="AQ29" s="346"/>
      <c r="AS29" s="346"/>
      <c r="AT29" s="346"/>
    </row>
    <row r="30" spans="1:46" x14ac:dyDescent="0.4">
      <c r="A30" s="677">
        <v>43553</v>
      </c>
      <c r="D30" s="682">
        <v>29</v>
      </c>
      <c r="E30" s="335" t="s">
        <v>400</v>
      </c>
      <c r="AM30" s="346"/>
      <c r="AO30" s="346"/>
      <c r="AQ30" s="346"/>
      <c r="AS30" s="346"/>
      <c r="AT30" s="346"/>
    </row>
    <row r="31" spans="1:46" x14ac:dyDescent="0.4">
      <c r="A31" s="677">
        <v>43554</v>
      </c>
      <c r="D31" s="682">
        <v>30</v>
      </c>
      <c r="E31" s="335" t="s">
        <v>417</v>
      </c>
      <c r="AM31" s="346"/>
      <c r="AO31" s="346"/>
      <c r="AQ31" s="346"/>
      <c r="AS31" s="346"/>
      <c r="AT31" s="346"/>
    </row>
    <row r="32" spans="1:46" x14ac:dyDescent="0.4">
      <c r="A32" s="677">
        <v>43555</v>
      </c>
      <c r="D32" s="682">
        <v>31</v>
      </c>
      <c r="E32" s="335" t="s">
        <v>410</v>
      </c>
      <c r="AM32" s="346"/>
      <c r="AO32" s="346"/>
      <c r="AQ32" s="346"/>
      <c r="AS32" s="346"/>
      <c r="AT32" s="346"/>
    </row>
    <row r="33" spans="4:46" x14ac:dyDescent="0.4">
      <c r="D33" s="682">
        <v>32</v>
      </c>
      <c r="E33" s="335" t="s">
        <v>414</v>
      </c>
      <c r="AM33"/>
      <c r="AO33"/>
      <c r="AQ33"/>
      <c r="AS33"/>
      <c r="AT33"/>
    </row>
    <row r="34" spans="4:46" x14ac:dyDescent="0.4">
      <c r="D34" s="682">
        <v>33</v>
      </c>
      <c r="E34" s="335" t="s">
        <v>409</v>
      </c>
      <c r="AM34"/>
      <c r="AO34"/>
      <c r="AQ34"/>
      <c r="AS34"/>
      <c r="AT34"/>
    </row>
    <row r="35" spans="4:46" x14ac:dyDescent="0.4">
      <c r="D35" s="682">
        <v>34</v>
      </c>
      <c r="E35" s="335" t="s">
        <v>375</v>
      </c>
      <c r="AM35"/>
      <c r="AO35"/>
      <c r="AQ35"/>
      <c r="AS35"/>
      <c r="AT35"/>
    </row>
    <row r="36" spans="4:46" x14ac:dyDescent="0.4">
      <c r="D36" s="682">
        <v>35</v>
      </c>
      <c r="E36" s="335" t="s">
        <v>394</v>
      </c>
      <c r="AM36"/>
      <c r="AO36"/>
      <c r="AQ36"/>
      <c r="AS36"/>
      <c r="AT36"/>
    </row>
    <row r="37" spans="4:46" x14ac:dyDescent="0.4">
      <c r="D37" s="682">
        <v>36</v>
      </c>
      <c r="E37" s="335" t="s">
        <v>382</v>
      </c>
      <c r="AM37"/>
      <c r="AO37"/>
      <c r="AQ37"/>
      <c r="AS37"/>
      <c r="AT37"/>
    </row>
    <row r="38" spans="4:46" x14ac:dyDescent="0.4">
      <c r="D38" s="682">
        <v>37</v>
      </c>
      <c r="E38" s="335" t="s">
        <v>407</v>
      </c>
      <c r="AM38"/>
      <c r="AO38"/>
      <c r="AQ38"/>
      <c r="AS38"/>
      <c r="AT38"/>
    </row>
    <row r="39" spans="4:46" x14ac:dyDescent="0.4">
      <c r="D39" s="682">
        <v>38</v>
      </c>
      <c r="E39" s="335" t="s">
        <v>408</v>
      </c>
      <c r="AM39"/>
      <c r="AO39"/>
      <c r="AQ39"/>
      <c r="AS39"/>
      <c r="AT39"/>
    </row>
    <row r="40" spans="4:46" x14ac:dyDescent="0.4">
      <c r="D40" s="682">
        <v>39</v>
      </c>
      <c r="E40" s="335" t="s">
        <v>424</v>
      </c>
      <c r="AM40"/>
      <c r="AO40"/>
      <c r="AQ40"/>
      <c r="AS40"/>
      <c r="AT40"/>
    </row>
    <row r="41" spans="4:46" x14ac:dyDescent="0.4">
      <c r="D41" s="682">
        <v>40</v>
      </c>
      <c r="E41" s="335" t="s">
        <v>401</v>
      </c>
      <c r="AM41"/>
      <c r="AO41"/>
      <c r="AQ41"/>
      <c r="AS41"/>
      <c r="AT41"/>
    </row>
    <row r="42" spans="4:46" x14ac:dyDescent="0.4">
      <c r="D42" s="682">
        <v>41</v>
      </c>
      <c r="E42" s="335" t="s">
        <v>398</v>
      </c>
      <c r="AM42"/>
      <c r="AO42"/>
      <c r="AQ42"/>
      <c r="AS42"/>
      <c r="AT42"/>
    </row>
    <row r="43" spans="4:46" x14ac:dyDescent="0.4">
      <c r="D43" s="682">
        <v>42</v>
      </c>
      <c r="E43" s="335" t="s">
        <v>426</v>
      </c>
      <c r="AM43"/>
      <c r="AO43"/>
      <c r="AQ43"/>
      <c r="AS43"/>
      <c r="AT43"/>
    </row>
    <row r="44" spans="4:46" x14ac:dyDescent="0.4">
      <c r="D44" s="682">
        <v>43</v>
      </c>
      <c r="E44" s="335" t="s">
        <v>419</v>
      </c>
      <c r="AM44"/>
      <c r="AO44"/>
      <c r="AQ44"/>
      <c r="AS44"/>
      <c r="AT44"/>
    </row>
    <row r="45" spans="4:46" x14ac:dyDescent="0.4">
      <c r="D45" s="682">
        <v>44</v>
      </c>
      <c r="E45" s="335" t="s">
        <v>379</v>
      </c>
      <c r="AM45"/>
      <c r="AO45"/>
      <c r="AQ45"/>
      <c r="AS45"/>
      <c r="AT45"/>
    </row>
    <row r="46" spans="4:46" x14ac:dyDescent="0.4">
      <c r="D46" s="682">
        <v>45</v>
      </c>
      <c r="E46" s="335" t="s">
        <v>712</v>
      </c>
    </row>
  </sheetData>
  <sheetProtection algorithmName="SHA-512" hashValue="17UR4KO6ZtcPJXSKX4pkQF4jbOIZuZgL4yfQpdFhbk9HKOUiEE+zuZOice+uDTyHbY0s7IEh1YCbGMWY8XVmCQ==" saltValue="AP7mVFERMeat5c6T+reaYw==" spinCount="100000" sheet="1" objects="1" scenarios="1"/>
  <phoneticPr fontId="40" type="noConversion"/>
  <conditionalFormatting sqref="B1 D1:F1 H1 J1 L1 N1 P1 R1 T1 V1 AB1 AL1 AR1 AN1 AP1">
    <cfRule type="expression" dxfId="19" priority="3" stopIfTrue="1">
      <formula>NOT(ISBLANK(B$1))</formula>
    </cfRule>
    <cfRule type="expression" dxfId="18" priority="4" stopIfTrue="1">
      <formula>ISBLANK(B$1)</formula>
    </cfRule>
  </conditionalFormatting>
  <conditionalFormatting sqref="U7 T8:U65536 T2:U6 A2:C65536 D2:E43 D46:E65537 R2:S65536 P2:Q3 P5:Q65536 V2:IV65536 E44 F2:O65536">
    <cfRule type="expression" dxfId="17" priority="5" stopIfTrue="1">
      <formula>NOT(ISBLANK(A2))</formula>
    </cfRule>
    <cfRule type="expression" dxfId="16" priority="6" stopIfTrue="1">
      <formula>ISBLANK(A2)</formula>
    </cfRule>
  </conditionalFormatting>
  <conditionalFormatting sqref="D45:E45">
    <cfRule type="expression" dxfId="15" priority="1" stopIfTrue="1">
      <formula>NOT(ISBLANK(D45))</formula>
    </cfRule>
    <cfRule type="expression" dxfId="14" priority="2" stopIfTrue="1">
      <formula>ISBLANK(D45)</formula>
    </cfRule>
  </conditionalFormatting>
  <printOptions horizontalCentered="1" verticalCentered="1"/>
  <pageMargins left="0.25" right="0.25" top="0.25" bottom="0.25" header="0.13" footer="0.13"/>
  <pageSetup orientation="portrait" horizontalDpi="1200" verticalDpi="1200"/>
  <headerFooter alignWithMargins="0"/>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DataValidation"/>
  <dimension ref="A1:AW152"/>
  <sheetViews>
    <sheetView workbookViewId="0">
      <pane xSplit="1" topLeftCell="B1" activePane="topRight" state="frozen"/>
      <selection pane="topRight"/>
    </sheetView>
  </sheetViews>
  <sheetFormatPr defaultColWidth="40.71875" defaultRowHeight="12.3" x14ac:dyDescent="0.4"/>
  <cols>
    <col min="1" max="1" width="20.71875" style="685" customWidth="1"/>
    <col min="2" max="16384" width="40.71875" style="685"/>
  </cols>
  <sheetData>
    <row r="1" spans="1:49" s="684" customFormat="1" ht="24.6" x14ac:dyDescent="0.4">
      <c r="A1" s="683" t="s">
        <v>429</v>
      </c>
      <c r="B1" s="684" t="s">
        <v>430</v>
      </c>
      <c r="C1" s="684" t="s">
        <v>431</v>
      </c>
      <c r="D1" s="684" t="s">
        <v>432</v>
      </c>
      <c r="E1" s="684" t="s">
        <v>433</v>
      </c>
      <c r="F1" s="684" t="s">
        <v>434</v>
      </c>
      <c r="G1" s="684" t="s">
        <v>435</v>
      </c>
      <c r="H1" s="684" t="s">
        <v>436</v>
      </c>
      <c r="I1" s="684" t="s">
        <v>437</v>
      </c>
      <c r="J1" s="684" t="s">
        <v>438</v>
      </c>
      <c r="K1" s="684" t="s">
        <v>439</v>
      </c>
      <c r="L1" s="684" t="s">
        <v>440</v>
      </c>
      <c r="M1" s="684" t="s">
        <v>441</v>
      </c>
      <c r="N1" s="684" t="s">
        <v>442</v>
      </c>
      <c r="O1" s="684" t="s">
        <v>443</v>
      </c>
      <c r="P1" s="684" t="s">
        <v>444</v>
      </c>
      <c r="Q1" s="684" t="s">
        <v>445</v>
      </c>
      <c r="R1" s="684" t="s">
        <v>446</v>
      </c>
      <c r="S1" s="684" t="s">
        <v>447</v>
      </c>
      <c r="T1" s="684" t="s">
        <v>448</v>
      </c>
      <c r="U1" s="684" t="s">
        <v>449</v>
      </c>
      <c r="V1" s="684" t="s">
        <v>450</v>
      </c>
      <c r="W1" s="684" t="s">
        <v>451</v>
      </c>
      <c r="X1" s="684" t="s">
        <v>452</v>
      </c>
      <c r="Y1" s="684" t="s">
        <v>453</v>
      </c>
      <c r="Z1" s="684" t="s">
        <v>454</v>
      </c>
      <c r="AA1" s="684" t="s">
        <v>455</v>
      </c>
      <c r="AB1" s="684" t="s">
        <v>456</v>
      </c>
    </row>
    <row r="2" spans="1:49" ht="98.4" x14ac:dyDescent="0.4">
      <c r="A2" s="685" t="s">
        <v>457</v>
      </c>
      <c r="B2" s="685" t="s">
        <v>136</v>
      </c>
      <c r="C2" s="686" t="s">
        <v>458</v>
      </c>
      <c r="D2" s="686" t="s">
        <v>458</v>
      </c>
      <c r="E2" s="686" t="s">
        <v>458</v>
      </c>
      <c r="F2" s="686" t="s">
        <v>458</v>
      </c>
      <c r="G2" s="686" t="s">
        <v>459</v>
      </c>
      <c r="H2" s="686" t="s">
        <v>459</v>
      </c>
      <c r="I2" s="686" t="s">
        <v>460</v>
      </c>
      <c r="J2" s="686" t="s">
        <v>461</v>
      </c>
      <c r="K2" s="686" t="s">
        <v>462</v>
      </c>
      <c r="L2" s="686" t="s">
        <v>462</v>
      </c>
      <c r="M2" s="686" t="s">
        <v>463</v>
      </c>
      <c r="N2" s="685" t="s">
        <v>136</v>
      </c>
      <c r="O2" s="686" t="s">
        <v>464</v>
      </c>
      <c r="P2" s="686" t="s">
        <v>464</v>
      </c>
      <c r="Q2" s="686" t="s">
        <v>464</v>
      </c>
      <c r="R2" s="686" t="s">
        <v>464</v>
      </c>
      <c r="S2" s="686" t="s">
        <v>464</v>
      </c>
      <c r="T2" s="686" t="s">
        <v>464</v>
      </c>
      <c r="U2" s="685" t="s">
        <v>136</v>
      </c>
      <c r="V2" s="686" t="s">
        <v>465</v>
      </c>
      <c r="W2" s="686" t="s">
        <v>465</v>
      </c>
      <c r="X2" s="686" t="s">
        <v>465</v>
      </c>
      <c r="Y2" s="686" t="s">
        <v>465</v>
      </c>
      <c r="Z2" s="686" t="s">
        <v>465</v>
      </c>
      <c r="AA2" s="686" t="s">
        <v>465</v>
      </c>
      <c r="AB2" s="686" t="s">
        <v>465</v>
      </c>
    </row>
    <row r="3" spans="1:49" x14ac:dyDescent="0.4">
      <c r="A3" s="685" t="s">
        <v>466</v>
      </c>
      <c r="B3" s="685" t="s">
        <v>136</v>
      </c>
      <c r="C3" s="685" t="s">
        <v>467</v>
      </c>
      <c r="D3" s="685" t="s">
        <v>467</v>
      </c>
      <c r="E3" s="685" t="s">
        <v>467</v>
      </c>
      <c r="F3" s="685" t="s">
        <v>467</v>
      </c>
      <c r="G3" s="685" t="s">
        <v>467</v>
      </c>
      <c r="H3" s="685" t="s">
        <v>467</v>
      </c>
      <c r="I3" s="685" t="s">
        <v>467</v>
      </c>
      <c r="J3" s="685" t="s">
        <v>467</v>
      </c>
      <c r="K3" s="685" t="s">
        <v>467</v>
      </c>
      <c r="L3" s="685" t="s">
        <v>467</v>
      </c>
      <c r="M3" s="685" t="s">
        <v>467</v>
      </c>
      <c r="N3" s="685" t="s">
        <v>136</v>
      </c>
      <c r="O3" s="685" t="s">
        <v>467</v>
      </c>
      <c r="P3" s="685" t="s">
        <v>467</v>
      </c>
      <c r="Q3" s="685" t="s">
        <v>467</v>
      </c>
      <c r="R3" s="685" t="s">
        <v>467</v>
      </c>
      <c r="S3" s="685" t="s">
        <v>467</v>
      </c>
      <c r="T3" s="685" t="s">
        <v>467</v>
      </c>
      <c r="U3" s="685" t="s">
        <v>136</v>
      </c>
      <c r="V3" s="685" t="s">
        <v>467</v>
      </c>
      <c r="W3" s="685" t="s">
        <v>467</v>
      </c>
      <c r="X3" s="685" t="s">
        <v>467</v>
      </c>
      <c r="Y3" s="685" t="s">
        <v>467</v>
      </c>
      <c r="Z3" s="685" t="s">
        <v>467</v>
      </c>
      <c r="AA3" s="685" t="s">
        <v>467</v>
      </c>
      <c r="AB3" s="685" t="s">
        <v>467</v>
      </c>
    </row>
    <row r="4" spans="1:49" x14ac:dyDescent="0.4">
      <c r="A4" s="685" t="s">
        <v>468</v>
      </c>
      <c r="B4" s="685" t="s">
        <v>136</v>
      </c>
      <c r="C4" s="685" t="s">
        <v>469</v>
      </c>
      <c r="D4" s="685" t="s">
        <v>469</v>
      </c>
      <c r="E4" s="685" t="s">
        <v>469</v>
      </c>
      <c r="F4" s="685" t="s">
        <v>469</v>
      </c>
      <c r="G4" s="685" t="s">
        <v>469</v>
      </c>
      <c r="H4" s="685" t="s">
        <v>469</v>
      </c>
      <c r="I4" s="685" t="s">
        <v>469</v>
      </c>
      <c r="J4" s="685" t="s">
        <v>469</v>
      </c>
      <c r="K4" s="685" t="s">
        <v>469</v>
      </c>
      <c r="L4" s="685" t="s">
        <v>469</v>
      </c>
      <c r="M4" s="685" t="s">
        <v>469</v>
      </c>
      <c r="N4" s="685" t="s">
        <v>136</v>
      </c>
      <c r="O4" s="685" t="s">
        <v>469</v>
      </c>
      <c r="P4" s="685" t="s">
        <v>469</v>
      </c>
      <c r="Q4" s="685" t="s">
        <v>469</v>
      </c>
      <c r="R4" s="685" t="s">
        <v>469</v>
      </c>
      <c r="S4" s="685" t="s">
        <v>469</v>
      </c>
      <c r="T4" s="685" t="s">
        <v>469</v>
      </c>
      <c r="U4" s="685" t="s">
        <v>136</v>
      </c>
      <c r="V4" s="685" t="s">
        <v>469</v>
      </c>
      <c r="W4" s="685" t="s">
        <v>469</v>
      </c>
      <c r="X4" s="685" t="s">
        <v>469</v>
      </c>
      <c r="Y4" s="685" t="s">
        <v>469</v>
      </c>
      <c r="Z4" s="685" t="s">
        <v>469</v>
      </c>
      <c r="AA4" s="685" t="s">
        <v>469</v>
      </c>
      <c r="AB4" s="685" t="s">
        <v>469</v>
      </c>
    </row>
    <row r="5" spans="1:49" x14ac:dyDescent="0.4">
      <c r="A5" s="685" t="s">
        <v>470</v>
      </c>
      <c r="B5" s="685" t="s">
        <v>136</v>
      </c>
      <c r="C5" s="685" t="s">
        <v>471</v>
      </c>
      <c r="D5" s="685" t="s">
        <v>471</v>
      </c>
      <c r="E5" s="685" t="s">
        <v>471</v>
      </c>
      <c r="F5" s="685" t="s">
        <v>471</v>
      </c>
      <c r="G5" s="685" t="s">
        <v>471</v>
      </c>
      <c r="H5" s="685" t="s">
        <v>471</v>
      </c>
      <c r="I5" s="685" t="s">
        <v>471</v>
      </c>
      <c r="J5" s="685" t="s">
        <v>471</v>
      </c>
      <c r="K5" s="685" t="s">
        <v>471</v>
      </c>
      <c r="L5" s="685" t="s">
        <v>471</v>
      </c>
      <c r="M5" s="685" t="s">
        <v>471</v>
      </c>
      <c r="N5" s="685" t="s">
        <v>136</v>
      </c>
      <c r="O5" s="685" t="s">
        <v>471</v>
      </c>
      <c r="P5" s="685" t="s">
        <v>471</v>
      </c>
      <c r="Q5" s="685" t="s">
        <v>471</v>
      </c>
      <c r="R5" s="685" t="s">
        <v>471</v>
      </c>
      <c r="S5" s="685" t="s">
        <v>471</v>
      </c>
      <c r="T5" s="685" t="s">
        <v>471</v>
      </c>
      <c r="U5" s="685" t="s">
        <v>136</v>
      </c>
      <c r="V5" s="685" t="s">
        <v>471</v>
      </c>
      <c r="W5" s="685" t="s">
        <v>471</v>
      </c>
      <c r="X5" s="685" t="s">
        <v>471</v>
      </c>
      <c r="Y5" s="685" t="s">
        <v>471</v>
      </c>
      <c r="Z5" s="685" t="s">
        <v>471</v>
      </c>
      <c r="AA5" s="685" t="s">
        <v>471</v>
      </c>
      <c r="AB5" s="685" t="s">
        <v>471</v>
      </c>
    </row>
    <row r="6" spans="1:49" s="686" customFormat="1" ht="24.6" x14ac:dyDescent="0.4">
      <c r="A6" s="686" t="s">
        <v>472</v>
      </c>
      <c r="C6" s="687" t="s">
        <v>473</v>
      </c>
      <c r="D6" s="687" t="s">
        <v>473</v>
      </c>
      <c r="E6" s="687" t="s">
        <v>473</v>
      </c>
      <c r="F6" s="687" t="s">
        <v>473</v>
      </c>
      <c r="G6" s="687" t="s">
        <v>474</v>
      </c>
      <c r="H6" s="687" t="s">
        <v>474</v>
      </c>
      <c r="I6" s="687" t="s">
        <v>475</v>
      </c>
      <c r="J6" s="687" t="s">
        <v>476</v>
      </c>
      <c r="K6" s="687" t="s">
        <v>477</v>
      </c>
      <c r="L6" s="687" t="s">
        <v>477</v>
      </c>
      <c r="M6" s="687" t="s">
        <v>478</v>
      </c>
      <c r="O6" s="687" t="s">
        <v>479</v>
      </c>
      <c r="P6" s="687" t="s">
        <v>479</v>
      </c>
      <c r="Q6" s="687" t="s">
        <v>479</v>
      </c>
      <c r="R6" s="687" t="s">
        <v>479</v>
      </c>
      <c r="S6" s="687" t="s">
        <v>479</v>
      </c>
      <c r="T6" s="687" t="s">
        <v>479</v>
      </c>
      <c r="V6" s="687" t="s">
        <v>480</v>
      </c>
      <c r="W6" s="687" t="s">
        <v>480</v>
      </c>
      <c r="X6" s="687" t="s">
        <v>480</v>
      </c>
      <c r="Y6" s="687" t="s">
        <v>480</v>
      </c>
      <c r="Z6" s="687" t="s">
        <v>480</v>
      </c>
      <c r="AA6" s="687" t="s">
        <v>480</v>
      </c>
      <c r="AB6" s="687" t="s">
        <v>480</v>
      </c>
    </row>
    <row r="7" spans="1:49" x14ac:dyDescent="0.4">
      <c r="A7" s="685" t="s">
        <v>481</v>
      </c>
      <c r="B7" s="685" t="s">
        <v>136</v>
      </c>
      <c r="C7" s="685" t="s">
        <v>208</v>
      </c>
      <c r="D7" s="685" t="s">
        <v>208</v>
      </c>
      <c r="E7" s="685" t="s">
        <v>208</v>
      </c>
      <c r="F7" s="685" t="s">
        <v>208</v>
      </c>
      <c r="G7" s="685" t="s">
        <v>208</v>
      </c>
      <c r="H7" s="685" t="s">
        <v>208</v>
      </c>
      <c r="I7" s="685" t="s">
        <v>208</v>
      </c>
      <c r="J7" s="685" t="s">
        <v>208</v>
      </c>
      <c r="K7" s="685" t="s">
        <v>208</v>
      </c>
      <c r="L7" s="685" t="s">
        <v>208</v>
      </c>
      <c r="M7" s="685" t="s">
        <v>208</v>
      </c>
      <c r="N7" s="685" t="s">
        <v>136</v>
      </c>
      <c r="O7" s="685" t="s">
        <v>208</v>
      </c>
      <c r="P7" s="685" t="s">
        <v>208</v>
      </c>
      <c r="Q7" s="685" t="s">
        <v>208</v>
      </c>
      <c r="R7" s="685" t="s">
        <v>208</v>
      </c>
      <c r="S7" s="685" t="s">
        <v>208</v>
      </c>
      <c r="T7" s="685" t="s">
        <v>208</v>
      </c>
      <c r="U7" s="685" t="s">
        <v>136</v>
      </c>
      <c r="V7" s="685" t="s">
        <v>208</v>
      </c>
      <c r="W7" s="685" t="s">
        <v>208</v>
      </c>
      <c r="X7" s="685" t="s">
        <v>208</v>
      </c>
      <c r="Y7" s="685" t="s">
        <v>208</v>
      </c>
      <c r="Z7" s="685" t="s">
        <v>208</v>
      </c>
      <c r="AA7" s="685" t="s">
        <v>208</v>
      </c>
      <c r="AB7" s="685" t="s">
        <v>208</v>
      </c>
    </row>
    <row r="8" spans="1:49" x14ac:dyDescent="0.4">
      <c r="A8" s="685" t="s">
        <v>482</v>
      </c>
      <c r="B8" s="685" t="s">
        <v>136</v>
      </c>
      <c r="C8" s="685" t="s">
        <v>53</v>
      </c>
      <c r="D8" s="685" t="s">
        <v>53</v>
      </c>
      <c r="E8" s="685" t="s">
        <v>53</v>
      </c>
      <c r="F8" s="685" t="s">
        <v>53</v>
      </c>
      <c r="G8" s="685" t="s">
        <v>54</v>
      </c>
      <c r="H8" s="685" t="s">
        <v>54</v>
      </c>
      <c r="I8" s="685" t="s">
        <v>54</v>
      </c>
      <c r="J8" s="685" t="s">
        <v>55</v>
      </c>
      <c r="K8" s="685" t="s">
        <v>56</v>
      </c>
      <c r="L8" s="685" t="s">
        <v>56</v>
      </c>
      <c r="M8" s="685" t="s">
        <v>57</v>
      </c>
      <c r="N8" s="685" t="s">
        <v>136</v>
      </c>
      <c r="O8" s="685" t="s">
        <v>58</v>
      </c>
      <c r="P8" s="685" t="s">
        <v>58</v>
      </c>
      <c r="Q8" s="685" t="s">
        <v>58</v>
      </c>
      <c r="R8" s="685" t="s">
        <v>58</v>
      </c>
      <c r="S8" s="685" t="s">
        <v>58</v>
      </c>
      <c r="T8" s="685" t="s">
        <v>58</v>
      </c>
      <c r="U8" s="685" t="s">
        <v>136</v>
      </c>
      <c r="V8" s="685" t="s">
        <v>59</v>
      </c>
      <c r="W8" s="685" t="s">
        <v>59</v>
      </c>
      <c r="X8" s="685" t="s">
        <v>59</v>
      </c>
      <c r="Y8" s="685" t="s">
        <v>59</v>
      </c>
      <c r="Z8" s="685" t="s">
        <v>59</v>
      </c>
      <c r="AA8" s="685" t="s">
        <v>59</v>
      </c>
      <c r="AB8" s="685" t="s">
        <v>136</v>
      </c>
    </row>
    <row r="10" spans="1:49" s="684" customFormat="1" ht="24.6" x14ac:dyDescent="0.4">
      <c r="A10" s="683" t="s">
        <v>483</v>
      </c>
      <c r="B10" s="684" t="s">
        <v>430</v>
      </c>
      <c r="C10" s="684" t="s">
        <v>484</v>
      </c>
      <c r="D10" s="688" t="s">
        <v>485</v>
      </c>
      <c r="E10" s="688" t="s">
        <v>486</v>
      </c>
      <c r="F10" s="684" t="s">
        <v>487</v>
      </c>
      <c r="G10" s="688" t="s">
        <v>488</v>
      </c>
      <c r="H10" s="688" t="s">
        <v>489</v>
      </c>
      <c r="I10" s="688" t="s">
        <v>490</v>
      </c>
      <c r="J10" s="688" t="s">
        <v>491</v>
      </c>
      <c r="K10" s="684" t="s">
        <v>492</v>
      </c>
      <c r="L10" s="684" t="s">
        <v>493</v>
      </c>
      <c r="M10" s="688" t="s">
        <v>494</v>
      </c>
      <c r="N10" s="688" t="s">
        <v>495</v>
      </c>
      <c r="O10" s="688" t="s">
        <v>496</v>
      </c>
      <c r="P10" s="688" t="s">
        <v>497</v>
      </c>
      <c r="Q10" s="684" t="s">
        <v>498</v>
      </c>
      <c r="R10" s="688" t="s">
        <v>499</v>
      </c>
      <c r="S10" s="688" t="s">
        <v>500</v>
      </c>
      <c r="T10" s="684" t="s">
        <v>501</v>
      </c>
      <c r="U10" s="684" t="s">
        <v>502</v>
      </c>
      <c r="V10" s="684" t="s">
        <v>503</v>
      </c>
      <c r="W10" s="684" t="s">
        <v>504</v>
      </c>
      <c r="X10" s="684" t="s">
        <v>505</v>
      </c>
      <c r="Y10" s="688" t="s">
        <v>506</v>
      </c>
      <c r="Z10" s="684" t="s">
        <v>507</v>
      </c>
      <c r="AA10" s="688" t="s">
        <v>508</v>
      </c>
      <c r="AB10" s="684" t="s">
        <v>509</v>
      </c>
      <c r="AC10" s="684" t="s">
        <v>510</v>
      </c>
      <c r="AD10" s="688" t="s">
        <v>511</v>
      </c>
      <c r="AE10" s="684" t="s">
        <v>512</v>
      </c>
      <c r="AF10" s="684" t="s">
        <v>513</v>
      </c>
      <c r="AG10" s="684" t="s">
        <v>514</v>
      </c>
      <c r="AH10" s="684" t="s">
        <v>515</v>
      </c>
      <c r="AI10" s="684" t="s">
        <v>516</v>
      </c>
      <c r="AJ10" s="684" t="s">
        <v>517</v>
      </c>
      <c r="AK10" s="684" t="s">
        <v>518</v>
      </c>
      <c r="AL10" s="684" t="s">
        <v>519</v>
      </c>
      <c r="AM10" s="684" t="s">
        <v>520</v>
      </c>
      <c r="AN10" s="684" t="s">
        <v>521</v>
      </c>
      <c r="AO10" s="684" t="s">
        <v>522</v>
      </c>
      <c r="AP10" s="684" t="s">
        <v>523</v>
      </c>
      <c r="AQ10" s="688" t="s">
        <v>524</v>
      </c>
      <c r="AR10" s="684" t="s">
        <v>525</v>
      </c>
      <c r="AS10" s="684" t="s">
        <v>526</v>
      </c>
      <c r="AT10" s="684" t="s">
        <v>527</v>
      </c>
      <c r="AU10" s="684" t="s">
        <v>528</v>
      </c>
      <c r="AV10" s="684" t="s">
        <v>529</v>
      </c>
      <c r="AW10" s="684" t="s">
        <v>530</v>
      </c>
    </row>
    <row r="11" spans="1:49" ht="98.4" x14ac:dyDescent="0.4">
      <c r="A11" s="685" t="s">
        <v>457</v>
      </c>
      <c r="B11" s="685" t="s">
        <v>136</v>
      </c>
      <c r="C11" s="686" t="s">
        <v>531</v>
      </c>
      <c r="D11" s="686" t="s">
        <v>458</v>
      </c>
      <c r="E11" s="686" t="s">
        <v>458</v>
      </c>
      <c r="F11" s="686" t="s">
        <v>532</v>
      </c>
      <c r="G11" s="686" t="s">
        <v>461</v>
      </c>
      <c r="H11" s="686" t="s">
        <v>461</v>
      </c>
      <c r="I11" s="686" t="s">
        <v>533</v>
      </c>
      <c r="J11" s="686" t="s">
        <v>533</v>
      </c>
      <c r="K11" s="686" t="s">
        <v>533</v>
      </c>
      <c r="L11" s="686" t="s">
        <v>533</v>
      </c>
      <c r="M11" s="686" t="s">
        <v>533</v>
      </c>
      <c r="N11" s="686" t="s">
        <v>533</v>
      </c>
      <c r="O11" s="686" t="s">
        <v>533</v>
      </c>
      <c r="P11" s="686" t="s">
        <v>461</v>
      </c>
      <c r="Q11" s="686" t="s">
        <v>461</v>
      </c>
      <c r="R11" s="686" t="s">
        <v>461</v>
      </c>
      <c r="S11" s="686" t="s">
        <v>461</v>
      </c>
      <c r="T11" s="686" t="s">
        <v>461</v>
      </c>
      <c r="U11" s="686" t="s">
        <v>461</v>
      </c>
      <c r="V11" s="686" t="s">
        <v>461</v>
      </c>
      <c r="W11" s="686" t="s">
        <v>461</v>
      </c>
      <c r="X11" s="686" t="s">
        <v>461</v>
      </c>
      <c r="Y11" s="686" t="s">
        <v>534</v>
      </c>
      <c r="Z11" s="686" t="s">
        <v>534</v>
      </c>
      <c r="AA11" s="686" t="s">
        <v>535</v>
      </c>
      <c r="AB11" s="686" t="s">
        <v>535</v>
      </c>
      <c r="AC11" s="686" t="s">
        <v>536</v>
      </c>
      <c r="AD11" s="686" t="s">
        <v>461</v>
      </c>
      <c r="AE11" s="686" t="s">
        <v>461</v>
      </c>
      <c r="AF11" s="686" t="s">
        <v>537</v>
      </c>
      <c r="AG11" s="686" t="s">
        <v>461</v>
      </c>
      <c r="AH11" s="686" t="s">
        <v>461</v>
      </c>
      <c r="AI11" s="686" t="s">
        <v>461</v>
      </c>
      <c r="AJ11" s="686" t="s">
        <v>461</v>
      </c>
      <c r="AK11" s="686" t="s">
        <v>538</v>
      </c>
      <c r="AL11" s="686" t="s">
        <v>538</v>
      </c>
      <c r="AM11" s="686" t="s">
        <v>536</v>
      </c>
      <c r="AN11" s="686" t="s">
        <v>536</v>
      </c>
      <c r="AO11" s="686" t="s">
        <v>536</v>
      </c>
      <c r="AP11" s="686" t="s">
        <v>465</v>
      </c>
      <c r="AQ11" s="686" t="s">
        <v>461</v>
      </c>
      <c r="AR11" s="686" t="s">
        <v>697</v>
      </c>
      <c r="AS11" s="686" t="s">
        <v>539</v>
      </c>
      <c r="AT11" s="686" t="s">
        <v>697</v>
      </c>
      <c r="AU11" s="686" t="s">
        <v>539</v>
      </c>
      <c r="AV11" s="686" t="s">
        <v>540</v>
      </c>
      <c r="AW11" s="686" t="s">
        <v>540</v>
      </c>
    </row>
    <row r="12" spans="1:49" x14ac:dyDescent="0.4">
      <c r="A12" s="685" t="s">
        <v>466</v>
      </c>
      <c r="B12" s="685" t="s">
        <v>136</v>
      </c>
      <c r="C12" s="685" t="s">
        <v>467</v>
      </c>
      <c r="D12" s="685" t="s">
        <v>467</v>
      </c>
      <c r="E12" s="685" t="s">
        <v>467</v>
      </c>
      <c r="F12" s="685" t="s">
        <v>467</v>
      </c>
      <c r="G12" s="685" t="s">
        <v>467</v>
      </c>
      <c r="H12" s="685" t="s">
        <v>467</v>
      </c>
      <c r="I12" s="685" t="s">
        <v>467</v>
      </c>
      <c r="J12" s="685" t="s">
        <v>467</v>
      </c>
      <c r="K12" s="685" t="s">
        <v>467</v>
      </c>
      <c r="L12" s="685" t="s">
        <v>467</v>
      </c>
      <c r="M12" s="685" t="s">
        <v>467</v>
      </c>
      <c r="N12" s="685" t="s">
        <v>467</v>
      </c>
      <c r="O12" s="685" t="s">
        <v>467</v>
      </c>
      <c r="P12" s="685" t="s">
        <v>467</v>
      </c>
      <c r="Q12" s="685" t="s">
        <v>467</v>
      </c>
      <c r="R12" s="685" t="s">
        <v>467</v>
      </c>
      <c r="S12" s="685" t="s">
        <v>467</v>
      </c>
      <c r="T12" s="685" t="s">
        <v>467</v>
      </c>
      <c r="U12" s="685" t="s">
        <v>467</v>
      </c>
      <c r="V12" s="685" t="s">
        <v>467</v>
      </c>
      <c r="W12" s="685" t="s">
        <v>467</v>
      </c>
      <c r="X12" s="685" t="s">
        <v>467</v>
      </c>
      <c r="Y12" s="685" t="s">
        <v>467</v>
      </c>
      <c r="Z12" s="685" t="s">
        <v>467</v>
      </c>
      <c r="AA12" s="685" t="s">
        <v>467</v>
      </c>
      <c r="AB12" s="685" t="s">
        <v>467</v>
      </c>
      <c r="AC12" s="685" t="s">
        <v>467</v>
      </c>
      <c r="AD12" s="685" t="s">
        <v>467</v>
      </c>
      <c r="AE12" s="685" t="s">
        <v>467</v>
      </c>
      <c r="AF12" s="685" t="s">
        <v>467</v>
      </c>
      <c r="AG12" s="685" t="s">
        <v>467</v>
      </c>
      <c r="AH12" s="685" t="s">
        <v>467</v>
      </c>
      <c r="AI12" s="685" t="s">
        <v>467</v>
      </c>
      <c r="AJ12" s="685" t="s">
        <v>467</v>
      </c>
      <c r="AK12" s="685" t="s">
        <v>467</v>
      </c>
      <c r="AL12" s="685" t="s">
        <v>467</v>
      </c>
      <c r="AM12" s="685" t="s">
        <v>467</v>
      </c>
      <c r="AN12" s="685" t="s">
        <v>467</v>
      </c>
      <c r="AO12" s="685" t="s">
        <v>467</v>
      </c>
      <c r="AP12" s="685" t="s">
        <v>467</v>
      </c>
      <c r="AQ12" s="685" t="s">
        <v>467</v>
      </c>
      <c r="AR12" s="685" t="s">
        <v>467</v>
      </c>
      <c r="AS12" s="685" t="s">
        <v>467</v>
      </c>
      <c r="AT12" s="685" t="s">
        <v>467</v>
      </c>
      <c r="AU12" s="685" t="s">
        <v>467</v>
      </c>
      <c r="AV12" s="685" t="s">
        <v>467</v>
      </c>
      <c r="AW12" s="685" t="s">
        <v>467</v>
      </c>
    </row>
    <row r="13" spans="1:49" x14ac:dyDescent="0.4">
      <c r="A13" s="685" t="s">
        <v>468</v>
      </c>
      <c r="B13" s="685" t="s">
        <v>136</v>
      </c>
      <c r="C13" s="685" t="s">
        <v>469</v>
      </c>
      <c r="D13" s="685" t="s">
        <v>469</v>
      </c>
      <c r="E13" s="685" t="s">
        <v>469</v>
      </c>
      <c r="F13" s="685" t="s">
        <v>469</v>
      </c>
      <c r="G13" s="685" t="s">
        <v>469</v>
      </c>
      <c r="H13" s="685" t="s">
        <v>469</v>
      </c>
      <c r="I13" s="685" t="s">
        <v>469</v>
      </c>
      <c r="J13" s="685" t="s">
        <v>469</v>
      </c>
      <c r="K13" s="685" t="s">
        <v>469</v>
      </c>
      <c r="L13" s="685" t="s">
        <v>469</v>
      </c>
      <c r="M13" s="685" t="s">
        <v>469</v>
      </c>
      <c r="N13" s="685" t="s">
        <v>469</v>
      </c>
      <c r="O13" s="685" t="s">
        <v>469</v>
      </c>
      <c r="P13" s="685" t="s">
        <v>469</v>
      </c>
      <c r="Q13" s="685" t="s">
        <v>469</v>
      </c>
      <c r="R13" s="685" t="s">
        <v>469</v>
      </c>
      <c r="S13" s="685" t="s">
        <v>469</v>
      </c>
      <c r="T13" s="685" t="s">
        <v>469</v>
      </c>
      <c r="U13" s="685" t="s">
        <v>469</v>
      </c>
      <c r="V13" s="685" t="s">
        <v>469</v>
      </c>
      <c r="W13" s="685" t="s">
        <v>469</v>
      </c>
      <c r="X13" s="685" t="s">
        <v>469</v>
      </c>
      <c r="Y13" s="685" t="s">
        <v>469</v>
      </c>
      <c r="Z13" s="685" t="s">
        <v>469</v>
      </c>
      <c r="AA13" s="685" t="s">
        <v>469</v>
      </c>
      <c r="AB13" s="685" t="s">
        <v>469</v>
      </c>
      <c r="AC13" s="685" t="s">
        <v>469</v>
      </c>
      <c r="AD13" s="685" t="s">
        <v>469</v>
      </c>
      <c r="AE13" s="685" t="s">
        <v>469</v>
      </c>
      <c r="AF13" s="685" t="s">
        <v>469</v>
      </c>
      <c r="AG13" s="685" t="s">
        <v>469</v>
      </c>
      <c r="AH13" s="685" t="s">
        <v>469</v>
      </c>
      <c r="AI13" s="685" t="s">
        <v>469</v>
      </c>
      <c r="AJ13" s="685" t="s">
        <v>469</v>
      </c>
      <c r="AK13" s="685" t="s">
        <v>469</v>
      </c>
      <c r="AL13" s="685" t="s">
        <v>469</v>
      </c>
      <c r="AM13" s="685" t="s">
        <v>469</v>
      </c>
      <c r="AN13" s="685" t="s">
        <v>469</v>
      </c>
      <c r="AO13" s="685" t="s">
        <v>469</v>
      </c>
      <c r="AP13" s="685" t="s">
        <v>469</v>
      </c>
      <c r="AQ13" s="685" t="s">
        <v>469</v>
      </c>
      <c r="AR13" s="685" t="s">
        <v>541</v>
      </c>
      <c r="AS13" s="685" t="s">
        <v>469</v>
      </c>
      <c r="AT13" s="685" t="s">
        <v>541</v>
      </c>
      <c r="AU13" s="685" t="s">
        <v>469</v>
      </c>
      <c r="AV13" s="685" t="s">
        <v>541</v>
      </c>
      <c r="AW13" s="685" t="s">
        <v>541</v>
      </c>
    </row>
    <row r="14" spans="1:49" x14ac:dyDescent="0.4">
      <c r="A14" s="685" t="s">
        <v>470</v>
      </c>
      <c r="B14" s="685" t="s">
        <v>136</v>
      </c>
      <c r="C14" s="685" t="s">
        <v>471</v>
      </c>
      <c r="D14" s="685" t="s">
        <v>471</v>
      </c>
      <c r="E14" s="685" t="s">
        <v>471</v>
      </c>
      <c r="F14" s="685" t="s">
        <v>471</v>
      </c>
      <c r="G14" s="685" t="s">
        <v>471</v>
      </c>
      <c r="H14" s="685" t="s">
        <v>471</v>
      </c>
      <c r="I14" s="685" t="s">
        <v>471</v>
      </c>
      <c r="J14" s="685" t="s">
        <v>471</v>
      </c>
      <c r="K14" s="685" t="s">
        <v>471</v>
      </c>
      <c r="L14" s="685" t="s">
        <v>471</v>
      </c>
      <c r="M14" s="685" t="s">
        <v>471</v>
      </c>
      <c r="N14" s="685" t="s">
        <v>471</v>
      </c>
      <c r="O14" s="685" t="s">
        <v>471</v>
      </c>
      <c r="P14" s="685" t="s">
        <v>471</v>
      </c>
      <c r="Q14" s="685" t="s">
        <v>471</v>
      </c>
      <c r="R14" s="685" t="s">
        <v>471</v>
      </c>
      <c r="S14" s="685" t="s">
        <v>471</v>
      </c>
      <c r="T14" s="685" t="s">
        <v>471</v>
      </c>
      <c r="U14" s="685" t="s">
        <v>471</v>
      </c>
      <c r="V14" s="685" t="s">
        <v>471</v>
      </c>
      <c r="W14" s="685" t="s">
        <v>471</v>
      </c>
      <c r="X14" s="685" t="s">
        <v>471</v>
      </c>
      <c r="Y14" s="685" t="s">
        <v>471</v>
      </c>
      <c r="Z14" s="685" t="s">
        <v>471</v>
      </c>
      <c r="AA14" s="685" t="s">
        <v>471</v>
      </c>
      <c r="AB14" s="685" t="s">
        <v>471</v>
      </c>
      <c r="AC14" s="685" t="s">
        <v>471</v>
      </c>
      <c r="AD14" s="685" t="s">
        <v>471</v>
      </c>
      <c r="AE14" s="685" t="s">
        <v>471</v>
      </c>
      <c r="AF14" s="685" t="s">
        <v>471</v>
      </c>
      <c r="AG14" s="685" t="s">
        <v>471</v>
      </c>
      <c r="AH14" s="685" t="s">
        <v>471</v>
      </c>
      <c r="AI14" s="685" t="s">
        <v>471</v>
      </c>
      <c r="AJ14" s="685" t="s">
        <v>471</v>
      </c>
      <c r="AK14" s="685" t="s">
        <v>471</v>
      </c>
      <c r="AL14" s="685" t="s">
        <v>471</v>
      </c>
      <c r="AM14" s="685" t="s">
        <v>471</v>
      </c>
      <c r="AN14" s="685" t="s">
        <v>471</v>
      </c>
      <c r="AO14" s="685" t="s">
        <v>471</v>
      </c>
      <c r="AP14" s="685" t="s">
        <v>471</v>
      </c>
      <c r="AQ14" s="685" t="s">
        <v>471</v>
      </c>
      <c r="AR14" s="685" t="s">
        <v>471</v>
      </c>
      <c r="AS14" s="685" t="s">
        <v>471</v>
      </c>
      <c r="AT14" s="685" t="s">
        <v>471</v>
      </c>
      <c r="AU14" s="685" t="s">
        <v>471</v>
      </c>
      <c r="AV14" s="685" t="s">
        <v>471</v>
      </c>
      <c r="AW14" s="685" t="s">
        <v>471</v>
      </c>
    </row>
    <row r="15" spans="1:49" s="686" customFormat="1" ht="24.6" x14ac:dyDescent="0.4">
      <c r="A15" s="686" t="s">
        <v>472</v>
      </c>
      <c r="C15" s="687" t="s">
        <v>542</v>
      </c>
      <c r="D15" s="687" t="s">
        <v>543</v>
      </c>
      <c r="E15" s="687" t="s">
        <v>473</v>
      </c>
      <c r="F15" s="687" t="s">
        <v>544</v>
      </c>
      <c r="G15" s="687" t="s">
        <v>545</v>
      </c>
      <c r="H15" s="687" t="s">
        <v>545</v>
      </c>
      <c r="I15" s="687" t="s">
        <v>546</v>
      </c>
      <c r="J15" s="687" t="s">
        <v>546</v>
      </c>
      <c r="K15" s="687" t="s">
        <v>546</v>
      </c>
      <c r="L15" s="687" t="s">
        <v>546</v>
      </c>
      <c r="M15" s="687" t="s">
        <v>546</v>
      </c>
      <c r="N15" s="687" t="s">
        <v>546</v>
      </c>
      <c r="O15" s="687" t="s">
        <v>546</v>
      </c>
      <c r="P15" s="687" t="s">
        <v>476</v>
      </c>
      <c r="Q15" s="687" t="s">
        <v>709</v>
      </c>
      <c r="R15" s="687" t="s">
        <v>476</v>
      </c>
      <c r="S15" s="687" t="s">
        <v>476</v>
      </c>
      <c r="T15" s="687" t="s">
        <v>476</v>
      </c>
      <c r="U15" s="687" t="s">
        <v>476</v>
      </c>
      <c r="V15" s="687" t="s">
        <v>476</v>
      </c>
      <c r="W15" s="687" t="s">
        <v>476</v>
      </c>
      <c r="X15" s="687" t="s">
        <v>476</v>
      </c>
      <c r="Y15" s="687" t="s">
        <v>547</v>
      </c>
      <c r="Z15" s="687" t="s">
        <v>547</v>
      </c>
      <c r="AA15" s="687" t="s">
        <v>548</v>
      </c>
      <c r="AB15" s="687" t="s">
        <v>548</v>
      </c>
      <c r="AC15" s="687" t="s">
        <v>549</v>
      </c>
      <c r="AD15" s="687" t="s">
        <v>476</v>
      </c>
      <c r="AE15" s="687" t="s">
        <v>476</v>
      </c>
      <c r="AF15" s="687" t="s">
        <v>550</v>
      </c>
      <c r="AG15" s="687" t="s">
        <v>709</v>
      </c>
      <c r="AH15" s="687" t="s">
        <v>476</v>
      </c>
      <c r="AI15" s="687" t="s">
        <v>476</v>
      </c>
      <c r="AJ15" s="687" t="s">
        <v>476</v>
      </c>
      <c r="AK15" s="687" t="s">
        <v>551</v>
      </c>
      <c r="AL15" s="687" t="s">
        <v>551</v>
      </c>
      <c r="AM15" s="687" t="s">
        <v>549</v>
      </c>
      <c r="AN15" s="687" t="s">
        <v>549</v>
      </c>
      <c r="AO15" s="687" t="s">
        <v>549</v>
      </c>
      <c r="AP15" s="687" t="s">
        <v>480</v>
      </c>
      <c r="AQ15" s="687" t="s">
        <v>476</v>
      </c>
      <c r="AR15" s="686" t="s">
        <v>708</v>
      </c>
      <c r="AS15" s="687" t="s">
        <v>552</v>
      </c>
      <c r="AT15" s="686" t="s">
        <v>708</v>
      </c>
      <c r="AU15" s="687" t="s">
        <v>552</v>
      </c>
      <c r="AV15" s="686" t="s">
        <v>553</v>
      </c>
      <c r="AW15" s="686" t="s">
        <v>553</v>
      </c>
    </row>
    <row r="16" spans="1:49" x14ac:dyDescent="0.4">
      <c r="A16" s="685" t="s">
        <v>481</v>
      </c>
      <c r="B16" s="685" t="s">
        <v>136</v>
      </c>
      <c r="C16" s="685" t="s">
        <v>208</v>
      </c>
      <c r="D16" s="685" t="s">
        <v>208</v>
      </c>
      <c r="E16" s="685" t="s">
        <v>208</v>
      </c>
      <c r="F16" s="685" t="s">
        <v>208</v>
      </c>
      <c r="G16" s="685" t="s">
        <v>208</v>
      </c>
      <c r="H16" s="685" t="s">
        <v>208</v>
      </c>
      <c r="I16" s="685" t="s">
        <v>208</v>
      </c>
      <c r="J16" s="685" t="s">
        <v>208</v>
      </c>
      <c r="K16" s="685" t="s">
        <v>208</v>
      </c>
      <c r="L16" s="685" t="s">
        <v>208</v>
      </c>
      <c r="M16" s="685" t="s">
        <v>208</v>
      </c>
      <c r="N16" s="685" t="s">
        <v>208</v>
      </c>
      <c r="O16" s="685" t="s">
        <v>208</v>
      </c>
      <c r="P16" s="685" t="s">
        <v>208</v>
      </c>
      <c r="Q16" s="685" t="s">
        <v>208</v>
      </c>
      <c r="R16" s="685" t="s">
        <v>208</v>
      </c>
      <c r="S16" s="685" t="s">
        <v>208</v>
      </c>
      <c r="T16" s="685" t="s">
        <v>208</v>
      </c>
      <c r="U16" s="685" t="s">
        <v>208</v>
      </c>
      <c r="V16" s="685" t="s">
        <v>208</v>
      </c>
      <c r="W16" s="685" t="s">
        <v>208</v>
      </c>
      <c r="X16" s="685" t="s">
        <v>208</v>
      </c>
      <c r="Y16" s="685" t="s">
        <v>208</v>
      </c>
      <c r="Z16" s="685" t="s">
        <v>208</v>
      </c>
      <c r="AA16" s="685" t="s">
        <v>208</v>
      </c>
      <c r="AB16" s="685" t="s">
        <v>208</v>
      </c>
      <c r="AC16" s="685" t="s">
        <v>208</v>
      </c>
      <c r="AD16" s="685" t="s">
        <v>208</v>
      </c>
      <c r="AE16" s="685" t="s">
        <v>208</v>
      </c>
      <c r="AF16" s="685" t="s">
        <v>208</v>
      </c>
      <c r="AG16" s="685" t="s">
        <v>208</v>
      </c>
      <c r="AH16" s="685" t="s">
        <v>208</v>
      </c>
      <c r="AI16" s="685" t="s">
        <v>208</v>
      </c>
      <c r="AJ16" s="685" t="s">
        <v>208</v>
      </c>
      <c r="AK16" s="685" t="s">
        <v>208</v>
      </c>
      <c r="AL16" s="685" t="s">
        <v>208</v>
      </c>
      <c r="AM16" s="685" t="s">
        <v>208</v>
      </c>
      <c r="AN16" s="685" t="s">
        <v>208</v>
      </c>
      <c r="AO16" s="685" t="s">
        <v>208</v>
      </c>
      <c r="AP16" s="685" t="s">
        <v>208</v>
      </c>
      <c r="AQ16" s="685" t="s">
        <v>208</v>
      </c>
      <c r="AR16" s="685" t="s">
        <v>208</v>
      </c>
      <c r="AS16" s="685" t="s">
        <v>208</v>
      </c>
      <c r="AT16" s="685" t="s">
        <v>208</v>
      </c>
      <c r="AU16" s="685" t="s">
        <v>208</v>
      </c>
      <c r="AV16" s="685" t="s">
        <v>208</v>
      </c>
      <c r="AW16" s="685" t="s">
        <v>208</v>
      </c>
    </row>
    <row r="17" spans="1:49" x14ac:dyDescent="0.4">
      <c r="A17" s="685" t="s">
        <v>482</v>
      </c>
      <c r="B17" s="685" t="s">
        <v>136</v>
      </c>
      <c r="C17" s="685" t="s">
        <v>127</v>
      </c>
      <c r="D17" s="685" t="s">
        <v>128</v>
      </c>
      <c r="E17" s="685" t="s">
        <v>129</v>
      </c>
      <c r="F17" s="685" t="s">
        <v>130</v>
      </c>
      <c r="G17" s="685" t="s">
        <v>55</v>
      </c>
      <c r="H17" s="685" t="s">
        <v>55</v>
      </c>
      <c r="I17" s="685" t="s">
        <v>127</v>
      </c>
      <c r="J17" s="685" t="s">
        <v>127</v>
      </c>
      <c r="K17" s="685" t="s">
        <v>127</v>
      </c>
      <c r="L17" s="685" t="s">
        <v>127</v>
      </c>
      <c r="M17" s="685" t="s">
        <v>127</v>
      </c>
      <c r="N17" s="685" t="s">
        <v>127</v>
      </c>
      <c r="O17" s="685" t="s">
        <v>127</v>
      </c>
      <c r="P17" s="685" t="s">
        <v>55</v>
      </c>
      <c r="Q17" s="685" t="s">
        <v>55</v>
      </c>
      <c r="R17" s="685" t="s">
        <v>55</v>
      </c>
      <c r="S17" s="685" t="s">
        <v>55</v>
      </c>
      <c r="T17" s="685" t="s">
        <v>55</v>
      </c>
      <c r="U17" s="685" t="s">
        <v>55</v>
      </c>
      <c r="V17" s="685" t="s">
        <v>55</v>
      </c>
      <c r="W17" s="685" t="s">
        <v>55</v>
      </c>
      <c r="X17" s="685" t="s">
        <v>55</v>
      </c>
      <c r="Y17" s="685" t="s">
        <v>129</v>
      </c>
      <c r="Z17" s="685" t="s">
        <v>129</v>
      </c>
      <c r="AA17" s="685" t="s">
        <v>131</v>
      </c>
      <c r="AB17" s="685" t="s">
        <v>131</v>
      </c>
      <c r="AC17" s="685" t="s">
        <v>132</v>
      </c>
      <c r="AD17" s="685" t="s">
        <v>55</v>
      </c>
      <c r="AE17" s="685" t="s">
        <v>55</v>
      </c>
      <c r="AF17" s="685" t="s">
        <v>54</v>
      </c>
      <c r="AG17" s="685" t="s">
        <v>55</v>
      </c>
      <c r="AH17" s="685" t="s">
        <v>55</v>
      </c>
      <c r="AI17" s="685" t="s">
        <v>55</v>
      </c>
      <c r="AJ17" s="685" t="s">
        <v>55</v>
      </c>
      <c r="AK17" s="685" t="s">
        <v>133</v>
      </c>
      <c r="AL17" s="685" t="s">
        <v>133</v>
      </c>
      <c r="AM17" s="685" t="s">
        <v>132</v>
      </c>
      <c r="AN17" s="685" t="s">
        <v>132</v>
      </c>
      <c r="AO17" s="685" t="s">
        <v>132</v>
      </c>
      <c r="AP17" s="685" t="s">
        <v>59</v>
      </c>
      <c r="AQ17" s="685" t="s">
        <v>55</v>
      </c>
      <c r="AR17" s="685" t="s">
        <v>134</v>
      </c>
      <c r="AS17" s="685" t="s">
        <v>135</v>
      </c>
      <c r="AT17" s="685" t="s">
        <v>134</v>
      </c>
      <c r="AU17" s="685" t="s">
        <v>135</v>
      </c>
      <c r="AV17" s="685" t="s">
        <v>134</v>
      </c>
      <c r="AW17" s="685" t="s">
        <v>134</v>
      </c>
    </row>
    <row r="19" spans="1:49" s="684" customFormat="1" ht="24.6" x14ac:dyDescent="0.4">
      <c r="A19" s="683" t="s">
        <v>554</v>
      </c>
      <c r="B19" s="684" t="s">
        <v>555</v>
      </c>
      <c r="C19" s="684" t="s">
        <v>556</v>
      </c>
      <c r="D19" s="684" t="s">
        <v>557</v>
      </c>
      <c r="E19" s="684" t="s">
        <v>558</v>
      </c>
      <c r="F19" s="684" t="s">
        <v>559</v>
      </c>
      <c r="G19" s="684" t="s">
        <v>560</v>
      </c>
      <c r="H19" s="684" t="s">
        <v>561</v>
      </c>
      <c r="I19" s="684" t="s">
        <v>562</v>
      </c>
      <c r="J19" s="684" t="s">
        <v>563</v>
      </c>
      <c r="K19" s="684" t="s">
        <v>564</v>
      </c>
      <c r="L19" s="684" t="s">
        <v>565</v>
      </c>
      <c r="M19" s="684" t="s">
        <v>566</v>
      </c>
      <c r="N19" s="684" t="s">
        <v>567</v>
      </c>
    </row>
    <row r="20" spans="1:49" ht="98.4" x14ac:dyDescent="0.4">
      <c r="A20" s="685" t="s">
        <v>457</v>
      </c>
      <c r="B20" s="685" t="s">
        <v>136</v>
      </c>
      <c r="C20" s="685" t="s">
        <v>136</v>
      </c>
      <c r="D20" s="686" t="s">
        <v>568</v>
      </c>
      <c r="E20" s="685" t="s">
        <v>136</v>
      </c>
      <c r="F20" s="686" t="s">
        <v>568</v>
      </c>
      <c r="G20" s="685" t="s">
        <v>136</v>
      </c>
      <c r="H20" s="686" t="s">
        <v>568</v>
      </c>
      <c r="I20" s="685" t="s">
        <v>136</v>
      </c>
      <c r="J20" s="686" t="s">
        <v>568</v>
      </c>
      <c r="K20" s="685" t="s">
        <v>136</v>
      </c>
      <c r="L20" s="686" t="s">
        <v>568</v>
      </c>
      <c r="M20" s="685" t="s">
        <v>136</v>
      </c>
      <c r="N20" s="686" t="s">
        <v>568</v>
      </c>
    </row>
    <row r="21" spans="1:49" x14ac:dyDescent="0.4">
      <c r="A21" s="685" t="s">
        <v>466</v>
      </c>
      <c r="B21" s="685" t="s">
        <v>136</v>
      </c>
      <c r="C21" s="685" t="s">
        <v>136</v>
      </c>
      <c r="D21" s="685" t="s">
        <v>467</v>
      </c>
      <c r="E21" s="685" t="s">
        <v>136</v>
      </c>
      <c r="F21" s="685" t="s">
        <v>467</v>
      </c>
      <c r="G21" s="685" t="s">
        <v>136</v>
      </c>
      <c r="H21" s="685" t="s">
        <v>467</v>
      </c>
      <c r="I21" s="685" t="s">
        <v>136</v>
      </c>
      <c r="J21" s="685" t="s">
        <v>467</v>
      </c>
      <c r="K21" s="685" t="s">
        <v>136</v>
      </c>
      <c r="L21" s="685" t="s">
        <v>467</v>
      </c>
      <c r="M21" s="685" t="s">
        <v>136</v>
      </c>
      <c r="N21" s="685" t="s">
        <v>467</v>
      </c>
    </row>
    <row r="22" spans="1:49" x14ac:dyDescent="0.4">
      <c r="A22" s="685" t="s">
        <v>468</v>
      </c>
      <c r="B22" s="685" t="s">
        <v>136</v>
      </c>
      <c r="C22" s="685" t="s">
        <v>136</v>
      </c>
      <c r="D22" s="685" t="s">
        <v>469</v>
      </c>
      <c r="E22" s="685" t="s">
        <v>136</v>
      </c>
      <c r="F22" s="685" t="s">
        <v>469</v>
      </c>
      <c r="G22" s="685" t="s">
        <v>136</v>
      </c>
      <c r="H22" s="685" t="s">
        <v>469</v>
      </c>
      <c r="I22" s="685" t="s">
        <v>136</v>
      </c>
      <c r="J22" s="685" t="s">
        <v>469</v>
      </c>
      <c r="K22" s="685" t="s">
        <v>136</v>
      </c>
      <c r="L22" s="685" t="s">
        <v>469</v>
      </c>
      <c r="M22" s="685" t="s">
        <v>136</v>
      </c>
      <c r="N22" s="685" t="s">
        <v>469</v>
      </c>
    </row>
    <row r="23" spans="1:49" x14ac:dyDescent="0.4">
      <c r="A23" s="685" t="s">
        <v>470</v>
      </c>
      <c r="B23" s="685" t="s">
        <v>136</v>
      </c>
      <c r="C23" s="685" t="s">
        <v>136</v>
      </c>
      <c r="D23" s="685" t="s">
        <v>471</v>
      </c>
      <c r="E23" s="685" t="s">
        <v>136</v>
      </c>
      <c r="F23" s="685" t="s">
        <v>471</v>
      </c>
      <c r="G23" s="685" t="s">
        <v>136</v>
      </c>
      <c r="H23" s="685" t="s">
        <v>471</v>
      </c>
      <c r="I23" s="685" t="s">
        <v>136</v>
      </c>
      <c r="J23" s="685" t="s">
        <v>471</v>
      </c>
      <c r="K23" s="685" t="s">
        <v>136</v>
      </c>
      <c r="L23" s="685" t="s">
        <v>471</v>
      </c>
      <c r="M23" s="685" t="s">
        <v>136</v>
      </c>
      <c r="N23" s="685" t="s">
        <v>471</v>
      </c>
    </row>
    <row r="24" spans="1:49" s="686" customFormat="1" x14ac:dyDescent="0.4">
      <c r="A24" s="686" t="s">
        <v>472</v>
      </c>
      <c r="D24" s="687" t="s">
        <v>569</v>
      </c>
      <c r="F24" s="687" t="s">
        <v>569</v>
      </c>
      <c r="H24" s="687" t="s">
        <v>569</v>
      </c>
      <c r="J24" s="687" t="s">
        <v>569</v>
      </c>
      <c r="L24" s="687" t="s">
        <v>569</v>
      </c>
      <c r="N24" s="687" t="s">
        <v>569</v>
      </c>
    </row>
    <row r="25" spans="1:49" x14ac:dyDescent="0.4">
      <c r="A25" s="685" t="s">
        <v>481</v>
      </c>
      <c r="B25" s="685" t="s">
        <v>136</v>
      </c>
      <c r="C25" s="685" t="s">
        <v>136</v>
      </c>
      <c r="D25" s="685" t="s">
        <v>208</v>
      </c>
      <c r="E25" s="685" t="s">
        <v>136</v>
      </c>
      <c r="F25" s="685" t="s">
        <v>208</v>
      </c>
      <c r="G25" s="685" t="s">
        <v>136</v>
      </c>
      <c r="H25" s="685" t="s">
        <v>208</v>
      </c>
      <c r="I25" s="685" t="s">
        <v>136</v>
      </c>
      <c r="J25" s="685" t="s">
        <v>208</v>
      </c>
      <c r="K25" s="685" t="s">
        <v>136</v>
      </c>
      <c r="L25" s="685" t="s">
        <v>208</v>
      </c>
      <c r="M25" s="685" t="s">
        <v>136</v>
      </c>
      <c r="N25" s="685" t="s">
        <v>208</v>
      </c>
    </row>
    <row r="26" spans="1:49" x14ac:dyDescent="0.4">
      <c r="A26" s="685" t="s">
        <v>482</v>
      </c>
      <c r="B26" s="685" t="s">
        <v>136</v>
      </c>
      <c r="C26" s="685" t="s">
        <v>136</v>
      </c>
      <c r="D26" s="685" t="s">
        <v>132</v>
      </c>
      <c r="E26" s="685" t="s">
        <v>136</v>
      </c>
      <c r="F26" s="685" t="s">
        <v>132</v>
      </c>
      <c r="G26" s="685" t="s">
        <v>136</v>
      </c>
      <c r="H26" s="685" t="s">
        <v>132</v>
      </c>
      <c r="I26" s="685" t="s">
        <v>136</v>
      </c>
      <c r="J26" s="685" t="s">
        <v>132</v>
      </c>
      <c r="K26" s="685" t="s">
        <v>136</v>
      </c>
      <c r="L26" s="685" t="s">
        <v>132</v>
      </c>
      <c r="M26" s="685" t="s">
        <v>136</v>
      </c>
      <c r="N26" s="685" t="s">
        <v>132</v>
      </c>
    </row>
    <row r="28" spans="1:49" s="684" customFormat="1" ht="24.6" x14ac:dyDescent="0.4">
      <c r="A28" s="683" t="s">
        <v>570</v>
      </c>
      <c r="B28" s="684" t="s">
        <v>555</v>
      </c>
      <c r="C28" s="684" t="s">
        <v>556</v>
      </c>
      <c r="D28" s="684" t="s">
        <v>571</v>
      </c>
      <c r="E28" s="684" t="s">
        <v>558</v>
      </c>
      <c r="F28" s="684" t="s">
        <v>572</v>
      </c>
      <c r="G28" s="684" t="s">
        <v>560</v>
      </c>
      <c r="H28" s="684" t="s">
        <v>573</v>
      </c>
      <c r="I28" s="684" t="s">
        <v>562</v>
      </c>
      <c r="J28" s="684" t="s">
        <v>574</v>
      </c>
      <c r="K28" s="684" t="s">
        <v>564</v>
      </c>
      <c r="L28" s="684" t="s">
        <v>575</v>
      </c>
      <c r="M28" s="684" t="s">
        <v>566</v>
      </c>
      <c r="N28" s="684" t="s">
        <v>576</v>
      </c>
    </row>
    <row r="29" spans="1:49" ht="98.4" x14ac:dyDescent="0.4">
      <c r="A29" s="685" t="s">
        <v>457</v>
      </c>
      <c r="B29" s="685" t="s">
        <v>136</v>
      </c>
      <c r="C29" s="686" t="s">
        <v>577</v>
      </c>
      <c r="D29" s="686" t="s">
        <v>538</v>
      </c>
      <c r="E29" s="686" t="s">
        <v>577</v>
      </c>
      <c r="F29" s="686" t="s">
        <v>538</v>
      </c>
      <c r="G29" s="686" t="s">
        <v>577</v>
      </c>
      <c r="H29" s="686" t="s">
        <v>538</v>
      </c>
      <c r="I29" s="686" t="s">
        <v>577</v>
      </c>
      <c r="J29" s="686" t="s">
        <v>538</v>
      </c>
      <c r="K29" s="686" t="s">
        <v>577</v>
      </c>
      <c r="L29" s="686" t="s">
        <v>538</v>
      </c>
      <c r="M29" s="686" t="s">
        <v>577</v>
      </c>
      <c r="N29" s="686" t="s">
        <v>538</v>
      </c>
    </row>
    <row r="30" spans="1:49" x14ac:dyDescent="0.4">
      <c r="A30" s="685" t="s">
        <v>466</v>
      </c>
      <c r="B30" s="685" t="s">
        <v>136</v>
      </c>
      <c r="C30" s="685" t="s">
        <v>467</v>
      </c>
      <c r="D30" s="685" t="s">
        <v>467</v>
      </c>
      <c r="E30" s="685" t="s">
        <v>467</v>
      </c>
      <c r="F30" s="685" t="s">
        <v>467</v>
      </c>
      <c r="G30" s="685" t="s">
        <v>467</v>
      </c>
      <c r="H30" s="685" t="s">
        <v>467</v>
      </c>
      <c r="I30" s="685" t="s">
        <v>467</v>
      </c>
      <c r="J30" s="685" t="s">
        <v>467</v>
      </c>
      <c r="K30" s="685" t="s">
        <v>467</v>
      </c>
      <c r="L30" s="685" t="s">
        <v>467</v>
      </c>
      <c r="M30" s="685" t="s">
        <v>467</v>
      </c>
      <c r="N30" s="685" t="s">
        <v>467</v>
      </c>
    </row>
    <row r="31" spans="1:49" x14ac:dyDescent="0.4">
      <c r="A31" s="685" t="s">
        <v>468</v>
      </c>
      <c r="B31" s="685" t="s">
        <v>136</v>
      </c>
      <c r="C31" s="685" t="s">
        <v>578</v>
      </c>
      <c r="D31" s="685" t="s">
        <v>469</v>
      </c>
      <c r="E31" s="685" t="s">
        <v>578</v>
      </c>
      <c r="F31" s="685" t="s">
        <v>469</v>
      </c>
      <c r="G31" s="685" t="s">
        <v>578</v>
      </c>
      <c r="H31" s="685" t="s">
        <v>469</v>
      </c>
      <c r="I31" s="685" t="s">
        <v>578</v>
      </c>
      <c r="J31" s="685" t="s">
        <v>469</v>
      </c>
      <c r="K31" s="685" t="s">
        <v>578</v>
      </c>
      <c r="L31" s="685" t="s">
        <v>469</v>
      </c>
      <c r="M31" s="685" t="s">
        <v>578</v>
      </c>
      <c r="N31" s="685" t="s">
        <v>469</v>
      </c>
    </row>
    <row r="32" spans="1:49" x14ac:dyDescent="0.4">
      <c r="A32" s="685" t="s">
        <v>470</v>
      </c>
      <c r="B32" s="685" t="s">
        <v>136</v>
      </c>
      <c r="C32" s="685" t="s">
        <v>471</v>
      </c>
      <c r="D32" s="685" t="s">
        <v>471</v>
      </c>
      <c r="E32" s="685" t="s">
        <v>471</v>
      </c>
      <c r="F32" s="685" t="s">
        <v>471</v>
      </c>
      <c r="G32" s="685" t="s">
        <v>471</v>
      </c>
      <c r="H32" s="685" t="s">
        <v>471</v>
      </c>
      <c r="I32" s="685" t="s">
        <v>471</v>
      </c>
      <c r="J32" s="685" t="s">
        <v>471</v>
      </c>
      <c r="K32" s="685" t="s">
        <v>471</v>
      </c>
      <c r="L32" s="685" t="s">
        <v>471</v>
      </c>
      <c r="M32" s="685" t="s">
        <v>471</v>
      </c>
      <c r="N32" s="685" t="s">
        <v>471</v>
      </c>
    </row>
    <row r="33" spans="1:17" s="686" customFormat="1" x14ac:dyDescent="0.4">
      <c r="A33" s="686" t="s">
        <v>472</v>
      </c>
      <c r="C33" s="686" t="s">
        <v>579</v>
      </c>
      <c r="D33" s="687" t="s">
        <v>551</v>
      </c>
      <c r="E33" s="686" t="s">
        <v>579</v>
      </c>
      <c r="F33" s="687" t="s">
        <v>551</v>
      </c>
      <c r="G33" s="686" t="s">
        <v>579</v>
      </c>
      <c r="H33" s="687" t="s">
        <v>551</v>
      </c>
      <c r="I33" s="686" t="s">
        <v>579</v>
      </c>
      <c r="J33" s="687" t="s">
        <v>551</v>
      </c>
      <c r="K33" s="686" t="s">
        <v>579</v>
      </c>
      <c r="L33" s="687" t="s">
        <v>551</v>
      </c>
      <c r="M33" s="686" t="s">
        <v>579</v>
      </c>
      <c r="N33" s="687" t="s">
        <v>551</v>
      </c>
    </row>
    <row r="34" spans="1:17" x14ac:dyDescent="0.4">
      <c r="A34" s="685" t="s">
        <v>481</v>
      </c>
      <c r="B34" s="685" t="s">
        <v>136</v>
      </c>
      <c r="C34" s="685" t="s">
        <v>580</v>
      </c>
      <c r="D34" s="685" t="s">
        <v>208</v>
      </c>
      <c r="E34" s="685" t="s">
        <v>580</v>
      </c>
      <c r="F34" s="685" t="s">
        <v>208</v>
      </c>
      <c r="G34" s="685" t="s">
        <v>580</v>
      </c>
      <c r="H34" s="685" t="s">
        <v>208</v>
      </c>
      <c r="I34" s="685" t="s">
        <v>580</v>
      </c>
      <c r="J34" s="685" t="s">
        <v>208</v>
      </c>
      <c r="K34" s="685" t="s">
        <v>580</v>
      </c>
      <c r="L34" s="685" t="s">
        <v>208</v>
      </c>
      <c r="M34" s="685" t="s">
        <v>580</v>
      </c>
      <c r="N34" s="685" t="s">
        <v>208</v>
      </c>
    </row>
    <row r="35" spans="1:17" x14ac:dyDescent="0.4">
      <c r="A35" s="685" t="s">
        <v>482</v>
      </c>
      <c r="B35" s="685" t="s">
        <v>136</v>
      </c>
      <c r="C35" s="685" t="s">
        <v>136</v>
      </c>
      <c r="D35" s="685" t="s">
        <v>133</v>
      </c>
      <c r="E35" s="685" t="s">
        <v>136</v>
      </c>
      <c r="F35" s="685" t="s">
        <v>133</v>
      </c>
      <c r="G35" s="685" t="s">
        <v>136</v>
      </c>
      <c r="H35" s="685" t="s">
        <v>133</v>
      </c>
      <c r="I35" s="685" t="s">
        <v>136</v>
      </c>
      <c r="J35" s="685" t="s">
        <v>133</v>
      </c>
      <c r="K35" s="685" t="s">
        <v>136</v>
      </c>
      <c r="L35" s="685" t="s">
        <v>133</v>
      </c>
      <c r="M35" s="685" t="s">
        <v>136</v>
      </c>
      <c r="N35" s="685" t="s">
        <v>133</v>
      </c>
    </row>
    <row r="37" spans="1:17" s="684" customFormat="1" ht="24.6" x14ac:dyDescent="0.4">
      <c r="A37" s="683" t="s">
        <v>581</v>
      </c>
      <c r="B37" s="684" t="s">
        <v>582</v>
      </c>
      <c r="C37" s="684" t="s">
        <v>583</v>
      </c>
      <c r="D37" s="684" t="s">
        <v>584</v>
      </c>
      <c r="E37" s="684" t="s">
        <v>585</v>
      </c>
      <c r="F37" s="684" t="s">
        <v>586</v>
      </c>
      <c r="G37" s="684" t="s">
        <v>587</v>
      </c>
      <c r="H37" s="684" t="s">
        <v>588</v>
      </c>
      <c r="I37" s="684" t="s">
        <v>589</v>
      </c>
      <c r="J37" s="684" t="s">
        <v>590</v>
      </c>
      <c r="K37" s="684" t="s">
        <v>591</v>
      </c>
      <c r="L37" s="684" t="s">
        <v>592</v>
      </c>
      <c r="M37" s="684" t="s">
        <v>593</v>
      </c>
      <c r="N37" s="684" t="s">
        <v>442</v>
      </c>
      <c r="O37" s="688" t="s">
        <v>594</v>
      </c>
      <c r="P37" s="684" t="s">
        <v>595</v>
      </c>
      <c r="Q37" s="684" t="s">
        <v>596</v>
      </c>
    </row>
    <row r="38" spans="1:17" ht="98.4" x14ac:dyDescent="0.4">
      <c r="A38" s="685" t="s">
        <v>457</v>
      </c>
      <c r="B38" s="686" t="s">
        <v>597</v>
      </c>
      <c r="C38" s="685" t="s">
        <v>136</v>
      </c>
      <c r="D38" s="685" t="s">
        <v>136</v>
      </c>
      <c r="E38" s="685" t="s">
        <v>136</v>
      </c>
      <c r="F38" s="685" t="s">
        <v>136</v>
      </c>
      <c r="G38" s="685" t="s">
        <v>136</v>
      </c>
      <c r="H38" s="685" t="s">
        <v>136</v>
      </c>
      <c r="I38" s="685" t="s">
        <v>136</v>
      </c>
      <c r="J38" s="685" t="s">
        <v>136</v>
      </c>
      <c r="K38" s="685" t="s">
        <v>136</v>
      </c>
      <c r="L38" s="685" t="s">
        <v>136</v>
      </c>
      <c r="M38" s="686" t="s">
        <v>568</v>
      </c>
      <c r="N38" s="685" t="s">
        <v>136</v>
      </c>
      <c r="O38" s="685" t="s">
        <v>598</v>
      </c>
      <c r="P38" s="686" t="s">
        <v>599</v>
      </c>
      <c r="Q38" s="686" t="s">
        <v>599</v>
      </c>
    </row>
    <row r="39" spans="1:17" x14ac:dyDescent="0.4">
      <c r="A39" s="685" t="s">
        <v>466</v>
      </c>
      <c r="B39" s="685" t="s">
        <v>467</v>
      </c>
      <c r="C39" s="685" t="s">
        <v>136</v>
      </c>
      <c r="D39" s="685" t="s">
        <v>136</v>
      </c>
      <c r="E39" s="685" t="s">
        <v>136</v>
      </c>
      <c r="F39" s="685" t="s">
        <v>136</v>
      </c>
      <c r="G39" s="685" t="s">
        <v>136</v>
      </c>
      <c r="H39" s="685" t="s">
        <v>136</v>
      </c>
      <c r="I39" s="685" t="s">
        <v>136</v>
      </c>
      <c r="J39" s="685" t="s">
        <v>136</v>
      </c>
      <c r="K39" s="685" t="s">
        <v>136</v>
      </c>
      <c r="L39" s="685" t="s">
        <v>136</v>
      </c>
      <c r="M39" s="685" t="s">
        <v>467</v>
      </c>
      <c r="N39" s="685" t="s">
        <v>136</v>
      </c>
      <c r="O39" s="685" t="s">
        <v>467</v>
      </c>
      <c r="P39" s="685" t="s">
        <v>467</v>
      </c>
      <c r="Q39" s="685" t="s">
        <v>467</v>
      </c>
    </row>
    <row r="40" spans="1:17" x14ac:dyDescent="0.4">
      <c r="A40" s="685" t="s">
        <v>468</v>
      </c>
      <c r="B40" s="685" t="s">
        <v>600</v>
      </c>
      <c r="C40" s="685" t="s">
        <v>136</v>
      </c>
      <c r="D40" s="685" t="s">
        <v>136</v>
      </c>
      <c r="E40" s="685" t="s">
        <v>136</v>
      </c>
      <c r="F40" s="685" t="s">
        <v>136</v>
      </c>
      <c r="G40" s="685" t="s">
        <v>136</v>
      </c>
      <c r="H40" s="685" t="s">
        <v>136</v>
      </c>
      <c r="I40" s="685" t="s">
        <v>136</v>
      </c>
      <c r="J40" s="685" t="s">
        <v>136</v>
      </c>
      <c r="K40" s="685" t="s">
        <v>136</v>
      </c>
      <c r="L40" s="685" t="s">
        <v>136</v>
      </c>
      <c r="M40" s="685" t="s">
        <v>469</v>
      </c>
      <c r="N40" s="685" t="s">
        <v>136</v>
      </c>
      <c r="O40" s="685" t="s">
        <v>601</v>
      </c>
      <c r="P40" s="685" t="s">
        <v>600</v>
      </c>
      <c r="Q40" s="685" t="s">
        <v>600</v>
      </c>
    </row>
    <row r="41" spans="1:17" x14ac:dyDescent="0.4">
      <c r="A41" s="685" t="s">
        <v>470</v>
      </c>
      <c r="B41" s="685" t="s">
        <v>602</v>
      </c>
      <c r="C41" s="685" t="s">
        <v>136</v>
      </c>
      <c r="D41" s="685" t="s">
        <v>136</v>
      </c>
      <c r="E41" s="685" t="s">
        <v>136</v>
      </c>
      <c r="F41" s="685" t="s">
        <v>136</v>
      </c>
      <c r="G41" s="685" t="s">
        <v>136</v>
      </c>
      <c r="H41" s="685" t="s">
        <v>136</v>
      </c>
      <c r="I41" s="685" t="s">
        <v>136</v>
      </c>
      <c r="J41" s="685" t="s">
        <v>136</v>
      </c>
      <c r="K41" s="685" t="s">
        <v>136</v>
      </c>
      <c r="L41" s="685" t="s">
        <v>136</v>
      </c>
      <c r="M41" s="685" t="s">
        <v>471</v>
      </c>
      <c r="N41" s="685" t="s">
        <v>136</v>
      </c>
      <c r="O41" s="685" t="s">
        <v>471</v>
      </c>
      <c r="P41" s="685" t="s">
        <v>602</v>
      </c>
      <c r="Q41" s="685" t="s">
        <v>602</v>
      </c>
    </row>
    <row r="42" spans="1:17" s="686" customFormat="1" x14ac:dyDescent="0.4">
      <c r="A42" s="686" t="s">
        <v>472</v>
      </c>
      <c r="B42" s="686" t="s">
        <v>603</v>
      </c>
      <c r="M42" s="687" t="s">
        <v>569</v>
      </c>
      <c r="O42" s="686" t="s">
        <v>604</v>
      </c>
      <c r="P42" s="686" t="s">
        <v>605</v>
      </c>
      <c r="Q42" s="686" t="s">
        <v>605</v>
      </c>
    </row>
    <row r="43" spans="1:17" x14ac:dyDescent="0.4">
      <c r="A43" s="685" t="s">
        <v>481</v>
      </c>
      <c r="B43" s="685" t="s">
        <v>208</v>
      </c>
      <c r="C43" s="685" t="s">
        <v>136</v>
      </c>
      <c r="D43" s="685" t="s">
        <v>136</v>
      </c>
      <c r="E43" s="685" t="s">
        <v>136</v>
      </c>
      <c r="F43" s="685" t="s">
        <v>136</v>
      </c>
      <c r="G43" s="685" t="s">
        <v>136</v>
      </c>
      <c r="H43" s="685" t="s">
        <v>136</v>
      </c>
      <c r="I43" s="685" t="s">
        <v>136</v>
      </c>
      <c r="J43" s="685" t="s">
        <v>136</v>
      </c>
      <c r="K43" s="685" t="s">
        <v>136</v>
      </c>
      <c r="L43" s="685" t="s">
        <v>136</v>
      </c>
      <c r="M43" s="685" t="s">
        <v>208</v>
      </c>
      <c r="N43" s="685" t="s">
        <v>136</v>
      </c>
      <c r="O43" s="685" t="s">
        <v>606</v>
      </c>
      <c r="P43" s="685" t="s">
        <v>208</v>
      </c>
      <c r="Q43" s="685" t="s">
        <v>208</v>
      </c>
    </row>
    <row r="44" spans="1:17" x14ac:dyDescent="0.4">
      <c r="A44" s="685" t="s">
        <v>482</v>
      </c>
      <c r="B44" s="685" t="s">
        <v>188</v>
      </c>
      <c r="C44" s="685" t="s">
        <v>136</v>
      </c>
      <c r="D44" s="685" t="s">
        <v>136</v>
      </c>
      <c r="E44" s="685" t="s">
        <v>136</v>
      </c>
      <c r="F44" s="685" t="s">
        <v>136</v>
      </c>
      <c r="G44" s="685" t="s">
        <v>136</v>
      </c>
      <c r="H44" s="685" t="s">
        <v>136</v>
      </c>
      <c r="I44" s="685" t="s">
        <v>136</v>
      </c>
      <c r="J44" s="685" t="s">
        <v>136</v>
      </c>
      <c r="K44" s="685" t="s">
        <v>136</v>
      </c>
      <c r="L44" s="685" t="s">
        <v>136</v>
      </c>
      <c r="M44" s="685" t="s">
        <v>132</v>
      </c>
      <c r="N44" s="685" t="s">
        <v>136</v>
      </c>
      <c r="O44" s="685" t="s">
        <v>140</v>
      </c>
      <c r="P44" s="685" t="s">
        <v>189</v>
      </c>
      <c r="Q44" s="685" t="s">
        <v>189</v>
      </c>
    </row>
    <row r="46" spans="1:17" s="684" customFormat="1" ht="36.9" x14ac:dyDescent="0.4">
      <c r="A46" s="683" t="s">
        <v>607</v>
      </c>
      <c r="B46" s="684" t="s">
        <v>430</v>
      </c>
      <c r="C46" s="688" t="s">
        <v>608</v>
      </c>
      <c r="D46" s="688" t="s">
        <v>609</v>
      </c>
      <c r="E46" s="688" t="s">
        <v>610</v>
      </c>
      <c r="F46" s="688" t="s">
        <v>611</v>
      </c>
      <c r="G46" s="688" t="s">
        <v>612</v>
      </c>
      <c r="H46" s="688" t="s">
        <v>613</v>
      </c>
      <c r="I46" s="688" t="s">
        <v>614</v>
      </c>
      <c r="J46" s="688" t="s">
        <v>615</v>
      </c>
      <c r="K46" s="684" t="s">
        <v>616</v>
      </c>
      <c r="L46" s="688" t="s">
        <v>617</v>
      </c>
      <c r="M46" s="688" t="s">
        <v>618</v>
      </c>
    </row>
    <row r="47" spans="1:17" ht="98.4" x14ac:dyDescent="0.4">
      <c r="A47" s="685" t="s">
        <v>457</v>
      </c>
      <c r="B47" s="685" t="s">
        <v>136</v>
      </c>
      <c r="C47" s="686" t="s">
        <v>619</v>
      </c>
      <c r="D47" s="686" t="s">
        <v>620</v>
      </c>
      <c r="E47" s="686" t="s">
        <v>619</v>
      </c>
      <c r="F47" s="685" t="s">
        <v>136</v>
      </c>
      <c r="G47" s="686" t="s">
        <v>538</v>
      </c>
      <c r="H47" s="686" t="s">
        <v>538</v>
      </c>
      <c r="I47" s="686" t="s">
        <v>620</v>
      </c>
      <c r="J47" s="686" t="s">
        <v>620</v>
      </c>
      <c r="K47" s="686" t="s">
        <v>533</v>
      </c>
      <c r="L47" s="686" t="s">
        <v>620</v>
      </c>
      <c r="M47" s="686" t="s">
        <v>620</v>
      </c>
    </row>
    <row r="48" spans="1:17" x14ac:dyDescent="0.4">
      <c r="A48" s="685" t="s">
        <v>466</v>
      </c>
      <c r="B48" s="685" t="s">
        <v>136</v>
      </c>
      <c r="C48" s="685" t="s">
        <v>467</v>
      </c>
      <c r="D48" s="685" t="s">
        <v>467</v>
      </c>
      <c r="E48" s="685" t="s">
        <v>467</v>
      </c>
      <c r="F48" s="685" t="s">
        <v>136</v>
      </c>
      <c r="G48" s="685" t="s">
        <v>467</v>
      </c>
      <c r="H48" s="685" t="s">
        <v>467</v>
      </c>
      <c r="I48" s="685" t="s">
        <v>467</v>
      </c>
      <c r="J48" s="685" t="s">
        <v>467</v>
      </c>
      <c r="K48" s="685" t="s">
        <v>467</v>
      </c>
      <c r="L48" s="685" t="s">
        <v>467</v>
      </c>
      <c r="M48" s="685" t="s">
        <v>467</v>
      </c>
    </row>
    <row r="49" spans="1:21" x14ac:dyDescent="0.4">
      <c r="A49" s="685" t="s">
        <v>468</v>
      </c>
      <c r="B49" s="685" t="s">
        <v>136</v>
      </c>
      <c r="C49" s="685" t="s">
        <v>469</v>
      </c>
      <c r="D49" s="685" t="s">
        <v>469</v>
      </c>
      <c r="E49" s="685" t="s">
        <v>469</v>
      </c>
      <c r="F49" s="685" t="s">
        <v>136</v>
      </c>
      <c r="G49" s="685" t="s">
        <v>469</v>
      </c>
      <c r="H49" s="685" t="s">
        <v>469</v>
      </c>
      <c r="I49" s="685" t="s">
        <v>469</v>
      </c>
      <c r="J49" s="685" t="s">
        <v>469</v>
      </c>
      <c r="K49" s="685" t="s">
        <v>469</v>
      </c>
      <c r="L49" s="685" t="s">
        <v>469</v>
      </c>
      <c r="M49" s="685" t="s">
        <v>469</v>
      </c>
    </row>
    <row r="50" spans="1:21" x14ac:dyDescent="0.4">
      <c r="A50" s="685" t="s">
        <v>470</v>
      </c>
      <c r="B50" s="685" t="s">
        <v>136</v>
      </c>
      <c r="C50" s="685" t="s">
        <v>471</v>
      </c>
      <c r="D50" s="685" t="s">
        <v>471</v>
      </c>
      <c r="E50" s="685" t="s">
        <v>471</v>
      </c>
      <c r="F50" s="685" t="s">
        <v>136</v>
      </c>
      <c r="G50" s="685" t="s">
        <v>471</v>
      </c>
      <c r="H50" s="685" t="s">
        <v>471</v>
      </c>
      <c r="I50" s="685" t="s">
        <v>471</v>
      </c>
      <c r="J50" s="685" t="s">
        <v>471</v>
      </c>
      <c r="K50" s="685" t="s">
        <v>471</v>
      </c>
      <c r="L50" s="685" t="s">
        <v>471</v>
      </c>
      <c r="M50" s="685" t="s">
        <v>471</v>
      </c>
    </row>
    <row r="51" spans="1:21" s="686" customFormat="1" x14ac:dyDescent="0.4">
      <c r="A51" s="686" t="s">
        <v>472</v>
      </c>
      <c r="C51" s="687" t="s">
        <v>621</v>
      </c>
      <c r="D51" s="687" t="s">
        <v>545</v>
      </c>
      <c r="E51" s="687" t="s">
        <v>621</v>
      </c>
      <c r="G51" s="687" t="s">
        <v>551</v>
      </c>
      <c r="H51" s="687" t="s">
        <v>551</v>
      </c>
      <c r="I51" s="687" t="s">
        <v>545</v>
      </c>
      <c r="J51" s="687" t="s">
        <v>545</v>
      </c>
      <c r="K51" s="687" t="s">
        <v>546</v>
      </c>
      <c r="L51" s="687" t="s">
        <v>545</v>
      </c>
      <c r="M51" s="687" t="s">
        <v>545</v>
      </c>
    </row>
    <row r="52" spans="1:21" x14ac:dyDescent="0.4">
      <c r="A52" s="685" t="s">
        <v>481</v>
      </c>
      <c r="B52" s="685" t="s">
        <v>136</v>
      </c>
      <c r="C52" s="685" t="s">
        <v>208</v>
      </c>
      <c r="D52" s="685" t="s">
        <v>208</v>
      </c>
      <c r="E52" s="685" t="s">
        <v>208</v>
      </c>
      <c r="F52" s="685" t="s">
        <v>136</v>
      </c>
      <c r="G52" s="685" t="s">
        <v>208</v>
      </c>
      <c r="H52" s="685" t="s">
        <v>208</v>
      </c>
      <c r="I52" s="685" t="s">
        <v>208</v>
      </c>
      <c r="J52" s="685" t="s">
        <v>208</v>
      </c>
      <c r="K52" s="685" t="s">
        <v>208</v>
      </c>
      <c r="L52" s="685" t="s">
        <v>208</v>
      </c>
      <c r="M52" s="685" t="s">
        <v>208</v>
      </c>
    </row>
    <row r="53" spans="1:21" x14ac:dyDescent="0.4">
      <c r="A53" s="685" t="s">
        <v>482</v>
      </c>
      <c r="B53" s="685" t="s">
        <v>136</v>
      </c>
      <c r="C53" s="685" t="s">
        <v>205</v>
      </c>
      <c r="D53" s="685" t="s">
        <v>55</v>
      </c>
      <c r="E53" s="685" t="s">
        <v>205</v>
      </c>
      <c r="F53" s="685" t="s">
        <v>58</v>
      </c>
      <c r="G53" s="685" t="s">
        <v>133</v>
      </c>
      <c r="H53" s="685" t="s">
        <v>133</v>
      </c>
      <c r="I53" s="685" t="s">
        <v>55</v>
      </c>
      <c r="J53" s="685" t="s">
        <v>55</v>
      </c>
      <c r="K53" s="685" t="s">
        <v>127</v>
      </c>
      <c r="L53" s="685" t="s">
        <v>55</v>
      </c>
      <c r="M53" s="685" t="s">
        <v>55</v>
      </c>
    </row>
    <row r="55" spans="1:21" s="684" customFormat="1" ht="49.2" x14ac:dyDescent="0.4">
      <c r="A55" s="683" t="s">
        <v>622</v>
      </c>
      <c r="B55" s="684" t="s">
        <v>623</v>
      </c>
      <c r="C55" s="684" t="s">
        <v>624</v>
      </c>
      <c r="D55" s="684" t="s">
        <v>584</v>
      </c>
      <c r="E55" s="684" t="s">
        <v>625</v>
      </c>
      <c r="F55" s="684" t="s">
        <v>626</v>
      </c>
      <c r="G55" s="684" t="s">
        <v>627</v>
      </c>
      <c r="H55" s="684" t="s">
        <v>628</v>
      </c>
      <c r="I55" s="684" t="s">
        <v>589</v>
      </c>
      <c r="J55" s="688" t="s">
        <v>629</v>
      </c>
      <c r="K55" s="684" t="s">
        <v>591</v>
      </c>
      <c r="L55" s="684" t="s">
        <v>630</v>
      </c>
      <c r="M55" s="684" t="s">
        <v>631</v>
      </c>
      <c r="N55" s="688" t="s">
        <v>632</v>
      </c>
      <c r="O55" s="688" t="s">
        <v>633</v>
      </c>
      <c r="P55" s="688" t="s">
        <v>634</v>
      </c>
      <c r="Q55" s="684" t="s">
        <v>635</v>
      </c>
      <c r="R55" s="688" t="s">
        <v>636</v>
      </c>
      <c r="S55" s="684" t="s">
        <v>637</v>
      </c>
      <c r="T55" s="684" t="s">
        <v>638</v>
      </c>
      <c r="U55" s="684" t="s">
        <v>449</v>
      </c>
    </row>
    <row r="56" spans="1:21" ht="98.4" x14ac:dyDescent="0.4">
      <c r="A56" s="685" t="s">
        <v>457</v>
      </c>
      <c r="B56" s="685" t="s">
        <v>136</v>
      </c>
      <c r="C56" s="685" t="s">
        <v>136</v>
      </c>
      <c r="D56" s="685" t="s">
        <v>136</v>
      </c>
      <c r="E56" s="685" t="s">
        <v>136</v>
      </c>
      <c r="F56" s="685" t="s">
        <v>136</v>
      </c>
      <c r="G56" s="685" t="s">
        <v>136</v>
      </c>
      <c r="H56" s="685" t="s">
        <v>136</v>
      </c>
      <c r="I56" s="686" t="s">
        <v>639</v>
      </c>
      <c r="J56" s="685" t="s">
        <v>136</v>
      </c>
      <c r="K56" s="686" t="s">
        <v>465</v>
      </c>
      <c r="L56" s="685" t="s">
        <v>136</v>
      </c>
      <c r="M56" s="686" t="s">
        <v>465</v>
      </c>
      <c r="N56" s="685" t="s">
        <v>136</v>
      </c>
      <c r="O56" s="685" t="s">
        <v>136</v>
      </c>
      <c r="P56" s="685" t="s">
        <v>136</v>
      </c>
      <c r="Q56" s="685" t="s">
        <v>136</v>
      </c>
      <c r="R56" s="685" t="s">
        <v>136</v>
      </c>
      <c r="S56" s="685" t="s">
        <v>136</v>
      </c>
      <c r="T56" s="685" t="s">
        <v>136</v>
      </c>
      <c r="U56" s="685" t="s">
        <v>136</v>
      </c>
    </row>
    <row r="57" spans="1:21" x14ac:dyDescent="0.4">
      <c r="A57" s="685" t="s">
        <v>466</v>
      </c>
      <c r="B57" s="685" t="s">
        <v>136</v>
      </c>
      <c r="C57" s="685" t="s">
        <v>136</v>
      </c>
      <c r="D57" s="685" t="s">
        <v>136</v>
      </c>
      <c r="E57" s="685" t="s">
        <v>136</v>
      </c>
      <c r="F57" s="685" t="s">
        <v>136</v>
      </c>
      <c r="G57" s="685" t="s">
        <v>136</v>
      </c>
      <c r="H57" s="685" t="s">
        <v>136</v>
      </c>
      <c r="I57" s="685" t="s">
        <v>467</v>
      </c>
      <c r="J57" s="685" t="s">
        <v>136</v>
      </c>
      <c r="K57" s="685" t="s">
        <v>467</v>
      </c>
      <c r="L57" s="685" t="s">
        <v>136</v>
      </c>
      <c r="M57" s="685" t="s">
        <v>467</v>
      </c>
      <c r="N57" s="685" t="s">
        <v>136</v>
      </c>
      <c r="O57" s="685" t="s">
        <v>136</v>
      </c>
      <c r="P57" s="685" t="s">
        <v>136</v>
      </c>
      <c r="Q57" s="685" t="s">
        <v>136</v>
      </c>
      <c r="R57" s="685" t="s">
        <v>136</v>
      </c>
      <c r="S57" s="685" t="s">
        <v>136</v>
      </c>
      <c r="T57" s="685" t="s">
        <v>136</v>
      </c>
      <c r="U57" s="685" t="s">
        <v>136</v>
      </c>
    </row>
    <row r="58" spans="1:21" x14ac:dyDescent="0.4">
      <c r="A58" s="685" t="s">
        <v>468</v>
      </c>
      <c r="B58" s="685" t="s">
        <v>136</v>
      </c>
      <c r="C58" s="685" t="s">
        <v>136</v>
      </c>
      <c r="D58" s="685" t="s">
        <v>136</v>
      </c>
      <c r="E58" s="685" t="s">
        <v>136</v>
      </c>
      <c r="F58" s="685" t="s">
        <v>136</v>
      </c>
      <c r="G58" s="685" t="s">
        <v>136</v>
      </c>
      <c r="H58" s="685" t="s">
        <v>136</v>
      </c>
      <c r="I58" s="685" t="s">
        <v>469</v>
      </c>
      <c r="J58" s="685" t="s">
        <v>136</v>
      </c>
      <c r="K58" s="685" t="s">
        <v>469</v>
      </c>
      <c r="L58" s="685" t="s">
        <v>136</v>
      </c>
      <c r="M58" s="685" t="s">
        <v>469</v>
      </c>
      <c r="N58" s="685" t="s">
        <v>136</v>
      </c>
      <c r="O58" s="685" t="s">
        <v>136</v>
      </c>
      <c r="P58" s="685" t="s">
        <v>136</v>
      </c>
      <c r="Q58" s="685" t="s">
        <v>136</v>
      </c>
      <c r="R58" s="685" t="s">
        <v>136</v>
      </c>
      <c r="S58" s="685" t="s">
        <v>136</v>
      </c>
      <c r="T58" s="685" t="s">
        <v>136</v>
      </c>
      <c r="U58" s="685" t="s">
        <v>136</v>
      </c>
    </row>
    <row r="59" spans="1:21" x14ac:dyDescent="0.4">
      <c r="A59" s="685" t="s">
        <v>470</v>
      </c>
      <c r="B59" s="685" t="s">
        <v>136</v>
      </c>
      <c r="C59" s="685" t="s">
        <v>136</v>
      </c>
      <c r="D59" s="685" t="s">
        <v>136</v>
      </c>
      <c r="E59" s="685" t="s">
        <v>136</v>
      </c>
      <c r="F59" s="685" t="s">
        <v>136</v>
      </c>
      <c r="G59" s="685" t="s">
        <v>136</v>
      </c>
      <c r="H59" s="685" t="s">
        <v>136</v>
      </c>
      <c r="I59" s="685" t="s">
        <v>471</v>
      </c>
      <c r="J59" s="685" t="s">
        <v>136</v>
      </c>
      <c r="K59" s="685" t="s">
        <v>471</v>
      </c>
      <c r="L59" s="685" t="s">
        <v>136</v>
      </c>
      <c r="M59" s="685" t="s">
        <v>471</v>
      </c>
      <c r="N59" s="685" t="s">
        <v>136</v>
      </c>
      <c r="O59" s="685" t="s">
        <v>136</v>
      </c>
      <c r="P59" s="685" t="s">
        <v>136</v>
      </c>
      <c r="Q59" s="685" t="s">
        <v>136</v>
      </c>
      <c r="R59" s="685" t="s">
        <v>136</v>
      </c>
      <c r="S59" s="685" t="s">
        <v>136</v>
      </c>
      <c r="T59" s="685" t="s">
        <v>136</v>
      </c>
      <c r="U59" s="685" t="s">
        <v>136</v>
      </c>
    </row>
    <row r="60" spans="1:21" s="686" customFormat="1" x14ac:dyDescent="0.4">
      <c r="A60" s="686" t="s">
        <v>472</v>
      </c>
      <c r="I60" s="687" t="s">
        <v>640</v>
      </c>
      <c r="K60" s="687" t="s">
        <v>480</v>
      </c>
      <c r="M60" s="687" t="s">
        <v>480</v>
      </c>
    </row>
    <row r="61" spans="1:21" x14ac:dyDescent="0.4">
      <c r="A61" s="685" t="s">
        <v>481</v>
      </c>
      <c r="B61" s="685" t="s">
        <v>136</v>
      </c>
      <c r="C61" s="685" t="s">
        <v>136</v>
      </c>
      <c r="D61" s="685" t="s">
        <v>136</v>
      </c>
      <c r="E61" s="685" t="s">
        <v>136</v>
      </c>
      <c r="F61" s="685" t="s">
        <v>136</v>
      </c>
      <c r="G61" s="685" t="s">
        <v>136</v>
      </c>
      <c r="H61" s="685" t="s">
        <v>136</v>
      </c>
      <c r="I61" s="685" t="s">
        <v>208</v>
      </c>
      <c r="J61" s="685" t="s">
        <v>136</v>
      </c>
      <c r="K61" s="685" t="s">
        <v>208</v>
      </c>
      <c r="L61" s="685" t="s">
        <v>136</v>
      </c>
      <c r="M61" s="685" t="s">
        <v>208</v>
      </c>
      <c r="N61" s="685" t="s">
        <v>136</v>
      </c>
      <c r="O61" s="685" t="s">
        <v>136</v>
      </c>
      <c r="P61" s="685" t="s">
        <v>136</v>
      </c>
      <c r="Q61" s="685" t="s">
        <v>136</v>
      </c>
      <c r="R61" s="685" t="s">
        <v>136</v>
      </c>
      <c r="S61" s="685" t="s">
        <v>136</v>
      </c>
      <c r="T61" s="685" t="s">
        <v>136</v>
      </c>
      <c r="U61" s="685" t="s">
        <v>136</v>
      </c>
    </row>
    <row r="62" spans="1:21" x14ac:dyDescent="0.4">
      <c r="A62" s="685" t="s">
        <v>482</v>
      </c>
    </row>
    <row r="64" spans="1:21" s="684" customFormat="1" ht="36.9" x14ac:dyDescent="0.4">
      <c r="A64" s="683" t="s">
        <v>641</v>
      </c>
      <c r="B64" s="684" t="s">
        <v>430</v>
      </c>
      <c r="C64" s="684" t="s">
        <v>642</v>
      </c>
      <c r="D64" s="684" t="s">
        <v>643</v>
      </c>
      <c r="E64" s="684" t="s">
        <v>644</v>
      </c>
      <c r="F64" s="684" t="s">
        <v>645</v>
      </c>
      <c r="G64" s="684" t="s">
        <v>646</v>
      </c>
      <c r="H64" s="684" t="s">
        <v>647</v>
      </c>
      <c r="I64" s="684" t="s">
        <v>648</v>
      </c>
      <c r="J64" s="684" t="s">
        <v>649</v>
      </c>
      <c r="K64" s="684" t="s">
        <v>650</v>
      </c>
      <c r="L64" s="684" t="s">
        <v>651</v>
      </c>
      <c r="M64" s="684" t="s">
        <v>652</v>
      </c>
      <c r="N64" s="684" t="s">
        <v>653</v>
      </c>
      <c r="O64" s="684" t="s">
        <v>654</v>
      </c>
      <c r="P64" s="684" t="s">
        <v>655</v>
      </c>
      <c r="Q64" s="684" t="s">
        <v>656</v>
      </c>
    </row>
    <row r="65" spans="1:17" ht="98.4" x14ac:dyDescent="0.4">
      <c r="A65" s="685" t="s">
        <v>457</v>
      </c>
      <c r="B65" s="685" t="s">
        <v>136</v>
      </c>
      <c r="C65" s="686" t="s">
        <v>657</v>
      </c>
      <c r="D65" s="686" t="s">
        <v>658</v>
      </c>
      <c r="E65" s="686" t="s">
        <v>657</v>
      </c>
      <c r="F65" s="686" t="s">
        <v>658</v>
      </c>
      <c r="G65" s="686" t="s">
        <v>657</v>
      </c>
      <c r="H65" s="686" t="s">
        <v>658</v>
      </c>
      <c r="I65" s="686" t="s">
        <v>657</v>
      </c>
      <c r="J65" s="686" t="s">
        <v>657</v>
      </c>
      <c r="K65" s="686" t="s">
        <v>658</v>
      </c>
      <c r="L65" s="686" t="s">
        <v>657</v>
      </c>
      <c r="M65" s="686" t="s">
        <v>658</v>
      </c>
      <c r="N65" s="686" t="s">
        <v>657</v>
      </c>
      <c r="O65" s="686" t="s">
        <v>658</v>
      </c>
      <c r="P65" s="686" t="s">
        <v>657</v>
      </c>
      <c r="Q65" s="685" t="s">
        <v>136</v>
      </c>
    </row>
    <row r="66" spans="1:17" x14ac:dyDescent="0.4">
      <c r="A66" s="685" t="s">
        <v>466</v>
      </c>
      <c r="B66" s="685" t="s">
        <v>136</v>
      </c>
      <c r="C66" s="685" t="s">
        <v>467</v>
      </c>
      <c r="D66" s="685" t="s">
        <v>467</v>
      </c>
      <c r="E66" s="685" t="s">
        <v>467</v>
      </c>
      <c r="F66" s="685" t="s">
        <v>467</v>
      </c>
      <c r="G66" s="685" t="s">
        <v>467</v>
      </c>
      <c r="H66" s="685" t="s">
        <v>467</v>
      </c>
      <c r="I66" s="685" t="s">
        <v>467</v>
      </c>
      <c r="J66" s="685" t="s">
        <v>467</v>
      </c>
      <c r="K66" s="685" t="s">
        <v>467</v>
      </c>
      <c r="L66" s="685" t="s">
        <v>467</v>
      </c>
      <c r="M66" s="685" t="s">
        <v>467</v>
      </c>
      <c r="N66" s="685" t="s">
        <v>467</v>
      </c>
      <c r="O66" s="685" t="s">
        <v>467</v>
      </c>
      <c r="P66" s="685" t="s">
        <v>467</v>
      </c>
      <c r="Q66" s="685" t="s">
        <v>136</v>
      </c>
    </row>
    <row r="67" spans="1:17" x14ac:dyDescent="0.4">
      <c r="A67" s="685" t="s">
        <v>468</v>
      </c>
      <c r="B67" s="685" t="s">
        <v>136</v>
      </c>
      <c r="C67" s="685" t="s">
        <v>469</v>
      </c>
      <c r="D67" s="685" t="s">
        <v>600</v>
      </c>
      <c r="E67" s="685" t="s">
        <v>469</v>
      </c>
      <c r="F67" s="685" t="s">
        <v>600</v>
      </c>
      <c r="G67" s="685" t="s">
        <v>469</v>
      </c>
      <c r="H67" s="685" t="s">
        <v>600</v>
      </c>
      <c r="I67" s="685" t="s">
        <v>469</v>
      </c>
      <c r="J67" s="685" t="s">
        <v>469</v>
      </c>
      <c r="K67" s="685" t="s">
        <v>600</v>
      </c>
      <c r="L67" s="685" t="s">
        <v>469</v>
      </c>
      <c r="M67" s="685" t="s">
        <v>600</v>
      </c>
      <c r="N67" s="685" t="s">
        <v>469</v>
      </c>
      <c r="O67" s="685" t="s">
        <v>600</v>
      </c>
      <c r="P67" s="685" t="s">
        <v>469</v>
      </c>
      <c r="Q67" s="685" t="s">
        <v>136</v>
      </c>
    </row>
    <row r="68" spans="1:17" x14ac:dyDescent="0.4">
      <c r="A68" s="685" t="s">
        <v>470</v>
      </c>
      <c r="B68" s="685" t="s">
        <v>136</v>
      </c>
      <c r="C68" s="685" t="s">
        <v>471</v>
      </c>
      <c r="D68" s="685" t="s">
        <v>659</v>
      </c>
      <c r="E68" s="685" t="s">
        <v>471</v>
      </c>
      <c r="F68" s="685" t="s">
        <v>659</v>
      </c>
      <c r="G68" s="685" t="s">
        <v>471</v>
      </c>
      <c r="H68" s="685" t="s">
        <v>659</v>
      </c>
      <c r="I68" s="685" t="s">
        <v>471</v>
      </c>
      <c r="J68" s="685" t="s">
        <v>471</v>
      </c>
      <c r="K68" s="685" t="s">
        <v>659</v>
      </c>
      <c r="L68" s="685" t="s">
        <v>471</v>
      </c>
      <c r="M68" s="685" t="s">
        <v>659</v>
      </c>
      <c r="N68" s="685" t="s">
        <v>471</v>
      </c>
      <c r="O68" s="685" t="s">
        <v>659</v>
      </c>
      <c r="P68" s="685" t="s">
        <v>471</v>
      </c>
      <c r="Q68" s="685" t="s">
        <v>136</v>
      </c>
    </row>
    <row r="69" spans="1:17" s="686" customFormat="1" ht="24.6" x14ac:dyDescent="0.4">
      <c r="A69" s="686" t="s">
        <v>472</v>
      </c>
      <c r="C69" s="687" t="s">
        <v>660</v>
      </c>
      <c r="D69" s="686" t="s">
        <v>661</v>
      </c>
      <c r="E69" s="687" t="s">
        <v>660</v>
      </c>
      <c r="F69" s="686" t="s">
        <v>661</v>
      </c>
      <c r="G69" s="687" t="s">
        <v>660</v>
      </c>
      <c r="H69" s="686" t="s">
        <v>661</v>
      </c>
      <c r="I69" s="687" t="s">
        <v>660</v>
      </c>
      <c r="J69" s="687" t="s">
        <v>660</v>
      </c>
      <c r="K69" s="686" t="s">
        <v>661</v>
      </c>
      <c r="L69" s="687" t="s">
        <v>660</v>
      </c>
      <c r="M69" s="686" t="s">
        <v>661</v>
      </c>
      <c r="N69" s="687" t="s">
        <v>660</v>
      </c>
      <c r="O69" s="686" t="s">
        <v>661</v>
      </c>
      <c r="P69" s="687" t="s">
        <v>660</v>
      </c>
    </row>
    <row r="70" spans="1:17" x14ac:dyDescent="0.4">
      <c r="A70" s="685" t="s">
        <v>481</v>
      </c>
      <c r="B70" s="685" t="s">
        <v>136</v>
      </c>
      <c r="C70" s="685" t="s">
        <v>208</v>
      </c>
      <c r="D70" s="685" t="s">
        <v>208</v>
      </c>
      <c r="E70" s="685" t="s">
        <v>208</v>
      </c>
      <c r="F70" s="685" t="s">
        <v>208</v>
      </c>
      <c r="G70" s="685" t="s">
        <v>208</v>
      </c>
      <c r="H70" s="685" t="s">
        <v>208</v>
      </c>
      <c r="I70" s="685" t="s">
        <v>208</v>
      </c>
      <c r="J70" s="685" t="s">
        <v>208</v>
      </c>
      <c r="K70" s="685" t="s">
        <v>208</v>
      </c>
      <c r="L70" s="685" t="s">
        <v>208</v>
      </c>
      <c r="M70" s="685" t="s">
        <v>208</v>
      </c>
      <c r="N70" s="685" t="s">
        <v>208</v>
      </c>
      <c r="O70" s="685" t="s">
        <v>208</v>
      </c>
      <c r="P70" s="685" t="s">
        <v>208</v>
      </c>
      <c r="Q70" s="685" t="s">
        <v>136</v>
      </c>
    </row>
    <row r="71" spans="1:17" x14ac:dyDescent="0.4">
      <c r="A71" s="685" t="s">
        <v>482</v>
      </c>
      <c r="B71" s="685" t="s">
        <v>136</v>
      </c>
      <c r="C71" s="685" t="s">
        <v>128</v>
      </c>
      <c r="D71" s="685" t="s">
        <v>231</v>
      </c>
      <c r="E71" s="685" t="s">
        <v>128</v>
      </c>
      <c r="F71" s="685" t="s">
        <v>231</v>
      </c>
      <c r="G71" s="685" t="s">
        <v>128</v>
      </c>
      <c r="H71" s="685" t="s">
        <v>231</v>
      </c>
      <c r="I71" s="685" t="s">
        <v>128</v>
      </c>
      <c r="J71" s="685" t="s">
        <v>128</v>
      </c>
      <c r="K71" s="685" t="s">
        <v>231</v>
      </c>
      <c r="L71" s="685" t="s">
        <v>128</v>
      </c>
      <c r="M71" s="685" t="s">
        <v>231</v>
      </c>
      <c r="N71" s="685" t="s">
        <v>128</v>
      </c>
      <c r="O71" s="685" t="s">
        <v>231</v>
      </c>
      <c r="P71" s="685" t="s">
        <v>128</v>
      </c>
      <c r="Q71" s="685" t="s">
        <v>136</v>
      </c>
    </row>
    <row r="73" spans="1:17" s="684" customFormat="1" ht="36.9" x14ac:dyDescent="0.4">
      <c r="A73" s="683" t="s">
        <v>662</v>
      </c>
      <c r="B73" s="684" t="s">
        <v>623</v>
      </c>
      <c r="C73" s="688" t="s">
        <v>663</v>
      </c>
      <c r="D73" s="688" t="s">
        <v>664</v>
      </c>
      <c r="E73" s="688" t="s">
        <v>665</v>
      </c>
      <c r="F73" s="688" t="s">
        <v>666</v>
      </c>
      <c r="G73" s="684" t="s">
        <v>667</v>
      </c>
      <c r="H73" s="684" t="s">
        <v>668</v>
      </c>
      <c r="I73" s="684" t="s">
        <v>669</v>
      </c>
      <c r="J73" s="688" t="s">
        <v>670</v>
      </c>
      <c r="K73" s="688" t="s">
        <v>671</v>
      </c>
      <c r="L73" s="688" t="s">
        <v>672</v>
      </c>
      <c r="M73" s="688" t="s">
        <v>673</v>
      </c>
    </row>
    <row r="74" spans="1:17" ht="98.4" x14ac:dyDescent="0.4">
      <c r="A74" s="685" t="s">
        <v>457</v>
      </c>
      <c r="B74" s="685" t="s">
        <v>136</v>
      </c>
      <c r="C74" s="685" t="s">
        <v>598</v>
      </c>
      <c r="D74" s="686" t="s">
        <v>674</v>
      </c>
      <c r="E74" s="685" t="s">
        <v>136</v>
      </c>
      <c r="F74" s="686" t="s">
        <v>658</v>
      </c>
      <c r="G74" s="686" t="s">
        <v>658</v>
      </c>
      <c r="H74" s="685" t="s">
        <v>136</v>
      </c>
      <c r="I74" s="686" t="s">
        <v>538</v>
      </c>
      <c r="J74" s="686" t="s">
        <v>674</v>
      </c>
      <c r="K74" s="686" t="s">
        <v>674</v>
      </c>
      <c r="L74" s="686" t="s">
        <v>675</v>
      </c>
      <c r="M74" s="686" t="s">
        <v>599</v>
      </c>
    </row>
    <row r="75" spans="1:17" x14ac:dyDescent="0.4">
      <c r="A75" s="685" t="s">
        <v>466</v>
      </c>
      <c r="B75" s="685" t="s">
        <v>136</v>
      </c>
      <c r="C75" s="685" t="s">
        <v>467</v>
      </c>
      <c r="D75" s="685" t="s">
        <v>676</v>
      </c>
      <c r="E75" s="685" t="s">
        <v>136</v>
      </c>
      <c r="F75" s="685" t="s">
        <v>467</v>
      </c>
      <c r="G75" s="685" t="s">
        <v>467</v>
      </c>
      <c r="H75" s="685" t="s">
        <v>136</v>
      </c>
      <c r="I75" s="685" t="s">
        <v>467</v>
      </c>
      <c r="J75" s="685" t="s">
        <v>676</v>
      </c>
      <c r="K75" s="685" t="s">
        <v>676</v>
      </c>
      <c r="L75" s="685" t="s">
        <v>467</v>
      </c>
      <c r="M75" s="685" t="s">
        <v>467</v>
      </c>
    </row>
    <row r="76" spans="1:17" x14ac:dyDescent="0.4">
      <c r="A76" s="685" t="s">
        <v>468</v>
      </c>
      <c r="B76" s="685" t="s">
        <v>136</v>
      </c>
      <c r="C76" s="685" t="s">
        <v>601</v>
      </c>
      <c r="D76" s="685" t="s">
        <v>541</v>
      </c>
      <c r="E76" s="685" t="s">
        <v>136</v>
      </c>
      <c r="F76" s="685" t="s">
        <v>600</v>
      </c>
      <c r="G76" s="685" t="s">
        <v>600</v>
      </c>
      <c r="H76" s="685" t="s">
        <v>136</v>
      </c>
      <c r="I76" s="685" t="s">
        <v>469</v>
      </c>
      <c r="J76" s="685" t="s">
        <v>541</v>
      </c>
      <c r="K76" s="685" t="s">
        <v>541</v>
      </c>
      <c r="L76" s="685" t="s">
        <v>469</v>
      </c>
      <c r="M76" s="685" t="s">
        <v>600</v>
      </c>
    </row>
    <row r="77" spans="1:17" x14ac:dyDescent="0.4">
      <c r="A77" s="685" t="s">
        <v>470</v>
      </c>
      <c r="B77" s="685" t="s">
        <v>136</v>
      </c>
      <c r="C77" s="685" t="s">
        <v>471</v>
      </c>
      <c r="D77" s="685" t="s">
        <v>471</v>
      </c>
      <c r="E77" s="685" t="s">
        <v>136</v>
      </c>
      <c r="F77" s="685" t="s">
        <v>659</v>
      </c>
      <c r="G77" s="685" t="s">
        <v>659</v>
      </c>
      <c r="H77" s="685" t="s">
        <v>136</v>
      </c>
      <c r="I77" s="685" t="s">
        <v>471</v>
      </c>
      <c r="J77" s="685" t="s">
        <v>471</v>
      </c>
      <c r="K77" s="685" t="s">
        <v>471</v>
      </c>
      <c r="L77" s="685" t="s">
        <v>471</v>
      </c>
      <c r="M77" s="685" t="s">
        <v>602</v>
      </c>
    </row>
    <row r="78" spans="1:17" s="686" customFormat="1" x14ac:dyDescent="0.4">
      <c r="A78" s="686" t="s">
        <v>472</v>
      </c>
      <c r="C78" s="686" t="s">
        <v>677</v>
      </c>
      <c r="D78" s="686" t="s">
        <v>678</v>
      </c>
      <c r="E78" s="685"/>
      <c r="F78" s="686" t="s">
        <v>661</v>
      </c>
      <c r="G78" s="686" t="s">
        <v>661</v>
      </c>
      <c r="I78" s="687" t="s">
        <v>551</v>
      </c>
      <c r="J78" s="686" t="s">
        <v>553</v>
      </c>
      <c r="K78" s="686" t="s">
        <v>553</v>
      </c>
      <c r="L78" s="687" t="s">
        <v>679</v>
      </c>
      <c r="M78" s="686" t="s">
        <v>605</v>
      </c>
    </row>
    <row r="79" spans="1:17" x14ac:dyDescent="0.4">
      <c r="A79" s="685" t="s">
        <v>481</v>
      </c>
      <c r="B79" s="685" t="s">
        <v>136</v>
      </c>
      <c r="C79" s="685" t="s">
        <v>680</v>
      </c>
      <c r="D79" s="685" t="s">
        <v>208</v>
      </c>
      <c r="E79" s="685" t="s">
        <v>136</v>
      </c>
      <c r="F79" s="685" t="s">
        <v>208</v>
      </c>
      <c r="G79" s="685" t="s">
        <v>208</v>
      </c>
      <c r="H79" s="685" t="s">
        <v>136</v>
      </c>
      <c r="I79" s="685" t="s">
        <v>208</v>
      </c>
      <c r="J79" s="685" t="s">
        <v>208</v>
      </c>
      <c r="K79" s="685" t="s">
        <v>208</v>
      </c>
      <c r="L79" s="685" t="s">
        <v>208</v>
      </c>
      <c r="M79" s="685" t="s">
        <v>208</v>
      </c>
    </row>
    <row r="80" spans="1:17" x14ac:dyDescent="0.4">
      <c r="A80" s="685" t="s">
        <v>482</v>
      </c>
      <c r="B80" s="685" t="s">
        <v>136</v>
      </c>
      <c r="C80" s="685" t="s">
        <v>140</v>
      </c>
      <c r="D80" s="685" t="s">
        <v>238</v>
      </c>
      <c r="E80" s="685" t="s">
        <v>239</v>
      </c>
      <c r="F80" s="685" t="s">
        <v>231</v>
      </c>
      <c r="G80" s="685" t="s">
        <v>231</v>
      </c>
      <c r="H80" s="685" t="s">
        <v>140</v>
      </c>
      <c r="I80" s="685" t="s">
        <v>133</v>
      </c>
      <c r="J80" s="685" t="s">
        <v>231</v>
      </c>
      <c r="K80" s="685" t="s">
        <v>231</v>
      </c>
      <c r="L80" s="685" t="s">
        <v>240</v>
      </c>
      <c r="M80" s="685" t="s">
        <v>189</v>
      </c>
    </row>
    <row r="82" spans="1:21" s="684" customFormat="1" ht="36.9" x14ac:dyDescent="0.4">
      <c r="A82" s="683" t="s">
        <v>681</v>
      </c>
      <c r="B82" s="684" t="s">
        <v>623</v>
      </c>
      <c r="C82" s="688" t="s">
        <v>682</v>
      </c>
      <c r="D82" s="688" t="s">
        <v>683</v>
      </c>
      <c r="E82" s="684" t="s">
        <v>684</v>
      </c>
      <c r="F82" s="684" t="s">
        <v>685</v>
      </c>
      <c r="G82" s="684" t="s">
        <v>686</v>
      </c>
      <c r="H82" s="688" t="s">
        <v>687</v>
      </c>
      <c r="I82" s="684" t="s">
        <v>589</v>
      </c>
      <c r="J82" s="684" t="s">
        <v>590</v>
      </c>
      <c r="K82" s="684" t="s">
        <v>591</v>
      </c>
      <c r="L82" s="684" t="s">
        <v>688</v>
      </c>
      <c r="M82" s="688" t="s">
        <v>689</v>
      </c>
      <c r="N82" s="688" t="s">
        <v>690</v>
      </c>
      <c r="O82" s="688" t="s">
        <v>691</v>
      </c>
      <c r="P82" s="688" t="s">
        <v>692</v>
      </c>
      <c r="Q82" s="688" t="s">
        <v>693</v>
      </c>
      <c r="R82" s="688" t="s">
        <v>694</v>
      </c>
    </row>
    <row r="83" spans="1:21" ht="98.4" x14ac:dyDescent="0.4">
      <c r="A83" s="685" t="s">
        <v>457</v>
      </c>
      <c r="B83" s="685" t="s">
        <v>136</v>
      </c>
      <c r="C83" s="685" t="s">
        <v>598</v>
      </c>
      <c r="D83" s="686" t="s">
        <v>658</v>
      </c>
      <c r="E83" s="686" t="s">
        <v>599</v>
      </c>
      <c r="F83" s="686" t="s">
        <v>538</v>
      </c>
      <c r="G83" s="686" t="s">
        <v>538</v>
      </c>
      <c r="H83" s="686" t="s">
        <v>538</v>
      </c>
      <c r="I83" s="686" t="s">
        <v>620</v>
      </c>
      <c r="J83" s="686" t="s">
        <v>620</v>
      </c>
      <c r="K83" s="686" t="s">
        <v>533</v>
      </c>
      <c r="L83" s="686" t="s">
        <v>533</v>
      </c>
      <c r="M83" s="686" t="s">
        <v>675</v>
      </c>
      <c r="N83" s="686" t="s">
        <v>536</v>
      </c>
      <c r="O83" s="686" t="s">
        <v>461</v>
      </c>
      <c r="P83" s="686" t="s">
        <v>461</v>
      </c>
      <c r="Q83" s="686" t="s">
        <v>534</v>
      </c>
      <c r="R83" s="686" t="s">
        <v>535</v>
      </c>
    </row>
    <row r="84" spans="1:21" x14ac:dyDescent="0.4">
      <c r="A84" s="685" t="s">
        <v>466</v>
      </c>
      <c r="B84" s="685" t="s">
        <v>136</v>
      </c>
      <c r="C84" s="685" t="s">
        <v>467</v>
      </c>
      <c r="D84" s="685" t="s">
        <v>467</v>
      </c>
      <c r="E84" s="685" t="s">
        <v>467</v>
      </c>
      <c r="F84" s="685" t="s">
        <v>467</v>
      </c>
      <c r="G84" s="685" t="s">
        <v>467</v>
      </c>
      <c r="H84" s="685" t="s">
        <v>467</v>
      </c>
      <c r="I84" s="685" t="s">
        <v>467</v>
      </c>
      <c r="J84" s="685" t="s">
        <v>467</v>
      </c>
      <c r="K84" s="685" t="s">
        <v>467</v>
      </c>
      <c r="L84" s="685" t="s">
        <v>467</v>
      </c>
      <c r="M84" s="685" t="s">
        <v>467</v>
      </c>
      <c r="N84" s="685" t="s">
        <v>467</v>
      </c>
      <c r="O84" s="685" t="s">
        <v>467</v>
      </c>
      <c r="P84" s="685" t="s">
        <v>467</v>
      </c>
      <c r="Q84" s="685" t="s">
        <v>467</v>
      </c>
      <c r="R84" s="685" t="s">
        <v>467</v>
      </c>
    </row>
    <row r="85" spans="1:21" x14ac:dyDescent="0.4">
      <c r="A85" s="685" t="s">
        <v>468</v>
      </c>
      <c r="B85" s="685" t="s">
        <v>136</v>
      </c>
      <c r="C85" s="685" t="s">
        <v>601</v>
      </c>
      <c r="D85" s="685" t="s">
        <v>600</v>
      </c>
      <c r="E85" s="685" t="s">
        <v>600</v>
      </c>
      <c r="F85" s="685" t="s">
        <v>469</v>
      </c>
      <c r="G85" s="685" t="s">
        <v>469</v>
      </c>
      <c r="H85" s="685" t="s">
        <v>469</v>
      </c>
      <c r="I85" s="685" t="s">
        <v>469</v>
      </c>
      <c r="J85" s="685" t="s">
        <v>469</v>
      </c>
      <c r="K85" s="685" t="s">
        <v>469</v>
      </c>
      <c r="L85" s="685" t="s">
        <v>469</v>
      </c>
      <c r="M85" s="685" t="s">
        <v>469</v>
      </c>
      <c r="N85" s="685" t="s">
        <v>469</v>
      </c>
      <c r="O85" s="685" t="s">
        <v>469</v>
      </c>
      <c r="P85" s="685" t="s">
        <v>469</v>
      </c>
      <c r="Q85" s="685" t="s">
        <v>469</v>
      </c>
      <c r="R85" s="685" t="s">
        <v>469</v>
      </c>
    </row>
    <row r="86" spans="1:21" x14ac:dyDescent="0.4">
      <c r="A86" s="685" t="s">
        <v>470</v>
      </c>
      <c r="B86" s="685" t="s">
        <v>136</v>
      </c>
      <c r="C86" s="685" t="s">
        <v>471</v>
      </c>
      <c r="D86" s="685" t="s">
        <v>659</v>
      </c>
      <c r="E86" s="685" t="s">
        <v>602</v>
      </c>
      <c r="F86" s="685" t="s">
        <v>471</v>
      </c>
      <c r="G86" s="685" t="s">
        <v>471</v>
      </c>
      <c r="H86" s="685" t="s">
        <v>471</v>
      </c>
      <c r="I86" s="685" t="s">
        <v>471</v>
      </c>
      <c r="J86" s="685" t="s">
        <v>471</v>
      </c>
      <c r="K86" s="685" t="s">
        <v>471</v>
      </c>
      <c r="L86" s="685" t="s">
        <v>471</v>
      </c>
      <c r="M86" s="685" t="s">
        <v>471</v>
      </c>
      <c r="N86" s="685" t="s">
        <v>471</v>
      </c>
      <c r="O86" s="685" t="s">
        <v>471</v>
      </c>
      <c r="P86" s="685" t="s">
        <v>471</v>
      </c>
      <c r="Q86" s="685" t="s">
        <v>471</v>
      </c>
      <c r="R86" s="685" t="s">
        <v>471</v>
      </c>
    </row>
    <row r="87" spans="1:21" s="686" customFormat="1" x14ac:dyDescent="0.4">
      <c r="A87" s="686" t="s">
        <v>472</v>
      </c>
      <c r="C87" s="686" t="s">
        <v>677</v>
      </c>
      <c r="D87" s="686" t="s">
        <v>661</v>
      </c>
      <c r="E87" s="686" t="s">
        <v>605</v>
      </c>
      <c r="F87" s="687" t="s">
        <v>551</v>
      </c>
      <c r="G87" s="687" t="s">
        <v>551</v>
      </c>
      <c r="H87" s="687" t="s">
        <v>551</v>
      </c>
      <c r="I87" s="687" t="s">
        <v>545</v>
      </c>
      <c r="J87" s="687" t="s">
        <v>545</v>
      </c>
      <c r="K87" s="687" t="s">
        <v>546</v>
      </c>
      <c r="L87" s="687" t="s">
        <v>546</v>
      </c>
      <c r="M87" s="687" t="s">
        <v>679</v>
      </c>
      <c r="N87" s="687" t="s">
        <v>549</v>
      </c>
      <c r="O87" s="687" t="s">
        <v>476</v>
      </c>
      <c r="P87" s="687" t="s">
        <v>476</v>
      </c>
      <c r="Q87" s="687" t="s">
        <v>547</v>
      </c>
      <c r="R87" s="687" t="s">
        <v>548</v>
      </c>
    </row>
    <row r="88" spans="1:21" x14ac:dyDescent="0.4">
      <c r="A88" s="685" t="s">
        <v>481</v>
      </c>
      <c r="B88" s="685" t="s">
        <v>136</v>
      </c>
      <c r="C88" s="685" t="s">
        <v>680</v>
      </c>
      <c r="D88" s="685" t="s">
        <v>208</v>
      </c>
      <c r="E88" s="685" t="s">
        <v>208</v>
      </c>
      <c r="F88" s="685" t="s">
        <v>208</v>
      </c>
      <c r="G88" s="685" t="s">
        <v>208</v>
      </c>
      <c r="H88" s="685" t="s">
        <v>208</v>
      </c>
      <c r="I88" s="685" t="s">
        <v>208</v>
      </c>
      <c r="J88" s="685" t="s">
        <v>208</v>
      </c>
      <c r="K88" s="685" t="s">
        <v>208</v>
      </c>
      <c r="L88" s="685" t="s">
        <v>208</v>
      </c>
      <c r="M88" s="685" t="s">
        <v>208</v>
      </c>
      <c r="N88" s="685" t="s">
        <v>208</v>
      </c>
      <c r="O88" s="685" t="s">
        <v>208</v>
      </c>
      <c r="P88" s="685" t="s">
        <v>208</v>
      </c>
      <c r="Q88" s="685" t="s">
        <v>208</v>
      </c>
      <c r="R88" s="685" t="s">
        <v>208</v>
      </c>
    </row>
    <row r="89" spans="1:21" x14ac:dyDescent="0.4">
      <c r="A89" s="685" t="s">
        <v>482</v>
      </c>
      <c r="B89" s="685" t="s">
        <v>136</v>
      </c>
      <c r="C89" s="685" t="s">
        <v>140</v>
      </c>
      <c r="D89" s="685" t="s">
        <v>231</v>
      </c>
      <c r="E89" s="685" t="s">
        <v>189</v>
      </c>
      <c r="F89" s="685" t="s">
        <v>133</v>
      </c>
      <c r="G89" s="685" t="s">
        <v>133</v>
      </c>
      <c r="H89" s="685" t="s">
        <v>133</v>
      </c>
      <c r="I89" s="685" t="s">
        <v>55</v>
      </c>
      <c r="J89" s="685" t="s">
        <v>55</v>
      </c>
      <c r="K89" s="685" t="s">
        <v>127</v>
      </c>
      <c r="L89" s="685" t="s">
        <v>127</v>
      </c>
      <c r="M89" s="685" t="s">
        <v>240</v>
      </c>
      <c r="N89" s="685" t="s">
        <v>132</v>
      </c>
      <c r="O89" s="685" t="s">
        <v>55</v>
      </c>
      <c r="P89" s="685" t="s">
        <v>55</v>
      </c>
      <c r="Q89" s="685" t="s">
        <v>129</v>
      </c>
      <c r="R89" s="685" t="s">
        <v>131</v>
      </c>
    </row>
    <row r="91" spans="1:21" s="684" customFormat="1" ht="24.6" x14ac:dyDescent="0.4">
      <c r="A91" s="683" t="s">
        <v>695</v>
      </c>
      <c r="B91" s="684" t="s">
        <v>623</v>
      </c>
      <c r="C91" s="684" t="s">
        <v>583</v>
      </c>
      <c r="D91" s="684" t="s">
        <v>584</v>
      </c>
      <c r="E91" s="684" t="s">
        <v>585</v>
      </c>
      <c r="F91" s="684" t="s">
        <v>586</v>
      </c>
      <c r="G91" s="684" t="s">
        <v>587</v>
      </c>
      <c r="H91" s="684" t="s">
        <v>588</v>
      </c>
      <c r="I91" s="684" t="s">
        <v>589</v>
      </c>
      <c r="J91" s="684" t="s">
        <v>590</v>
      </c>
      <c r="K91" s="684" t="s">
        <v>591</v>
      </c>
      <c r="L91" s="684" t="s">
        <v>592</v>
      </c>
      <c r="M91" s="684" t="s">
        <v>631</v>
      </c>
      <c r="N91" s="684" t="s">
        <v>442</v>
      </c>
      <c r="O91" s="684" t="s">
        <v>443</v>
      </c>
      <c r="P91" s="684" t="s">
        <v>444</v>
      </c>
      <c r="Q91" s="684" t="s">
        <v>445</v>
      </c>
      <c r="R91" s="684" t="s">
        <v>446</v>
      </c>
      <c r="S91" s="684" t="s">
        <v>447</v>
      </c>
      <c r="T91" s="684" t="s">
        <v>448</v>
      </c>
      <c r="U91" s="684" t="s">
        <v>449</v>
      </c>
    </row>
    <row r="92" spans="1:21" ht="98.4" x14ac:dyDescent="0.4">
      <c r="A92" s="685" t="s">
        <v>457</v>
      </c>
      <c r="B92" s="685" t="s">
        <v>136</v>
      </c>
      <c r="C92" s="685" t="s">
        <v>136</v>
      </c>
      <c r="D92" s="685" t="s">
        <v>136</v>
      </c>
      <c r="E92" s="685" t="s">
        <v>136</v>
      </c>
      <c r="F92" s="685" t="s">
        <v>136</v>
      </c>
      <c r="G92" s="685" t="s">
        <v>136</v>
      </c>
      <c r="H92" s="686" t="s">
        <v>465</v>
      </c>
      <c r="I92" s="685" t="s">
        <v>136</v>
      </c>
      <c r="J92" s="686" t="s">
        <v>465</v>
      </c>
      <c r="K92" s="685" t="s">
        <v>136</v>
      </c>
      <c r="L92" s="685" t="s">
        <v>136</v>
      </c>
      <c r="M92" s="685" t="s">
        <v>136</v>
      </c>
      <c r="N92" s="685" t="s">
        <v>136</v>
      </c>
      <c r="O92" s="685" t="s">
        <v>136</v>
      </c>
      <c r="P92" s="686" t="s">
        <v>465</v>
      </c>
      <c r="Q92" s="686" t="s">
        <v>465</v>
      </c>
      <c r="R92" s="685" t="s">
        <v>136</v>
      </c>
      <c r="S92" s="685" t="s">
        <v>136</v>
      </c>
      <c r="T92" s="685" t="s">
        <v>136</v>
      </c>
      <c r="U92" s="685" t="s">
        <v>136</v>
      </c>
    </row>
    <row r="93" spans="1:21" x14ac:dyDescent="0.4">
      <c r="A93" s="685" t="s">
        <v>466</v>
      </c>
      <c r="B93" s="685" t="s">
        <v>136</v>
      </c>
      <c r="C93" s="685" t="s">
        <v>136</v>
      </c>
      <c r="D93" s="685" t="s">
        <v>136</v>
      </c>
      <c r="E93" s="685" t="s">
        <v>136</v>
      </c>
      <c r="F93" s="685" t="s">
        <v>136</v>
      </c>
      <c r="G93" s="685" t="s">
        <v>136</v>
      </c>
      <c r="H93" s="685" t="s">
        <v>467</v>
      </c>
      <c r="I93" s="685" t="s">
        <v>136</v>
      </c>
      <c r="J93" s="685" t="s">
        <v>467</v>
      </c>
      <c r="K93" s="685" t="s">
        <v>136</v>
      </c>
      <c r="L93" s="685" t="s">
        <v>136</v>
      </c>
      <c r="M93" s="685" t="s">
        <v>136</v>
      </c>
      <c r="N93" s="685" t="s">
        <v>136</v>
      </c>
      <c r="O93" s="685" t="s">
        <v>136</v>
      </c>
      <c r="P93" s="685" t="s">
        <v>467</v>
      </c>
      <c r="Q93" s="685" t="s">
        <v>467</v>
      </c>
      <c r="R93" s="685" t="s">
        <v>136</v>
      </c>
      <c r="S93" s="685" t="s">
        <v>136</v>
      </c>
      <c r="T93" s="685" t="s">
        <v>136</v>
      </c>
      <c r="U93" s="685" t="s">
        <v>136</v>
      </c>
    </row>
    <row r="94" spans="1:21" x14ac:dyDescent="0.4">
      <c r="A94" s="685" t="s">
        <v>468</v>
      </c>
      <c r="B94" s="685" t="s">
        <v>136</v>
      </c>
      <c r="C94" s="685" t="s">
        <v>136</v>
      </c>
      <c r="D94" s="685" t="s">
        <v>136</v>
      </c>
      <c r="E94" s="685" t="s">
        <v>136</v>
      </c>
      <c r="F94" s="685" t="s">
        <v>136</v>
      </c>
      <c r="G94" s="685" t="s">
        <v>136</v>
      </c>
      <c r="H94" s="685" t="s">
        <v>469</v>
      </c>
      <c r="I94" s="685" t="s">
        <v>136</v>
      </c>
      <c r="J94" s="685" t="s">
        <v>469</v>
      </c>
      <c r="K94" s="685" t="s">
        <v>136</v>
      </c>
      <c r="L94" s="685" t="s">
        <v>136</v>
      </c>
      <c r="M94" s="685" t="s">
        <v>136</v>
      </c>
      <c r="N94" s="685" t="s">
        <v>136</v>
      </c>
      <c r="O94" s="685" t="s">
        <v>136</v>
      </c>
      <c r="P94" s="685" t="s">
        <v>469</v>
      </c>
      <c r="Q94" s="685" t="s">
        <v>469</v>
      </c>
      <c r="R94" s="685" t="s">
        <v>136</v>
      </c>
      <c r="S94" s="685" t="s">
        <v>136</v>
      </c>
      <c r="T94" s="685" t="s">
        <v>136</v>
      </c>
      <c r="U94" s="685" t="s">
        <v>136</v>
      </c>
    </row>
    <row r="95" spans="1:21" x14ac:dyDescent="0.4">
      <c r="A95" s="685" t="s">
        <v>470</v>
      </c>
      <c r="B95" s="685" t="s">
        <v>136</v>
      </c>
      <c r="C95" s="685" t="s">
        <v>136</v>
      </c>
      <c r="D95" s="685" t="s">
        <v>136</v>
      </c>
      <c r="E95" s="685" t="s">
        <v>136</v>
      </c>
      <c r="F95" s="685" t="s">
        <v>136</v>
      </c>
      <c r="G95" s="685" t="s">
        <v>136</v>
      </c>
      <c r="H95" s="685" t="s">
        <v>471</v>
      </c>
      <c r="I95" s="685" t="s">
        <v>136</v>
      </c>
      <c r="J95" s="685" t="s">
        <v>471</v>
      </c>
      <c r="K95" s="685" t="s">
        <v>136</v>
      </c>
      <c r="L95" s="685" t="s">
        <v>136</v>
      </c>
      <c r="M95" s="685" t="s">
        <v>136</v>
      </c>
      <c r="N95" s="685" t="s">
        <v>136</v>
      </c>
      <c r="O95" s="685" t="s">
        <v>136</v>
      </c>
      <c r="P95" s="685" t="s">
        <v>471</v>
      </c>
      <c r="Q95" s="685" t="s">
        <v>471</v>
      </c>
      <c r="R95" s="685" t="s">
        <v>136</v>
      </c>
      <c r="S95" s="685" t="s">
        <v>136</v>
      </c>
      <c r="T95" s="685" t="s">
        <v>136</v>
      </c>
      <c r="U95" s="685" t="s">
        <v>136</v>
      </c>
    </row>
    <row r="96" spans="1:21" s="686" customFormat="1" x14ac:dyDescent="0.4">
      <c r="A96" s="686" t="s">
        <v>472</v>
      </c>
      <c r="H96" s="687" t="s">
        <v>480</v>
      </c>
      <c r="J96" s="687" t="s">
        <v>480</v>
      </c>
      <c r="P96" s="687" t="s">
        <v>480</v>
      </c>
      <c r="Q96" s="687" t="s">
        <v>480</v>
      </c>
    </row>
    <row r="97" spans="1:28" x14ac:dyDescent="0.4">
      <c r="A97" s="685" t="s">
        <v>481</v>
      </c>
      <c r="B97" s="685" t="s">
        <v>136</v>
      </c>
      <c r="C97" s="685" t="s">
        <v>136</v>
      </c>
      <c r="D97" s="685" t="s">
        <v>136</v>
      </c>
      <c r="E97" s="685" t="s">
        <v>136</v>
      </c>
      <c r="F97" s="685" t="s">
        <v>136</v>
      </c>
      <c r="G97" s="685" t="s">
        <v>136</v>
      </c>
      <c r="H97" s="685" t="s">
        <v>208</v>
      </c>
      <c r="I97" s="685" t="s">
        <v>136</v>
      </c>
      <c r="J97" s="685" t="s">
        <v>208</v>
      </c>
      <c r="K97" s="685" t="s">
        <v>136</v>
      </c>
      <c r="L97" s="685" t="s">
        <v>136</v>
      </c>
      <c r="M97" s="685" t="s">
        <v>136</v>
      </c>
      <c r="N97" s="685" t="s">
        <v>136</v>
      </c>
      <c r="O97" s="685" t="s">
        <v>136</v>
      </c>
      <c r="P97" s="685" t="s">
        <v>208</v>
      </c>
      <c r="Q97" s="685" t="s">
        <v>208</v>
      </c>
      <c r="R97" s="685" t="s">
        <v>136</v>
      </c>
      <c r="S97" s="685" t="s">
        <v>136</v>
      </c>
      <c r="T97" s="685" t="s">
        <v>136</v>
      </c>
      <c r="U97" s="685" t="s">
        <v>136</v>
      </c>
    </row>
    <row r="98" spans="1:28" x14ac:dyDescent="0.4">
      <c r="A98" s="685" t="s">
        <v>482</v>
      </c>
    </row>
    <row r="100" spans="1:28" s="684" customFormat="1" ht="24.6" x14ac:dyDescent="0.4">
      <c r="A100" s="683" t="s">
        <v>696</v>
      </c>
      <c r="B100" s="684" t="s">
        <v>430</v>
      </c>
      <c r="C100" s="684" t="s">
        <v>431</v>
      </c>
      <c r="D100" s="684" t="s">
        <v>432</v>
      </c>
      <c r="E100" s="684" t="s">
        <v>433</v>
      </c>
      <c r="F100" s="684" t="s">
        <v>434</v>
      </c>
      <c r="G100" s="684" t="s">
        <v>435</v>
      </c>
      <c r="H100" s="684" t="s">
        <v>436</v>
      </c>
      <c r="I100" s="684" t="s">
        <v>437</v>
      </c>
      <c r="J100" s="684" t="s">
        <v>438</v>
      </c>
      <c r="K100" s="684" t="s">
        <v>439</v>
      </c>
      <c r="L100" s="684" t="s">
        <v>440</v>
      </c>
      <c r="M100" s="684" t="s">
        <v>441</v>
      </c>
      <c r="N100" s="684" t="s">
        <v>442</v>
      </c>
      <c r="O100" s="684" t="s">
        <v>443</v>
      </c>
      <c r="P100" s="684" t="s">
        <v>444</v>
      </c>
      <c r="Q100" s="684" t="s">
        <v>445</v>
      </c>
      <c r="R100" s="684" t="s">
        <v>446</v>
      </c>
      <c r="S100" s="684" t="s">
        <v>447</v>
      </c>
      <c r="T100" s="684" t="s">
        <v>448</v>
      </c>
      <c r="U100" s="684" t="s">
        <v>449</v>
      </c>
      <c r="V100" s="684" t="s">
        <v>450</v>
      </c>
      <c r="W100" s="684" t="s">
        <v>451</v>
      </c>
      <c r="X100" s="684" t="s">
        <v>452</v>
      </c>
      <c r="Y100" s="684" t="s">
        <v>453</v>
      </c>
      <c r="Z100" s="684" t="s">
        <v>454</v>
      </c>
      <c r="AA100" s="684" t="s">
        <v>455</v>
      </c>
      <c r="AB100" s="684" t="s">
        <v>456</v>
      </c>
    </row>
    <row r="101" spans="1:28" ht="86.1" x14ac:dyDescent="0.4">
      <c r="A101" s="685" t="s">
        <v>457</v>
      </c>
      <c r="B101" s="685" t="s">
        <v>136</v>
      </c>
      <c r="C101" s="685" t="s">
        <v>136</v>
      </c>
      <c r="D101" s="685" t="s">
        <v>136</v>
      </c>
      <c r="E101" s="685" t="s">
        <v>136</v>
      </c>
      <c r="F101" s="685" t="s">
        <v>136</v>
      </c>
      <c r="G101" s="685" t="s">
        <v>136</v>
      </c>
      <c r="H101" s="685" t="s">
        <v>136</v>
      </c>
      <c r="I101" s="685" t="s">
        <v>136</v>
      </c>
      <c r="J101" s="685" t="s">
        <v>136</v>
      </c>
      <c r="K101" s="685" t="s">
        <v>136</v>
      </c>
      <c r="L101" s="685" t="s">
        <v>136</v>
      </c>
      <c r="M101" s="685" t="s">
        <v>136</v>
      </c>
      <c r="N101" s="685" t="s">
        <v>136</v>
      </c>
      <c r="O101" s="686" t="s">
        <v>697</v>
      </c>
      <c r="P101" s="686" t="s">
        <v>697</v>
      </c>
      <c r="Q101" s="686" t="s">
        <v>697</v>
      </c>
      <c r="R101" s="686" t="s">
        <v>697</v>
      </c>
      <c r="S101" s="686" t="s">
        <v>697</v>
      </c>
      <c r="T101" s="686" t="s">
        <v>697</v>
      </c>
      <c r="U101" s="685" t="s">
        <v>136</v>
      </c>
      <c r="V101" s="686" t="s">
        <v>697</v>
      </c>
      <c r="W101" s="686" t="s">
        <v>697</v>
      </c>
      <c r="X101" s="686" t="s">
        <v>697</v>
      </c>
      <c r="Y101" s="686" t="s">
        <v>697</v>
      </c>
      <c r="Z101" s="686" t="s">
        <v>697</v>
      </c>
      <c r="AA101" s="686" t="s">
        <v>697</v>
      </c>
      <c r="AB101" s="685" t="s">
        <v>136</v>
      </c>
    </row>
    <row r="102" spans="1:28" x14ac:dyDescent="0.4">
      <c r="A102" s="685" t="s">
        <v>466</v>
      </c>
      <c r="B102" s="685" t="s">
        <v>136</v>
      </c>
      <c r="C102" s="685" t="s">
        <v>136</v>
      </c>
      <c r="D102" s="685" t="s">
        <v>136</v>
      </c>
      <c r="E102" s="685" t="s">
        <v>136</v>
      </c>
      <c r="F102" s="685" t="s">
        <v>136</v>
      </c>
      <c r="G102" s="685" t="s">
        <v>136</v>
      </c>
      <c r="H102" s="685" t="s">
        <v>136</v>
      </c>
      <c r="I102" s="685" t="s">
        <v>136</v>
      </c>
      <c r="J102" s="685" t="s">
        <v>136</v>
      </c>
      <c r="K102" s="685" t="s">
        <v>136</v>
      </c>
      <c r="L102" s="685" t="s">
        <v>136</v>
      </c>
      <c r="M102" s="685" t="s">
        <v>136</v>
      </c>
      <c r="N102" s="685" t="s">
        <v>136</v>
      </c>
      <c r="O102" s="685" t="s">
        <v>467</v>
      </c>
      <c r="P102" s="685" t="s">
        <v>467</v>
      </c>
      <c r="Q102" s="685" t="s">
        <v>467</v>
      </c>
      <c r="R102" s="685" t="s">
        <v>467</v>
      </c>
      <c r="S102" s="685" t="s">
        <v>467</v>
      </c>
      <c r="T102" s="685" t="s">
        <v>467</v>
      </c>
      <c r="U102" s="685" t="s">
        <v>136</v>
      </c>
      <c r="V102" s="685" t="s">
        <v>467</v>
      </c>
      <c r="W102" s="685" t="s">
        <v>467</v>
      </c>
      <c r="X102" s="685" t="s">
        <v>467</v>
      </c>
      <c r="Y102" s="685" t="s">
        <v>467</v>
      </c>
      <c r="Z102" s="685" t="s">
        <v>467</v>
      </c>
      <c r="AA102" s="685" t="s">
        <v>467</v>
      </c>
      <c r="AB102" s="685" t="s">
        <v>136</v>
      </c>
    </row>
    <row r="103" spans="1:28" x14ac:dyDescent="0.4">
      <c r="A103" s="685" t="s">
        <v>468</v>
      </c>
      <c r="B103" s="685" t="s">
        <v>136</v>
      </c>
      <c r="C103" s="685" t="s">
        <v>136</v>
      </c>
      <c r="D103" s="685" t="s">
        <v>136</v>
      </c>
      <c r="E103" s="685" t="s">
        <v>136</v>
      </c>
      <c r="F103" s="685" t="s">
        <v>136</v>
      </c>
      <c r="G103" s="685" t="s">
        <v>136</v>
      </c>
      <c r="H103" s="685" t="s">
        <v>136</v>
      </c>
      <c r="I103" s="685" t="s">
        <v>136</v>
      </c>
      <c r="J103" s="685" t="s">
        <v>136</v>
      </c>
      <c r="K103" s="685" t="s">
        <v>136</v>
      </c>
      <c r="L103" s="685" t="s">
        <v>136</v>
      </c>
      <c r="M103" s="685" t="s">
        <v>136</v>
      </c>
      <c r="N103" s="685" t="s">
        <v>136</v>
      </c>
      <c r="O103" s="685" t="s">
        <v>541</v>
      </c>
      <c r="P103" s="685" t="s">
        <v>541</v>
      </c>
      <c r="Q103" s="685" t="s">
        <v>541</v>
      </c>
      <c r="R103" s="685" t="s">
        <v>541</v>
      </c>
      <c r="S103" s="685" t="s">
        <v>541</v>
      </c>
      <c r="T103" s="685" t="s">
        <v>541</v>
      </c>
      <c r="U103" s="685" t="s">
        <v>136</v>
      </c>
      <c r="V103" s="685" t="s">
        <v>541</v>
      </c>
      <c r="W103" s="685" t="s">
        <v>541</v>
      </c>
      <c r="X103" s="685" t="s">
        <v>541</v>
      </c>
      <c r="Y103" s="685" t="s">
        <v>541</v>
      </c>
      <c r="Z103" s="685" t="s">
        <v>541</v>
      </c>
      <c r="AA103" s="685" t="s">
        <v>541</v>
      </c>
      <c r="AB103" s="685" t="s">
        <v>136</v>
      </c>
    </row>
    <row r="104" spans="1:28" x14ac:dyDescent="0.4">
      <c r="A104" s="685" t="s">
        <v>470</v>
      </c>
      <c r="B104" s="685" t="s">
        <v>136</v>
      </c>
      <c r="C104" s="685" t="s">
        <v>136</v>
      </c>
      <c r="D104" s="685" t="s">
        <v>136</v>
      </c>
      <c r="E104" s="685" t="s">
        <v>136</v>
      </c>
      <c r="F104" s="685" t="s">
        <v>136</v>
      </c>
      <c r="G104" s="685" t="s">
        <v>136</v>
      </c>
      <c r="H104" s="685" t="s">
        <v>136</v>
      </c>
      <c r="I104" s="685" t="s">
        <v>136</v>
      </c>
      <c r="J104" s="685" t="s">
        <v>136</v>
      </c>
      <c r="K104" s="685" t="s">
        <v>136</v>
      </c>
      <c r="L104" s="685" t="s">
        <v>136</v>
      </c>
      <c r="M104" s="685" t="s">
        <v>136</v>
      </c>
      <c r="N104" s="685" t="s">
        <v>136</v>
      </c>
      <c r="O104" s="685" t="s">
        <v>471</v>
      </c>
      <c r="P104" s="685" t="s">
        <v>471</v>
      </c>
      <c r="Q104" s="685" t="s">
        <v>471</v>
      </c>
      <c r="R104" s="685" t="s">
        <v>471</v>
      </c>
      <c r="S104" s="685" t="s">
        <v>471</v>
      </c>
      <c r="T104" s="685" t="s">
        <v>471</v>
      </c>
      <c r="U104" s="685" t="s">
        <v>136</v>
      </c>
      <c r="V104" s="685" t="s">
        <v>471</v>
      </c>
      <c r="W104" s="685" t="s">
        <v>471</v>
      </c>
      <c r="X104" s="685" t="s">
        <v>471</v>
      </c>
      <c r="Y104" s="685" t="s">
        <v>471</v>
      </c>
      <c r="Z104" s="685" t="s">
        <v>471</v>
      </c>
      <c r="AA104" s="685" t="s">
        <v>471</v>
      </c>
      <c r="AB104" s="685" t="s">
        <v>136</v>
      </c>
    </row>
    <row r="105" spans="1:28" s="686" customFormat="1" x14ac:dyDescent="0.4">
      <c r="A105" s="686" t="s">
        <v>472</v>
      </c>
      <c r="O105" s="686" t="s">
        <v>698</v>
      </c>
      <c r="P105" s="686" t="s">
        <v>698</v>
      </c>
      <c r="Q105" s="686" t="s">
        <v>698</v>
      </c>
      <c r="R105" s="686" t="s">
        <v>698</v>
      </c>
      <c r="S105" s="686" t="s">
        <v>698</v>
      </c>
      <c r="T105" s="686" t="s">
        <v>698</v>
      </c>
      <c r="V105" s="686" t="s">
        <v>698</v>
      </c>
      <c r="W105" s="686" t="s">
        <v>698</v>
      </c>
      <c r="X105" s="686" t="s">
        <v>698</v>
      </c>
      <c r="Y105" s="686" t="s">
        <v>698</v>
      </c>
      <c r="Z105" s="686" t="s">
        <v>698</v>
      </c>
      <c r="AA105" s="686" t="s">
        <v>698</v>
      </c>
    </row>
    <row r="106" spans="1:28" x14ac:dyDescent="0.4">
      <c r="A106" s="685" t="s">
        <v>481</v>
      </c>
      <c r="B106" s="685" t="s">
        <v>136</v>
      </c>
      <c r="C106" s="685" t="s">
        <v>136</v>
      </c>
      <c r="D106" s="685" t="s">
        <v>136</v>
      </c>
      <c r="E106" s="685" t="s">
        <v>136</v>
      </c>
      <c r="F106" s="685" t="s">
        <v>136</v>
      </c>
      <c r="G106" s="685" t="s">
        <v>136</v>
      </c>
      <c r="H106" s="685" t="s">
        <v>136</v>
      </c>
      <c r="I106" s="685" t="s">
        <v>136</v>
      </c>
      <c r="J106" s="685" t="s">
        <v>136</v>
      </c>
      <c r="K106" s="685" t="s">
        <v>136</v>
      </c>
      <c r="L106" s="685" t="s">
        <v>136</v>
      </c>
      <c r="M106" s="685" t="s">
        <v>136</v>
      </c>
      <c r="N106" s="685" t="s">
        <v>136</v>
      </c>
      <c r="O106" s="685" t="s">
        <v>208</v>
      </c>
      <c r="P106" s="685" t="s">
        <v>208</v>
      </c>
      <c r="Q106" s="685" t="s">
        <v>208</v>
      </c>
      <c r="R106" s="685" t="s">
        <v>208</v>
      </c>
      <c r="S106" s="685" t="s">
        <v>208</v>
      </c>
      <c r="T106" s="685" t="s">
        <v>208</v>
      </c>
      <c r="U106" s="685" t="s">
        <v>136</v>
      </c>
      <c r="V106" s="685" t="s">
        <v>208</v>
      </c>
      <c r="W106" s="685" t="s">
        <v>208</v>
      </c>
      <c r="X106" s="685" t="s">
        <v>208</v>
      </c>
      <c r="Y106" s="685" t="s">
        <v>208</v>
      </c>
      <c r="Z106" s="685" t="s">
        <v>208</v>
      </c>
      <c r="AA106" s="685" t="s">
        <v>208</v>
      </c>
      <c r="AB106" s="685" t="s">
        <v>136</v>
      </c>
    </row>
    <row r="107" spans="1:28" x14ac:dyDescent="0.4">
      <c r="A107" s="685" t="s">
        <v>482</v>
      </c>
    </row>
    <row r="109" spans="1:28" s="684" customFormat="1" ht="24.6" x14ac:dyDescent="0.4">
      <c r="A109" s="683" t="s">
        <v>699</v>
      </c>
      <c r="B109" s="684" t="s">
        <v>430</v>
      </c>
      <c r="C109" s="684" t="s">
        <v>431</v>
      </c>
      <c r="D109" s="684" t="s">
        <v>432</v>
      </c>
      <c r="E109" s="684" t="s">
        <v>433</v>
      </c>
      <c r="F109" s="684" t="s">
        <v>434</v>
      </c>
      <c r="G109" s="684" t="s">
        <v>435</v>
      </c>
      <c r="H109" s="684" t="s">
        <v>436</v>
      </c>
      <c r="I109" s="684" t="s">
        <v>437</v>
      </c>
      <c r="J109" s="684" t="s">
        <v>438</v>
      </c>
      <c r="K109" s="684" t="s">
        <v>439</v>
      </c>
      <c r="L109" s="684" t="s">
        <v>440</v>
      </c>
      <c r="M109" s="684" t="s">
        <v>441</v>
      </c>
      <c r="N109" s="684" t="s">
        <v>442</v>
      </c>
      <c r="O109" s="684" t="s">
        <v>443</v>
      </c>
      <c r="P109" s="684" t="s">
        <v>444</v>
      </c>
      <c r="Q109" s="684" t="s">
        <v>445</v>
      </c>
      <c r="R109" s="684" t="s">
        <v>446</v>
      </c>
      <c r="S109" s="684" t="s">
        <v>447</v>
      </c>
      <c r="T109" s="684" t="s">
        <v>448</v>
      </c>
      <c r="U109" s="684" t="s">
        <v>449</v>
      </c>
      <c r="V109" s="684" t="s">
        <v>450</v>
      </c>
      <c r="W109" s="684" t="s">
        <v>451</v>
      </c>
      <c r="X109" s="684" t="s">
        <v>452</v>
      </c>
      <c r="Y109" s="684" t="s">
        <v>453</v>
      </c>
      <c r="Z109" s="684" t="s">
        <v>454</v>
      </c>
      <c r="AA109" s="684" t="s">
        <v>455</v>
      </c>
      <c r="AB109" s="684" t="s">
        <v>456</v>
      </c>
    </row>
    <row r="110" spans="1:28" x14ac:dyDescent="0.4">
      <c r="A110" s="685" t="s">
        <v>457</v>
      </c>
      <c r="B110" s="685" t="s">
        <v>136</v>
      </c>
      <c r="C110" s="685" t="s">
        <v>136</v>
      </c>
      <c r="D110" s="685" t="s">
        <v>136</v>
      </c>
      <c r="E110" s="685" t="s">
        <v>136</v>
      </c>
      <c r="F110" s="685" t="s">
        <v>136</v>
      </c>
      <c r="G110" s="685" t="s">
        <v>136</v>
      </c>
      <c r="H110" s="685" t="s">
        <v>136</v>
      </c>
      <c r="I110" s="685" t="s">
        <v>136</v>
      </c>
      <c r="J110" s="685" t="s">
        <v>136</v>
      </c>
      <c r="K110" s="685" t="s">
        <v>136</v>
      </c>
      <c r="L110" s="685" t="s">
        <v>136</v>
      </c>
      <c r="M110" s="685" t="s">
        <v>136</v>
      </c>
      <c r="N110" s="685" t="s">
        <v>136</v>
      </c>
      <c r="O110" s="685" t="s">
        <v>136</v>
      </c>
      <c r="P110" s="685" t="s">
        <v>136</v>
      </c>
      <c r="Q110" s="685" t="s">
        <v>136</v>
      </c>
      <c r="R110" s="685" t="s">
        <v>136</v>
      </c>
      <c r="S110" s="685" t="s">
        <v>136</v>
      </c>
      <c r="T110" s="685" t="s">
        <v>136</v>
      </c>
      <c r="U110" s="685" t="s">
        <v>136</v>
      </c>
      <c r="V110" s="685" t="s">
        <v>136</v>
      </c>
      <c r="W110" s="685" t="s">
        <v>136</v>
      </c>
      <c r="X110" s="685" t="s">
        <v>136</v>
      </c>
      <c r="Y110" s="685" t="s">
        <v>136</v>
      </c>
      <c r="Z110" s="685" t="s">
        <v>136</v>
      </c>
      <c r="AA110" s="685" t="s">
        <v>136</v>
      </c>
      <c r="AB110" s="685" t="s">
        <v>136</v>
      </c>
    </row>
    <row r="111" spans="1:28" x14ac:dyDescent="0.4">
      <c r="A111" s="685" t="s">
        <v>466</v>
      </c>
      <c r="B111" s="685" t="s">
        <v>136</v>
      </c>
      <c r="C111" s="685" t="s">
        <v>136</v>
      </c>
      <c r="D111" s="685" t="s">
        <v>136</v>
      </c>
      <c r="E111" s="685" t="s">
        <v>136</v>
      </c>
      <c r="F111" s="685" t="s">
        <v>136</v>
      </c>
      <c r="G111" s="685" t="s">
        <v>136</v>
      </c>
      <c r="H111" s="685" t="s">
        <v>136</v>
      </c>
      <c r="I111" s="685" t="s">
        <v>136</v>
      </c>
      <c r="J111" s="685" t="s">
        <v>136</v>
      </c>
      <c r="K111" s="685" t="s">
        <v>136</v>
      </c>
      <c r="L111" s="685" t="s">
        <v>136</v>
      </c>
      <c r="M111" s="685" t="s">
        <v>136</v>
      </c>
      <c r="N111" s="685" t="s">
        <v>136</v>
      </c>
      <c r="O111" s="685" t="s">
        <v>136</v>
      </c>
      <c r="P111" s="685" t="s">
        <v>136</v>
      </c>
      <c r="Q111" s="685" t="s">
        <v>136</v>
      </c>
      <c r="R111" s="685" t="s">
        <v>136</v>
      </c>
      <c r="S111" s="685" t="s">
        <v>136</v>
      </c>
      <c r="T111" s="685" t="s">
        <v>136</v>
      </c>
      <c r="U111" s="685" t="s">
        <v>136</v>
      </c>
      <c r="V111" s="685" t="s">
        <v>136</v>
      </c>
      <c r="W111" s="685" t="s">
        <v>136</v>
      </c>
      <c r="X111" s="685" t="s">
        <v>136</v>
      </c>
      <c r="Y111" s="685" t="s">
        <v>136</v>
      </c>
      <c r="Z111" s="685" t="s">
        <v>136</v>
      </c>
      <c r="AA111" s="685" t="s">
        <v>136</v>
      </c>
      <c r="AB111" s="685" t="s">
        <v>136</v>
      </c>
    </row>
    <row r="112" spans="1:28" x14ac:dyDescent="0.4">
      <c r="A112" s="685" t="s">
        <v>468</v>
      </c>
      <c r="B112" s="685" t="s">
        <v>136</v>
      </c>
      <c r="C112" s="685" t="s">
        <v>136</v>
      </c>
      <c r="D112" s="685" t="s">
        <v>136</v>
      </c>
      <c r="E112" s="685" t="s">
        <v>136</v>
      </c>
      <c r="F112" s="685" t="s">
        <v>136</v>
      </c>
      <c r="G112" s="685" t="s">
        <v>136</v>
      </c>
      <c r="H112" s="685" t="s">
        <v>136</v>
      </c>
      <c r="I112" s="685" t="s">
        <v>136</v>
      </c>
      <c r="J112" s="685" t="s">
        <v>136</v>
      </c>
      <c r="K112" s="685" t="s">
        <v>136</v>
      </c>
      <c r="L112" s="685" t="s">
        <v>136</v>
      </c>
      <c r="M112" s="685" t="s">
        <v>136</v>
      </c>
      <c r="N112" s="685" t="s">
        <v>136</v>
      </c>
      <c r="O112" s="685" t="s">
        <v>136</v>
      </c>
      <c r="P112" s="685" t="s">
        <v>136</v>
      </c>
      <c r="Q112" s="685" t="s">
        <v>136</v>
      </c>
      <c r="R112" s="685" t="s">
        <v>136</v>
      </c>
      <c r="S112" s="685" t="s">
        <v>136</v>
      </c>
      <c r="T112" s="685" t="s">
        <v>136</v>
      </c>
      <c r="U112" s="685" t="s">
        <v>136</v>
      </c>
      <c r="V112" s="685" t="s">
        <v>136</v>
      </c>
      <c r="W112" s="685" t="s">
        <v>136</v>
      </c>
      <c r="X112" s="685" t="s">
        <v>136</v>
      </c>
      <c r="Y112" s="685" t="s">
        <v>136</v>
      </c>
      <c r="Z112" s="685" t="s">
        <v>136</v>
      </c>
      <c r="AA112" s="685" t="s">
        <v>136</v>
      </c>
      <c r="AB112" s="685" t="s">
        <v>136</v>
      </c>
    </row>
    <row r="113" spans="1:28" x14ac:dyDescent="0.4">
      <c r="A113" s="685" t="s">
        <v>470</v>
      </c>
      <c r="B113" s="685" t="s">
        <v>136</v>
      </c>
      <c r="C113" s="685" t="s">
        <v>136</v>
      </c>
      <c r="D113" s="685" t="s">
        <v>136</v>
      </c>
      <c r="E113" s="685" t="s">
        <v>136</v>
      </c>
      <c r="F113" s="685" t="s">
        <v>136</v>
      </c>
      <c r="G113" s="685" t="s">
        <v>136</v>
      </c>
      <c r="H113" s="685" t="s">
        <v>136</v>
      </c>
      <c r="I113" s="685" t="s">
        <v>136</v>
      </c>
      <c r="J113" s="685" t="s">
        <v>136</v>
      </c>
      <c r="K113" s="685" t="s">
        <v>136</v>
      </c>
      <c r="L113" s="685" t="s">
        <v>136</v>
      </c>
      <c r="M113" s="685" t="s">
        <v>136</v>
      </c>
      <c r="N113" s="685" t="s">
        <v>136</v>
      </c>
      <c r="O113" s="685" t="s">
        <v>136</v>
      </c>
      <c r="P113" s="685" t="s">
        <v>136</v>
      </c>
      <c r="Q113" s="685" t="s">
        <v>136</v>
      </c>
      <c r="R113" s="685" t="s">
        <v>136</v>
      </c>
      <c r="S113" s="685" t="s">
        <v>136</v>
      </c>
      <c r="T113" s="685" t="s">
        <v>136</v>
      </c>
      <c r="U113" s="685" t="s">
        <v>136</v>
      </c>
      <c r="V113" s="685" t="s">
        <v>136</v>
      </c>
      <c r="W113" s="685" t="s">
        <v>136</v>
      </c>
      <c r="X113" s="685" t="s">
        <v>136</v>
      </c>
      <c r="Y113" s="685" t="s">
        <v>136</v>
      </c>
      <c r="Z113" s="685" t="s">
        <v>136</v>
      </c>
      <c r="AA113" s="685" t="s">
        <v>136</v>
      </c>
      <c r="AB113" s="685" t="s">
        <v>136</v>
      </c>
    </row>
    <row r="114" spans="1:28" s="686" customFormat="1" x14ac:dyDescent="0.4">
      <c r="A114" s="686" t="s">
        <v>472</v>
      </c>
    </row>
    <row r="115" spans="1:28" x14ac:dyDescent="0.4">
      <c r="A115" s="685" t="s">
        <v>481</v>
      </c>
      <c r="B115" s="685" t="s">
        <v>136</v>
      </c>
      <c r="C115" s="685" t="s">
        <v>136</v>
      </c>
      <c r="D115" s="685" t="s">
        <v>136</v>
      </c>
      <c r="E115" s="685" t="s">
        <v>136</v>
      </c>
      <c r="F115" s="685" t="s">
        <v>136</v>
      </c>
      <c r="G115" s="685" t="s">
        <v>136</v>
      </c>
      <c r="H115" s="685" t="s">
        <v>136</v>
      </c>
      <c r="I115" s="685" t="s">
        <v>136</v>
      </c>
      <c r="J115" s="685" t="s">
        <v>136</v>
      </c>
      <c r="K115" s="685" t="s">
        <v>136</v>
      </c>
      <c r="L115" s="685" t="s">
        <v>136</v>
      </c>
      <c r="M115" s="685" t="s">
        <v>136</v>
      </c>
      <c r="N115" s="685" t="s">
        <v>136</v>
      </c>
      <c r="O115" s="685" t="s">
        <v>136</v>
      </c>
      <c r="P115" s="685" t="s">
        <v>136</v>
      </c>
      <c r="Q115" s="685" t="s">
        <v>136</v>
      </c>
      <c r="R115" s="685" t="s">
        <v>136</v>
      </c>
      <c r="S115" s="685" t="s">
        <v>136</v>
      </c>
      <c r="T115" s="685" t="s">
        <v>136</v>
      </c>
      <c r="U115" s="685" t="s">
        <v>136</v>
      </c>
      <c r="V115" s="685" t="s">
        <v>136</v>
      </c>
      <c r="W115" s="685" t="s">
        <v>136</v>
      </c>
      <c r="X115" s="685" t="s">
        <v>136</v>
      </c>
      <c r="Y115" s="685" t="s">
        <v>136</v>
      </c>
      <c r="Z115" s="685" t="s">
        <v>136</v>
      </c>
      <c r="AA115" s="685" t="s">
        <v>136</v>
      </c>
      <c r="AB115" s="685" t="s">
        <v>136</v>
      </c>
    </row>
    <row r="116" spans="1:28" x14ac:dyDescent="0.4">
      <c r="A116" s="685" t="s">
        <v>482</v>
      </c>
    </row>
    <row r="118" spans="1:28" s="684" customFormat="1" ht="24.6" x14ac:dyDescent="0.4">
      <c r="A118" s="683" t="s">
        <v>700</v>
      </c>
      <c r="B118" s="684" t="s">
        <v>430</v>
      </c>
      <c r="C118" s="684" t="s">
        <v>431</v>
      </c>
      <c r="D118" s="684" t="s">
        <v>432</v>
      </c>
      <c r="E118" s="684" t="s">
        <v>433</v>
      </c>
      <c r="F118" s="684" t="s">
        <v>434</v>
      </c>
      <c r="G118" s="684" t="s">
        <v>435</v>
      </c>
      <c r="H118" s="684" t="s">
        <v>436</v>
      </c>
      <c r="I118" s="684" t="s">
        <v>437</v>
      </c>
      <c r="J118" s="684" t="s">
        <v>438</v>
      </c>
      <c r="K118" s="684" t="s">
        <v>439</v>
      </c>
      <c r="L118" s="684" t="s">
        <v>440</v>
      </c>
      <c r="M118" s="684" t="s">
        <v>441</v>
      </c>
      <c r="N118" s="684" t="s">
        <v>442</v>
      </c>
      <c r="O118" s="684" t="s">
        <v>443</v>
      </c>
      <c r="P118" s="684" t="s">
        <v>444</v>
      </c>
      <c r="Q118" s="684" t="s">
        <v>445</v>
      </c>
      <c r="R118" s="684" t="s">
        <v>446</v>
      </c>
      <c r="S118" s="684" t="s">
        <v>447</v>
      </c>
      <c r="T118" s="684" t="s">
        <v>448</v>
      </c>
      <c r="U118" s="684" t="s">
        <v>449</v>
      </c>
      <c r="V118" s="684" t="s">
        <v>450</v>
      </c>
      <c r="W118" s="684" t="s">
        <v>451</v>
      </c>
      <c r="X118" s="684" t="s">
        <v>452</v>
      </c>
      <c r="Y118" s="684" t="s">
        <v>453</v>
      </c>
      <c r="Z118" s="684" t="s">
        <v>454</v>
      </c>
      <c r="AA118" s="684" t="s">
        <v>455</v>
      </c>
      <c r="AB118" s="684" t="s">
        <v>456</v>
      </c>
    </row>
    <row r="119" spans="1:28" x14ac:dyDescent="0.4">
      <c r="A119" s="685" t="s">
        <v>457</v>
      </c>
      <c r="B119" s="685" t="s">
        <v>136</v>
      </c>
      <c r="C119" s="685" t="s">
        <v>136</v>
      </c>
      <c r="D119" s="685" t="s">
        <v>136</v>
      </c>
      <c r="E119" s="685" t="s">
        <v>136</v>
      </c>
      <c r="F119" s="685" t="s">
        <v>136</v>
      </c>
      <c r="G119" s="685" t="s">
        <v>136</v>
      </c>
      <c r="H119" s="685" t="s">
        <v>136</v>
      </c>
      <c r="I119" s="685" t="s">
        <v>136</v>
      </c>
      <c r="J119" s="685" t="s">
        <v>136</v>
      </c>
      <c r="K119" s="685" t="s">
        <v>136</v>
      </c>
      <c r="L119" s="685" t="s">
        <v>136</v>
      </c>
      <c r="M119" s="685" t="s">
        <v>136</v>
      </c>
      <c r="N119" s="685" t="s">
        <v>136</v>
      </c>
      <c r="O119" s="685" t="s">
        <v>136</v>
      </c>
      <c r="P119" s="685" t="s">
        <v>136</v>
      </c>
      <c r="Q119" s="685" t="s">
        <v>136</v>
      </c>
      <c r="R119" s="685" t="s">
        <v>136</v>
      </c>
      <c r="S119" s="685" t="s">
        <v>136</v>
      </c>
      <c r="T119" s="685" t="s">
        <v>136</v>
      </c>
      <c r="U119" s="685" t="s">
        <v>136</v>
      </c>
      <c r="V119" s="685" t="s">
        <v>136</v>
      </c>
      <c r="W119" s="685" t="s">
        <v>136</v>
      </c>
      <c r="X119" s="685" t="s">
        <v>136</v>
      </c>
      <c r="Y119" s="685" t="s">
        <v>136</v>
      </c>
      <c r="Z119" s="685" t="s">
        <v>136</v>
      </c>
      <c r="AA119" s="685" t="s">
        <v>136</v>
      </c>
      <c r="AB119" s="685" t="s">
        <v>136</v>
      </c>
    </row>
    <row r="120" spans="1:28" x14ac:dyDescent="0.4">
      <c r="A120" s="685" t="s">
        <v>466</v>
      </c>
      <c r="B120" s="685" t="s">
        <v>136</v>
      </c>
      <c r="C120" s="685" t="s">
        <v>136</v>
      </c>
      <c r="D120" s="685" t="s">
        <v>136</v>
      </c>
      <c r="E120" s="685" t="s">
        <v>136</v>
      </c>
      <c r="F120" s="685" t="s">
        <v>136</v>
      </c>
      <c r="G120" s="685" t="s">
        <v>136</v>
      </c>
      <c r="H120" s="685" t="s">
        <v>136</v>
      </c>
      <c r="I120" s="685" t="s">
        <v>136</v>
      </c>
      <c r="J120" s="685" t="s">
        <v>136</v>
      </c>
      <c r="K120" s="685" t="s">
        <v>136</v>
      </c>
      <c r="L120" s="685" t="s">
        <v>136</v>
      </c>
      <c r="M120" s="685" t="s">
        <v>136</v>
      </c>
      <c r="N120" s="685" t="s">
        <v>136</v>
      </c>
      <c r="O120" s="685" t="s">
        <v>136</v>
      </c>
      <c r="P120" s="685" t="s">
        <v>136</v>
      </c>
      <c r="Q120" s="685" t="s">
        <v>136</v>
      </c>
      <c r="R120" s="685" t="s">
        <v>136</v>
      </c>
      <c r="S120" s="685" t="s">
        <v>136</v>
      </c>
      <c r="T120" s="685" t="s">
        <v>136</v>
      </c>
      <c r="U120" s="685" t="s">
        <v>136</v>
      </c>
      <c r="V120" s="685" t="s">
        <v>136</v>
      </c>
      <c r="W120" s="685" t="s">
        <v>136</v>
      </c>
      <c r="X120" s="685" t="s">
        <v>136</v>
      </c>
      <c r="Y120" s="685" t="s">
        <v>136</v>
      </c>
      <c r="Z120" s="685" t="s">
        <v>136</v>
      </c>
      <c r="AA120" s="685" t="s">
        <v>136</v>
      </c>
      <c r="AB120" s="685" t="s">
        <v>136</v>
      </c>
    </row>
    <row r="121" spans="1:28" x14ac:dyDescent="0.4">
      <c r="A121" s="685" t="s">
        <v>468</v>
      </c>
      <c r="B121" s="685" t="s">
        <v>136</v>
      </c>
      <c r="C121" s="685" t="s">
        <v>136</v>
      </c>
      <c r="D121" s="685" t="s">
        <v>136</v>
      </c>
      <c r="E121" s="685" t="s">
        <v>136</v>
      </c>
      <c r="F121" s="685" t="s">
        <v>136</v>
      </c>
      <c r="G121" s="685" t="s">
        <v>136</v>
      </c>
      <c r="H121" s="685" t="s">
        <v>136</v>
      </c>
      <c r="I121" s="685" t="s">
        <v>136</v>
      </c>
      <c r="J121" s="685" t="s">
        <v>136</v>
      </c>
      <c r="K121" s="685" t="s">
        <v>136</v>
      </c>
      <c r="L121" s="685" t="s">
        <v>136</v>
      </c>
      <c r="M121" s="685" t="s">
        <v>136</v>
      </c>
      <c r="N121" s="685" t="s">
        <v>136</v>
      </c>
      <c r="O121" s="685" t="s">
        <v>136</v>
      </c>
      <c r="P121" s="685" t="s">
        <v>136</v>
      </c>
      <c r="Q121" s="685" t="s">
        <v>136</v>
      </c>
      <c r="R121" s="685" t="s">
        <v>136</v>
      </c>
      <c r="S121" s="685" t="s">
        <v>136</v>
      </c>
      <c r="T121" s="685" t="s">
        <v>136</v>
      </c>
      <c r="U121" s="685" t="s">
        <v>136</v>
      </c>
      <c r="V121" s="685" t="s">
        <v>136</v>
      </c>
      <c r="W121" s="685" t="s">
        <v>136</v>
      </c>
      <c r="X121" s="685" t="s">
        <v>136</v>
      </c>
      <c r="Y121" s="685" t="s">
        <v>136</v>
      </c>
      <c r="Z121" s="685" t="s">
        <v>136</v>
      </c>
      <c r="AA121" s="685" t="s">
        <v>136</v>
      </c>
      <c r="AB121" s="685" t="s">
        <v>136</v>
      </c>
    </row>
    <row r="122" spans="1:28" x14ac:dyDescent="0.4">
      <c r="A122" s="685" t="s">
        <v>470</v>
      </c>
      <c r="B122" s="685" t="s">
        <v>136</v>
      </c>
      <c r="C122" s="685" t="s">
        <v>136</v>
      </c>
      <c r="D122" s="685" t="s">
        <v>136</v>
      </c>
      <c r="E122" s="685" t="s">
        <v>136</v>
      </c>
      <c r="F122" s="685" t="s">
        <v>136</v>
      </c>
      <c r="G122" s="685" t="s">
        <v>136</v>
      </c>
      <c r="H122" s="685" t="s">
        <v>136</v>
      </c>
      <c r="I122" s="685" t="s">
        <v>136</v>
      </c>
      <c r="J122" s="685" t="s">
        <v>136</v>
      </c>
      <c r="K122" s="685" t="s">
        <v>136</v>
      </c>
      <c r="L122" s="685" t="s">
        <v>136</v>
      </c>
      <c r="M122" s="685" t="s">
        <v>136</v>
      </c>
      <c r="N122" s="685" t="s">
        <v>136</v>
      </c>
      <c r="O122" s="685" t="s">
        <v>136</v>
      </c>
      <c r="P122" s="685" t="s">
        <v>136</v>
      </c>
      <c r="Q122" s="685" t="s">
        <v>136</v>
      </c>
      <c r="R122" s="685" t="s">
        <v>136</v>
      </c>
      <c r="S122" s="685" t="s">
        <v>136</v>
      </c>
      <c r="T122" s="685" t="s">
        <v>136</v>
      </c>
      <c r="U122" s="685" t="s">
        <v>136</v>
      </c>
      <c r="V122" s="685" t="s">
        <v>136</v>
      </c>
      <c r="W122" s="685" t="s">
        <v>136</v>
      </c>
      <c r="X122" s="685" t="s">
        <v>136</v>
      </c>
      <c r="Y122" s="685" t="s">
        <v>136</v>
      </c>
      <c r="Z122" s="685" t="s">
        <v>136</v>
      </c>
      <c r="AA122" s="685" t="s">
        <v>136</v>
      </c>
      <c r="AB122" s="685" t="s">
        <v>136</v>
      </c>
    </row>
    <row r="123" spans="1:28" s="686" customFormat="1" x14ac:dyDescent="0.4">
      <c r="A123" s="686" t="s">
        <v>472</v>
      </c>
    </row>
    <row r="124" spans="1:28" x14ac:dyDescent="0.4">
      <c r="A124" s="685" t="s">
        <v>481</v>
      </c>
      <c r="B124" s="685" t="s">
        <v>136</v>
      </c>
      <c r="C124" s="685" t="s">
        <v>136</v>
      </c>
      <c r="D124" s="685" t="s">
        <v>136</v>
      </c>
      <c r="E124" s="685" t="s">
        <v>136</v>
      </c>
      <c r="F124" s="685" t="s">
        <v>136</v>
      </c>
      <c r="G124" s="685" t="s">
        <v>136</v>
      </c>
      <c r="H124" s="685" t="s">
        <v>136</v>
      </c>
      <c r="I124" s="685" t="s">
        <v>136</v>
      </c>
      <c r="J124" s="685" t="s">
        <v>136</v>
      </c>
      <c r="K124" s="685" t="s">
        <v>136</v>
      </c>
      <c r="L124" s="685" t="s">
        <v>136</v>
      </c>
      <c r="M124" s="685" t="s">
        <v>136</v>
      </c>
      <c r="N124" s="685" t="s">
        <v>136</v>
      </c>
      <c r="O124" s="685" t="s">
        <v>136</v>
      </c>
      <c r="P124" s="685" t="s">
        <v>136</v>
      </c>
      <c r="Q124" s="685" t="s">
        <v>136</v>
      </c>
      <c r="R124" s="685" t="s">
        <v>136</v>
      </c>
      <c r="S124" s="685" t="s">
        <v>136</v>
      </c>
      <c r="T124" s="685" t="s">
        <v>136</v>
      </c>
      <c r="U124" s="685" t="s">
        <v>136</v>
      </c>
      <c r="V124" s="685" t="s">
        <v>136</v>
      </c>
      <c r="W124" s="685" t="s">
        <v>136</v>
      </c>
      <c r="X124" s="685" t="s">
        <v>136</v>
      </c>
      <c r="Y124" s="685" t="s">
        <v>136</v>
      </c>
      <c r="Z124" s="685" t="s">
        <v>136</v>
      </c>
      <c r="AA124" s="685" t="s">
        <v>136</v>
      </c>
      <c r="AB124" s="685" t="s">
        <v>136</v>
      </c>
    </row>
    <row r="125" spans="1:28" x14ac:dyDescent="0.4">
      <c r="A125" s="685" t="s">
        <v>482</v>
      </c>
    </row>
    <row r="127" spans="1:28" s="684" customFormat="1" ht="24.6" x14ac:dyDescent="0.4">
      <c r="A127" s="683" t="s">
        <v>701</v>
      </c>
      <c r="B127" s="684" t="s">
        <v>430</v>
      </c>
      <c r="C127" s="684" t="s">
        <v>431</v>
      </c>
      <c r="D127" s="684" t="s">
        <v>432</v>
      </c>
      <c r="E127" s="684" t="s">
        <v>433</v>
      </c>
      <c r="F127" s="684" t="s">
        <v>434</v>
      </c>
      <c r="G127" s="684" t="s">
        <v>435</v>
      </c>
      <c r="H127" s="684" t="s">
        <v>436</v>
      </c>
      <c r="I127" s="684" t="s">
        <v>437</v>
      </c>
      <c r="J127" s="684" t="s">
        <v>438</v>
      </c>
      <c r="K127" s="684" t="s">
        <v>439</v>
      </c>
      <c r="L127" s="684" t="s">
        <v>440</v>
      </c>
      <c r="M127" s="684" t="s">
        <v>441</v>
      </c>
      <c r="N127" s="684" t="s">
        <v>442</v>
      </c>
      <c r="O127" s="684" t="s">
        <v>443</v>
      </c>
      <c r="P127" s="684" t="s">
        <v>444</v>
      </c>
      <c r="Q127" s="684" t="s">
        <v>445</v>
      </c>
      <c r="R127" s="684" t="s">
        <v>446</v>
      </c>
      <c r="S127" s="684" t="s">
        <v>447</v>
      </c>
      <c r="T127" s="684" t="s">
        <v>448</v>
      </c>
      <c r="U127" s="684" t="s">
        <v>449</v>
      </c>
      <c r="V127" s="684" t="s">
        <v>450</v>
      </c>
      <c r="W127" s="684" t="s">
        <v>451</v>
      </c>
      <c r="X127" s="684" t="s">
        <v>452</v>
      </c>
      <c r="Y127" s="684" t="s">
        <v>453</v>
      </c>
      <c r="Z127" s="684" t="s">
        <v>454</v>
      </c>
      <c r="AA127" s="684" t="s">
        <v>455</v>
      </c>
      <c r="AB127" s="684" t="s">
        <v>456</v>
      </c>
    </row>
    <row r="128" spans="1:28" ht="98.4" x14ac:dyDescent="0.4">
      <c r="A128" s="685" t="s">
        <v>457</v>
      </c>
      <c r="B128" s="685" t="s">
        <v>136</v>
      </c>
      <c r="C128" s="685" t="s">
        <v>136</v>
      </c>
      <c r="D128" s="685" t="s">
        <v>136</v>
      </c>
      <c r="E128" s="685" t="s">
        <v>136</v>
      </c>
      <c r="F128" s="685" t="s">
        <v>136</v>
      </c>
      <c r="G128" s="685" t="s">
        <v>136</v>
      </c>
      <c r="H128" s="685" t="s">
        <v>136</v>
      </c>
      <c r="I128" s="685" t="s">
        <v>136</v>
      </c>
      <c r="J128" s="685" t="s">
        <v>136</v>
      </c>
      <c r="K128" s="685" t="s">
        <v>136</v>
      </c>
      <c r="L128" s="685" t="s">
        <v>136</v>
      </c>
      <c r="M128" s="685" t="s">
        <v>136</v>
      </c>
      <c r="N128" s="685" t="s">
        <v>136</v>
      </c>
      <c r="O128" s="686" t="s">
        <v>619</v>
      </c>
      <c r="P128" s="686" t="s">
        <v>619</v>
      </c>
      <c r="Q128" s="686" t="s">
        <v>619</v>
      </c>
      <c r="R128" s="686" t="s">
        <v>619</v>
      </c>
      <c r="S128" s="686" t="s">
        <v>619</v>
      </c>
      <c r="T128" s="686" t="s">
        <v>619</v>
      </c>
      <c r="U128" s="685" t="s">
        <v>136</v>
      </c>
      <c r="V128" s="686" t="s">
        <v>619</v>
      </c>
      <c r="W128" s="686" t="s">
        <v>619</v>
      </c>
      <c r="X128" s="686" t="s">
        <v>619</v>
      </c>
      <c r="Y128" s="686" t="s">
        <v>619</v>
      </c>
      <c r="Z128" s="686" t="s">
        <v>619</v>
      </c>
      <c r="AA128" s="686" t="s">
        <v>619</v>
      </c>
      <c r="AB128" s="685" t="s">
        <v>136</v>
      </c>
    </row>
    <row r="129" spans="1:49" x14ac:dyDescent="0.4">
      <c r="A129" s="685" t="s">
        <v>466</v>
      </c>
      <c r="B129" s="685" t="s">
        <v>136</v>
      </c>
      <c r="C129" s="685" t="s">
        <v>136</v>
      </c>
      <c r="D129" s="685" t="s">
        <v>136</v>
      </c>
      <c r="E129" s="685" t="s">
        <v>136</v>
      </c>
      <c r="F129" s="685" t="s">
        <v>136</v>
      </c>
      <c r="G129" s="685" t="s">
        <v>136</v>
      </c>
      <c r="H129" s="685" t="s">
        <v>136</v>
      </c>
      <c r="I129" s="685" t="s">
        <v>136</v>
      </c>
      <c r="J129" s="685" t="s">
        <v>136</v>
      </c>
      <c r="K129" s="685" t="s">
        <v>136</v>
      </c>
      <c r="L129" s="685" t="s">
        <v>136</v>
      </c>
      <c r="M129" s="685" t="s">
        <v>136</v>
      </c>
      <c r="N129" s="685" t="s">
        <v>136</v>
      </c>
      <c r="O129" s="685" t="s">
        <v>467</v>
      </c>
      <c r="P129" s="685" t="s">
        <v>467</v>
      </c>
      <c r="Q129" s="685" t="s">
        <v>467</v>
      </c>
      <c r="R129" s="685" t="s">
        <v>467</v>
      </c>
      <c r="S129" s="685" t="s">
        <v>467</v>
      </c>
      <c r="T129" s="685" t="s">
        <v>467</v>
      </c>
      <c r="U129" s="685" t="s">
        <v>136</v>
      </c>
      <c r="V129" s="685" t="s">
        <v>467</v>
      </c>
      <c r="W129" s="685" t="s">
        <v>467</v>
      </c>
      <c r="X129" s="685" t="s">
        <v>467</v>
      </c>
      <c r="Y129" s="685" t="s">
        <v>467</v>
      </c>
      <c r="Z129" s="685" t="s">
        <v>467</v>
      </c>
      <c r="AA129" s="685" t="s">
        <v>467</v>
      </c>
      <c r="AB129" s="685" t="s">
        <v>136</v>
      </c>
    </row>
    <row r="130" spans="1:49" x14ac:dyDescent="0.4">
      <c r="A130" s="685" t="s">
        <v>468</v>
      </c>
      <c r="B130" s="685" t="s">
        <v>136</v>
      </c>
      <c r="C130" s="685" t="s">
        <v>136</v>
      </c>
      <c r="D130" s="685" t="s">
        <v>136</v>
      </c>
      <c r="E130" s="685" t="s">
        <v>136</v>
      </c>
      <c r="F130" s="685" t="s">
        <v>136</v>
      </c>
      <c r="G130" s="685" t="s">
        <v>136</v>
      </c>
      <c r="H130" s="685" t="s">
        <v>136</v>
      </c>
      <c r="I130" s="685" t="s">
        <v>136</v>
      </c>
      <c r="J130" s="685" t="s">
        <v>136</v>
      </c>
      <c r="K130" s="685" t="s">
        <v>136</v>
      </c>
      <c r="L130" s="685" t="s">
        <v>136</v>
      </c>
      <c r="M130" s="685" t="s">
        <v>136</v>
      </c>
      <c r="N130" s="685" t="s">
        <v>136</v>
      </c>
      <c r="O130" s="685" t="s">
        <v>469</v>
      </c>
      <c r="P130" s="685" t="s">
        <v>469</v>
      </c>
      <c r="Q130" s="685" t="s">
        <v>469</v>
      </c>
      <c r="R130" s="685" t="s">
        <v>469</v>
      </c>
      <c r="S130" s="685" t="s">
        <v>469</v>
      </c>
      <c r="T130" s="685" t="s">
        <v>469</v>
      </c>
      <c r="U130" s="685" t="s">
        <v>136</v>
      </c>
      <c r="V130" s="685" t="s">
        <v>469</v>
      </c>
      <c r="W130" s="685" t="s">
        <v>469</v>
      </c>
      <c r="X130" s="685" t="s">
        <v>469</v>
      </c>
      <c r="Y130" s="685" t="s">
        <v>469</v>
      </c>
      <c r="Z130" s="685" t="s">
        <v>469</v>
      </c>
      <c r="AA130" s="685" t="s">
        <v>469</v>
      </c>
      <c r="AB130" s="685" t="s">
        <v>136</v>
      </c>
    </row>
    <row r="131" spans="1:49" x14ac:dyDescent="0.4">
      <c r="A131" s="685" t="s">
        <v>470</v>
      </c>
      <c r="B131" s="685" t="s">
        <v>136</v>
      </c>
      <c r="C131" s="685" t="s">
        <v>136</v>
      </c>
      <c r="D131" s="685" t="s">
        <v>136</v>
      </c>
      <c r="E131" s="685" t="s">
        <v>136</v>
      </c>
      <c r="F131" s="685" t="s">
        <v>136</v>
      </c>
      <c r="G131" s="685" t="s">
        <v>136</v>
      </c>
      <c r="H131" s="685" t="s">
        <v>136</v>
      </c>
      <c r="I131" s="685" t="s">
        <v>136</v>
      </c>
      <c r="J131" s="685" t="s">
        <v>136</v>
      </c>
      <c r="K131" s="685" t="s">
        <v>136</v>
      </c>
      <c r="L131" s="685" t="s">
        <v>136</v>
      </c>
      <c r="M131" s="685" t="s">
        <v>136</v>
      </c>
      <c r="N131" s="685" t="s">
        <v>136</v>
      </c>
      <c r="O131" s="685" t="s">
        <v>471</v>
      </c>
      <c r="P131" s="685" t="s">
        <v>471</v>
      </c>
      <c r="Q131" s="685" t="s">
        <v>471</v>
      </c>
      <c r="R131" s="685" t="s">
        <v>471</v>
      </c>
      <c r="S131" s="685" t="s">
        <v>471</v>
      </c>
      <c r="T131" s="685" t="s">
        <v>471</v>
      </c>
      <c r="U131" s="685" t="s">
        <v>136</v>
      </c>
      <c r="V131" s="685" t="s">
        <v>471</v>
      </c>
      <c r="W131" s="685" t="s">
        <v>471</v>
      </c>
      <c r="X131" s="685" t="s">
        <v>471</v>
      </c>
      <c r="Y131" s="685" t="s">
        <v>471</v>
      </c>
      <c r="Z131" s="685" t="s">
        <v>471</v>
      </c>
      <c r="AA131" s="685" t="s">
        <v>471</v>
      </c>
      <c r="AB131" s="685" t="s">
        <v>136</v>
      </c>
    </row>
    <row r="132" spans="1:49" s="686" customFormat="1" x14ac:dyDescent="0.4">
      <c r="A132" s="686" t="s">
        <v>472</v>
      </c>
      <c r="O132" s="687" t="s">
        <v>621</v>
      </c>
      <c r="P132" s="687" t="s">
        <v>621</v>
      </c>
      <c r="Q132" s="687" t="s">
        <v>621</v>
      </c>
      <c r="R132" s="687" t="s">
        <v>621</v>
      </c>
      <c r="S132" s="687" t="s">
        <v>621</v>
      </c>
      <c r="T132" s="687" t="s">
        <v>621</v>
      </c>
      <c r="V132" s="687" t="s">
        <v>621</v>
      </c>
      <c r="W132" s="687" t="s">
        <v>621</v>
      </c>
      <c r="X132" s="687" t="s">
        <v>621</v>
      </c>
      <c r="Y132" s="687" t="s">
        <v>621</v>
      </c>
      <c r="Z132" s="687" t="s">
        <v>621</v>
      </c>
      <c r="AA132" s="687" t="s">
        <v>621</v>
      </c>
    </row>
    <row r="133" spans="1:49" x14ac:dyDescent="0.4">
      <c r="A133" s="685" t="s">
        <v>481</v>
      </c>
      <c r="B133" s="685" t="s">
        <v>136</v>
      </c>
      <c r="C133" s="685" t="s">
        <v>136</v>
      </c>
      <c r="D133" s="685" t="s">
        <v>136</v>
      </c>
      <c r="E133" s="685" t="s">
        <v>136</v>
      </c>
      <c r="F133" s="685" t="s">
        <v>136</v>
      </c>
      <c r="G133" s="685" t="s">
        <v>136</v>
      </c>
      <c r="H133" s="685" t="s">
        <v>136</v>
      </c>
      <c r="I133" s="685" t="s">
        <v>136</v>
      </c>
      <c r="J133" s="685" t="s">
        <v>136</v>
      </c>
      <c r="K133" s="685" t="s">
        <v>136</v>
      </c>
      <c r="L133" s="685" t="s">
        <v>136</v>
      </c>
      <c r="M133" s="685" t="s">
        <v>136</v>
      </c>
      <c r="N133" s="685" t="s">
        <v>136</v>
      </c>
      <c r="O133" s="685" t="s">
        <v>208</v>
      </c>
      <c r="P133" s="685" t="s">
        <v>208</v>
      </c>
      <c r="Q133" s="685" t="s">
        <v>208</v>
      </c>
      <c r="R133" s="685" t="s">
        <v>208</v>
      </c>
      <c r="S133" s="685" t="s">
        <v>208</v>
      </c>
      <c r="T133" s="685" t="s">
        <v>208</v>
      </c>
      <c r="U133" s="685" t="s">
        <v>136</v>
      </c>
      <c r="V133" s="685" t="s">
        <v>208</v>
      </c>
      <c r="W133" s="685" t="s">
        <v>208</v>
      </c>
      <c r="X133" s="685" t="s">
        <v>208</v>
      </c>
      <c r="Y133" s="685" t="s">
        <v>208</v>
      </c>
      <c r="Z133" s="685" t="s">
        <v>208</v>
      </c>
      <c r="AA133" s="685" t="s">
        <v>208</v>
      </c>
      <c r="AB133" s="685" t="s">
        <v>136</v>
      </c>
    </row>
    <row r="134" spans="1:49" x14ac:dyDescent="0.4">
      <c r="A134" s="685" t="s">
        <v>482</v>
      </c>
      <c r="O134" s="685" t="s">
        <v>205</v>
      </c>
      <c r="P134" s="685" t="s">
        <v>205</v>
      </c>
      <c r="Q134" s="685" t="s">
        <v>205</v>
      </c>
      <c r="R134" s="685" t="s">
        <v>205</v>
      </c>
      <c r="S134" s="685" t="s">
        <v>205</v>
      </c>
      <c r="T134" s="685" t="s">
        <v>205</v>
      </c>
      <c r="V134" s="685" t="s">
        <v>205</v>
      </c>
      <c r="W134" s="685" t="s">
        <v>205</v>
      </c>
      <c r="X134" s="685" t="s">
        <v>205</v>
      </c>
      <c r="Y134" s="685" t="s">
        <v>205</v>
      </c>
      <c r="Z134" s="685" t="s">
        <v>205</v>
      </c>
      <c r="AA134" s="685" t="s">
        <v>205</v>
      </c>
    </row>
    <row r="136" spans="1:49" s="684" customFormat="1" ht="24.6" x14ac:dyDescent="0.4">
      <c r="A136" s="683" t="s">
        <v>702</v>
      </c>
      <c r="B136" s="684" t="s">
        <v>430</v>
      </c>
      <c r="C136" s="684" t="s">
        <v>484</v>
      </c>
      <c r="D136" s="688" t="s">
        <v>485</v>
      </c>
      <c r="E136" s="688" t="s">
        <v>486</v>
      </c>
      <c r="F136" s="684" t="s">
        <v>487</v>
      </c>
      <c r="G136" s="688" t="s">
        <v>488</v>
      </c>
      <c r="H136" s="688" t="s">
        <v>489</v>
      </c>
      <c r="I136" s="688" t="s">
        <v>490</v>
      </c>
      <c r="J136" s="688" t="s">
        <v>491</v>
      </c>
      <c r="K136" s="684" t="s">
        <v>492</v>
      </c>
      <c r="L136" s="684" t="s">
        <v>493</v>
      </c>
      <c r="M136" s="688" t="s">
        <v>494</v>
      </c>
      <c r="N136" s="688" t="s">
        <v>495</v>
      </c>
      <c r="O136" s="688" t="s">
        <v>496</v>
      </c>
      <c r="P136" s="688" t="s">
        <v>497</v>
      </c>
      <c r="Q136" s="684" t="s">
        <v>498</v>
      </c>
      <c r="R136" s="688" t="s">
        <v>499</v>
      </c>
      <c r="S136" s="688" t="s">
        <v>500</v>
      </c>
      <c r="T136" s="684" t="s">
        <v>501</v>
      </c>
      <c r="U136" s="684" t="s">
        <v>502</v>
      </c>
      <c r="V136" s="684" t="s">
        <v>503</v>
      </c>
      <c r="W136" s="684" t="s">
        <v>504</v>
      </c>
      <c r="X136" s="684" t="s">
        <v>505</v>
      </c>
      <c r="Y136" s="688" t="s">
        <v>506</v>
      </c>
      <c r="Z136" s="684" t="s">
        <v>507</v>
      </c>
      <c r="AA136" s="688" t="s">
        <v>508</v>
      </c>
      <c r="AB136" s="684" t="s">
        <v>509</v>
      </c>
      <c r="AC136" s="684" t="s">
        <v>510</v>
      </c>
      <c r="AD136" s="688" t="s">
        <v>511</v>
      </c>
      <c r="AE136" s="684" t="s">
        <v>512</v>
      </c>
      <c r="AF136" s="684" t="s">
        <v>513</v>
      </c>
      <c r="AG136" s="684" t="s">
        <v>514</v>
      </c>
      <c r="AH136" s="684" t="s">
        <v>515</v>
      </c>
      <c r="AI136" s="684" t="s">
        <v>516</v>
      </c>
      <c r="AJ136" s="684" t="s">
        <v>517</v>
      </c>
      <c r="AK136" s="684" t="s">
        <v>518</v>
      </c>
      <c r="AL136" s="684" t="s">
        <v>519</v>
      </c>
      <c r="AM136" s="684" t="s">
        <v>520</v>
      </c>
      <c r="AN136" s="684" t="s">
        <v>521</v>
      </c>
      <c r="AO136" s="684" t="s">
        <v>522</v>
      </c>
      <c r="AP136" s="684" t="s">
        <v>523</v>
      </c>
      <c r="AQ136" s="688" t="s">
        <v>524</v>
      </c>
      <c r="AR136" s="684" t="s">
        <v>525</v>
      </c>
      <c r="AS136" s="684" t="s">
        <v>526</v>
      </c>
      <c r="AT136" s="684" t="s">
        <v>527</v>
      </c>
      <c r="AU136" s="684" t="s">
        <v>528</v>
      </c>
      <c r="AV136" s="684" t="s">
        <v>529</v>
      </c>
      <c r="AW136" s="684" t="s">
        <v>530</v>
      </c>
    </row>
    <row r="137" spans="1:49" ht="61.5" x14ac:dyDescent="0.4">
      <c r="A137" s="685" t="s">
        <v>457</v>
      </c>
      <c r="B137" s="685" t="s">
        <v>136</v>
      </c>
      <c r="C137" s="685" t="s">
        <v>136</v>
      </c>
      <c r="D137" s="685" t="s">
        <v>136</v>
      </c>
      <c r="E137" s="685" t="s">
        <v>136</v>
      </c>
      <c r="F137" s="685" t="s">
        <v>136</v>
      </c>
      <c r="G137" s="685" t="s">
        <v>136</v>
      </c>
      <c r="H137" s="685" t="s">
        <v>136</v>
      </c>
      <c r="I137" s="685" t="s">
        <v>136</v>
      </c>
      <c r="J137" s="685" t="s">
        <v>136</v>
      </c>
      <c r="K137" s="685" t="s">
        <v>136</v>
      </c>
      <c r="L137" s="685" t="s">
        <v>136</v>
      </c>
      <c r="M137" s="685" t="s">
        <v>136</v>
      </c>
      <c r="N137" s="685" t="s">
        <v>136</v>
      </c>
      <c r="O137" s="685" t="s">
        <v>136</v>
      </c>
      <c r="P137" s="685" t="s">
        <v>136</v>
      </c>
      <c r="Q137" s="685" t="s">
        <v>136</v>
      </c>
      <c r="R137" s="685" t="s">
        <v>136</v>
      </c>
      <c r="S137" s="685" t="s">
        <v>136</v>
      </c>
      <c r="T137" s="685" t="s">
        <v>136</v>
      </c>
      <c r="U137" s="685" t="s">
        <v>136</v>
      </c>
      <c r="V137" s="685" t="s">
        <v>136</v>
      </c>
      <c r="W137" s="685" t="s">
        <v>136</v>
      </c>
      <c r="X137" s="685" t="s">
        <v>136</v>
      </c>
      <c r="Y137" s="685" t="s">
        <v>136</v>
      </c>
      <c r="Z137" s="685" t="s">
        <v>136</v>
      </c>
      <c r="AA137" s="685" t="s">
        <v>136</v>
      </c>
      <c r="AB137" s="685" t="s">
        <v>136</v>
      </c>
      <c r="AC137" s="685" t="s">
        <v>136</v>
      </c>
      <c r="AD137" s="685" t="s">
        <v>136</v>
      </c>
      <c r="AE137" s="685" t="s">
        <v>136</v>
      </c>
      <c r="AF137" s="686" t="s">
        <v>540</v>
      </c>
      <c r="AG137" s="685" t="s">
        <v>136</v>
      </c>
      <c r="AH137" s="686" t="s">
        <v>540</v>
      </c>
      <c r="AI137" s="685" t="s">
        <v>136</v>
      </c>
      <c r="AJ137" s="685" t="s">
        <v>136</v>
      </c>
      <c r="AK137" s="685" t="s">
        <v>136</v>
      </c>
      <c r="AL137" s="685" t="s">
        <v>136</v>
      </c>
      <c r="AM137" s="685" t="s">
        <v>136</v>
      </c>
      <c r="AN137" s="685" t="s">
        <v>136</v>
      </c>
      <c r="AO137" s="685" t="s">
        <v>136</v>
      </c>
      <c r="AP137" s="685" t="s">
        <v>136</v>
      </c>
      <c r="AQ137" s="685" t="s">
        <v>136</v>
      </c>
      <c r="AR137" s="685" t="s">
        <v>136</v>
      </c>
      <c r="AS137" s="686" t="s">
        <v>540</v>
      </c>
      <c r="AT137" s="685" t="s">
        <v>136</v>
      </c>
      <c r="AU137" s="686" t="s">
        <v>540</v>
      </c>
      <c r="AV137" s="685" t="s">
        <v>136</v>
      </c>
      <c r="AW137" s="685" t="s">
        <v>136</v>
      </c>
    </row>
    <row r="138" spans="1:49" x14ac:dyDescent="0.4">
      <c r="A138" s="685" t="s">
        <v>466</v>
      </c>
      <c r="B138" s="685" t="s">
        <v>136</v>
      </c>
      <c r="C138" s="685" t="s">
        <v>136</v>
      </c>
      <c r="D138" s="685" t="s">
        <v>136</v>
      </c>
      <c r="E138" s="685" t="s">
        <v>136</v>
      </c>
      <c r="F138" s="685" t="s">
        <v>136</v>
      </c>
      <c r="G138" s="685" t="s">
        <v>136</v>
      </c>
      <c r="H138" s="685" t="s">
        <v>136</v>
      </c>
      <c r="I138" s="685" t="s">
        <v>136</v>
      </c>
      <c r="J138" s="685" t="s">
        <v>136</v>
      </c>
      <c r="K138" s="685" t="s">
        <v>136</v>
      </c>
      <c r="L138" s="685" t="s">
        <v>136</v>
      </c>
      <c r="M138" s="685" t="s">
        <v>136</v>
      </c>
      <c r="N138" s="685" t="s">
        <v>136</v>
      </c>
      <c r="O138" s="685" t="s">
        <v>136</v>
      </c>
      <c r="P138" s="685" t="s">
        <v>136</v>
      </c>
      <c r="Q138" s="685" t="s">
        <v>136</v>
      </c>
      <c r="R138" s="685" t="s">
        <v>136</v>
      </c>
      <c r="S138" s="685" t="s">
        <v>136</v>
      </c>
      <c r="T138" s="685" t="s">
        <v>136</v>
      </c>
      <c r="U138" s="685" t="s">
        <v>136</v>
      </c>
      <c r="V138" s="685" t="s">
        <v>136</v>
      </c>
      <c r="W138" s="685" t="s">
        <v>136</v>
      </c>
      <c r="X138" s="685" t="s">
        <v>136</v>
      </c>
      <c r="Y138" s="685" t="s">
        <v>136</v>
      </c>
      <c r="Z138" s="685" t="s">
        <v>136</v>
      </c>
      <c r="AA138" s="685" t="s">
        <v>136</v>
      </c>
      <c r="AB138" s="685" t="s">
        <v>136</v>
      </c>
      <c r="AC138" s="685" t="s">
        <v>136</v>
      </c>
      <c r="AD138" s="685" t="s">
        <v>136</v>
      </c>
      <c r="AE138" s="685" t="s">
        <v>136</v>
      </c>
      <c r="AF138" s="685" t="s">
        <v>467</v>
      </c>
      <c r="AG138" s="685" t="s">
        <v>136</v>
      </c>
      <c r="AH138" s="685" t="s">
        <v>467</v>
      </c>
      <c r="AI138" s="685" t="s">
        <v>136</v>
      </c>
      <c r="AJ138" s="685" t="s">
        <v>136</v>
      </c>
      <c r="AK138" s="685" t="s">
        <v>136</v>
      </c>
      <c r="AL138" s="685" t="s">
        <v>136</v>
      </c>
      <c r="AM138" s="685" t="s">
        <v>136</v>
      </c>
      <c r="AN138" s="685" t="s">
        <v>136</v>
      </c>
      <c r="AO138" s="685" t="s">
        <v>136</v>
      </c>
      <c r="AP138" s="685" t="s">
        <v>136</v>
      </c>
      <c r="AQ138" s="685" t="s">
        <v>136</v>
      </c>
      <c r="AR138" s="685" t="s">
        <v>136</v>
      </c>
      <c r="AS138" s="685" t="s">
        <v>467</v>
      </c>
      <c r="AT138" s="685" t="s">
        <v>136</v>
      </c>
      <c r="AU138" s="685" t="s">
        <v>467</v>
      </c>
      <c r="AV138" s="685" t="s">
        <v>136</v>
      </c>
      <c r="AW138" s="685" t="s">
        <v>136</v>
      </c>
    </row>
    <row r="139" spans="1:49" x14ac:dyDescent="0.4">
      <c r="A139" s="685" t="s">
        <v>468</v>
      </c>
      <c r="B139" s="685" t="s">
        <v>136</v>
      </c>
      <c r="C139" s="685" t="s">
        <v>136</v>
      </c>
      <c r="D139" s="685" t="s">
        <v>136</v>
      </c>
      <c r="E139" s="685" t="s">
        <v>136</v>
      </c>
      <c r="F139" s="685" t="s">
        <v>136</v>
      </c>
      <c r="G139" s="685" t="s">
        <v>136</v>
      </c>
      <c r="H139" s="685" t="s">
        <v>136</v>
      </c>
      <c r="I139" s="685" t="s">
        <v>136</v>
      </c>
      <c r="J139" s="685" t="s">
        <v>136</v>
      </c>
      <c r="K139" s="685" t="s">
        <v>136</v>
      </c>
      <c r="L139" s="685" t="s">
        <v>136</v>
      </c>
      <c r="M139" s="685" t="s">
        <v>136</v>
      </c>
      <c r="N139" s="685" t="s">
        <v>136</v>
      </c>
      <c r="O139" s="685" t="s">
        <v>136</v>
      </c>
      <c r="P139" s="685" t="s">
        <v>136</v>
      </c>
      <c r="Q139" s="685" t="s">
        <v>136</v>
      </c>
      <c r="R139" s="685" t="s">
        <v>136</v>
      </c>
      <c r="S139" s="685" t="s">
        <v>136</v>
      </c>
      <c r="T139" s="685" t="s">
        <v>136</v>
      </c>
      <c r="U139" s="685" t="s">
        <v>136</v>
      </c>
      <c r="V139" s="685" t="s">
        <v>136</v>
      </c>
      <c r="W139" s="685" t="s">
        <v>136</v>
      </c>
      <c r="X139" s="685" t="s">
        <v>136</v>
      </c>
      <c r="Y139" s="685" t="s">
        <v>136</v>
      </c>
      <c r="Z139" s="685" t="s">
        <v>136</v>
      </c>
      <c r="AA139" s="685" t="s">
        <v>136</v>
      </c>
      <c r="AB139" s="685" t="s">
        <v>136</v>
      </c>
      <c r="AC139" s="685" t="s">
        <v>136</v>
      </c>
      <c r="AD139" s="685" t="s">
        <v>136</v>
      </c>
      <c r="AE139" s="685" t="s">
        <v>136</v>
      </c>
      <c r="AF139" s="685" t="s">
        <v>541</v>
      </c>
      <c r="AG139" s="685" t="s">
        <v>136</v>
      </c>
      <c r="AH139" s="685" t="s">
        <v>541</v>
      </c>
      <c r="AI139" s="685" t="s">
        <v>136</v>
      </c>
      <c r="AJ139" s="685" t="s">
        <v>136</v>
      </c>
      <c r="AK139" s="685" t="s">
        <v>136</v>
      </c>
      <c r="AL139" s="685" t="s">
        <v>136</v>
      </c>
      <c r="AM139" s="685" t="s">
        <v>136</v>
      </c>
      <c r="AN139" s="685" t="s">
        <v>136</v>
      </c>
      <c r="AO139" s="685" t="s">
        <v>136</v>
      </c>
      <c r="AP139" s="685" t="s">
        <v>136</v>
      </c>
      <c r="AQ139" s="685" t="s">
        <v>136</v>
      </c>
      <c r="AR139" s="685" t="s">
        <v>136</v>
      </c>
      <c r="AS139" s="685" t="s">
        <v>541</v>
      </c>
      <c r="AT139" s="685" t="s">
        <v>136</v>
      </c>
      <c r="AU139" s="685" t="s">
        <v>541</v>
      </c>
      <c r="AV139" s="685" t="s">
        <v>136</v>
      </c>
      <c r="AW139" s="685" t="s">
        <v>136</v>
      </c>
    </row>
    <row r="140" spans="1:49" x14ac:dyDescent="0.4">
      <c r="A140" s="685" t="s">
        <v>470</v>
      </c>
      <c r="B140" s="685" t="s">
        <v>136</v>
      </c>
      <c r="C140" s="685" t="s">
        <v>136</v>
      </c>
      <c r="D140" s="685" t="s">
        <v>136</v>
      </c>
      <c r="E140" s="685" t="s">
        <v>136</v>
      </c>
      <c r="F140" s="685" t="s">
        <v>136</v>
      </c>
      <c r="G140" s="685" t="s">
        <v>136</v>
      </c>
      <c r="H140" s="685" t="s">
        <v>136</v>
      </c>
      <c r="I140" s="685" t="s">
        <v>136</v>
      </c>
      <c r="J140" s="685" t="s">
        <v>136</v>
      </c>
      <c r="K140" s="685" t="s">
        <v>136</v>
      </c>
      <c r="L140" s="685" t="s">
        <v>136</v>
      </c>
      <c r="M140" s="685" t="s">
        <v>136</v>
      </c>
      <c r="N140" s="685" t="s">
        <v>136</v>
      </c>
      <c r="O140" s="685" t="s">
        <v>136</v>
      </c>
      <c r="P140" s="685" t="s">
        <v>136</v>
      </c>
      <c r="Q140" s="685" t="s">
        <v>136</v>
      </c>
      <c r="R140" s="685" t="s">
        <v>136</v>
      </c>
      <c r="S140" s="685" t="s">
        <v>136</v>
      </c>
      <c r="T140" s="685" t="s">
        <v>136</v>
      </c>
      <c r="U140" s="685" t="s">
        <v>136</v>
      </c>
      <c r="V140" s="685" t="s">
        <v>136</v>
      </c>
      <c r="W140" s="685" t="s">
        <v>136</v>
      </c>
      <c r="X140" s="685" t="s">
        <v>136</v>
      </c>
      <c r="Y140" s="685" t="s">
        <v>136</v>
      </c>
      <c r="Z140" s="685" t="s">
        <v>136</v>
      </c>
      <c r="AA140" s="685" t="s">
        <v>136</v>
      </c>
      <c r="AB140" s="685" t="s">
        <v>136</v>
      </c>
      <c r="AC140" s="685" t="s">
        <v>136</v>
      </c>
      <c r="AD140" s="685" t="s">
        <v>136</v>
      </c>
      <c r="AE140" s="685" t="s">
        <v>136</v>
      </c>
      <c r="AF140" s="685" t="s">
        <v>471</v>
      </c>
      <c r="AG140" s="685" t="s">
        <v>136</v>
      </c>
      <c r="AH140" s="685" t="s">
        <v>471</v>
      </c>
      <c r="AI140" s="685" t="s">
        <v>136</v>
      </c>
      <c r="AJ140" s="685" t="s">
        <v>136</v>
      </c>
      <c r="AK140" s="685" t="s">
        <v>136</v>
      </c>
      <c r="AL140" s="685" t="s">
        <v>136</v>
      </c>
      <c r="AM140" s="685" t="s">
        <v>136</v>
      </c>
      <c r="AN140" s="685" t="s">
        <v>136</v>
      </c>
      <c r="AO140" s="685" t="s">
        <v>136</v>
      </c>
      <c r="AP140" s="685" t="s">
        <v>136</v>
      </c>
      <c r="AQ140" s="685" t="s">
        <v>136</v>
      </c>
      <c r="AR140" s="685" t="s">
        <v>136</v>
      </c>
      <c r="AS140" s="685" t="s">
        <v>471</v>
      </c>
      <c r="AT140" s="685" t="s">
        <v>136</v>
      </c>
      <c r="AU140" s="685" t="s">
        <v>471</v>
      </c>
      <c r="AV140" s="685" t="s">
        <v>136</v>
      </c>
      <c r="AW140" s="685" t="s">
        <v>136</v>
      </c>
    </row>
    <row r="141" spans="1:49" s="686" customFormat="1" x14ac:dyDescent="0.4">
      <c r="A141" s="686" t="s">
        <v>472</v>
      </c>
      <c r="AF141" s="686" t="s">
        <v>703</v>
      </c>
      <c r="AH141" s="686" t="s">
        <v>704</v>
      </c>
      <c r="AS141" s="686" t="s">
        <v>705</v>
      </c>
      <c r="AU141" s="686" t="s">
        <v>705</v>
      </c>
    </row>
    <row r="142" spans="1:49" x14ac:dyDescent="0.4">
      <c r="A142" s="685" t="s">
        <v>481</v>
      </c>
      <c r="B142" s="685" t="s">
        <v>136</v>
      </c>
      <c r="C142" s="685" t="s">
        <v>136</v>
      </c>
      <c r="D142" s="685" t="s">
        <v>136</v>
      </c>
      <c r="E142" s="685" t="s">
        <v>136</v>
      </c>
      <c r="F142" s="685" t="s">
        <v>136</v>
      </c>
      <c r="G142" s="685" t="s">
        <v>136</v>
      </c>
      <c r="H142" s="685" t="s">
        <v>136</v>
      </c>
      <c r="I142" s="685" t="s">
        <v>136</v>
      </c>
      <c r="J142" s="685" t="s">
        <v>136</v>
      </c>
      <c r="K142" s="685" t="s">
        <v>136</v>
      </c>
      <c r="L142" s="685" t="s">
        <v>136</v>
      </c>
      <c r="M142" s="685" t="s">
        <v>136</v>
      </c>
      <c r="N142" s="685" t="s">
        <v>136</v>
      </c>
      <c r="O142" s="685" t="s">
        <v>136</v>
      </c>
      <c r="P142" s="685" t="s">
        <v>136</v>
      </c>
      <c r="Q142" s="685" t="s">
        <v>136</v>
      </c>
      <c r="R142" s="685" t="s">
        <v>136</v>
      </c>
      <c r="S142" s="685" t="s">
        <v>136</v>
      </c>
      <c r="T142" s="685" t="s">
        <v>136</v>
      </c>
      <c r="U142" s="685" t="s">
        <v>136</v>
      </c>
      <c r="V142" s="685" t="s">
        <v>136</v>
      </c>
      <c r="W142" s="685" t="s">
        <v>136</v>
      </c>
      <c r="X142" s="685" t="s">
        <v>136</v>
      </c>
      <c r="Y142" s="685" t="s">
        <v>136</v>
      </c>
      <c r="Z142" s="685" t="s">
        <v>136</v>
      </c>
      <c r="AA142" s="685" t="s">
        <v>136</v>
      </c>
      <c r="AB142" s="685" t="s">
        <v>136</v>
      </c>
      <c r="AC142" s="685" t="s">
        <v>136</v>
      </c>
      <c r="AD142" s="685" t="s">
        <v>136</v>
      </c>
      <c r="AE142" s="685" t="s">
        <v>136</v>
      </c>
      <c r="AF142" s="685" t="s">
        <v>208</v>
      </c>
      <c r="AG142" s="685" t="s">
        <v>136</v>
      </c>
      <c r="AH142" s="685" t="s">
        <v>208</v>
      </c>
      <c r="AI142" s="685" t="s">
        <v>136</v>
      </c>
      <c r="AJ142" s="685" t="s">
        <v>136</v>
      </c>
      <c r="AK142" s="685" t="s">
        <v>136</v>
      </c>
      <c r="AL142" s="685" t="s">
        <v>136</v>
      </c>
      <c r="AM142" s="685" t="s">
        <v>136</v>
      </c>
      <c r="AN142" s="685" t="s">
        <v>136</v>
      </c>
      <c r="AO142" s="685" t="s">
        <v>136</v>
      </c>
      <c r="AP142" s="685" t="s">
        <v>136</v>
      </c>
      <c r="AQ142" s="685" t="s">
        <v>136</v>
      </c>
      <c r="AR142" s="685" t="s">
        <v>136</v>
      </c>
      <c r="AS142" s="685" t="s">
        <v>208</v>
      </c>
      <c r="AT142" s="685" t="s">
        <v>136</v>
      </c>
      <c r="AU142" s="685" t="s">
        <v>208</v>
      </c>
      <c r="AV142" s="685" t="s">
        <v>136</v>
      </c>
      <c r="AW142" s="685" t="s">
        <v>136</v>
      </c>
    </row>
    <row r="143" spans="1:49" x14ac:dyDescent="0.4">
      <c r="A143" s="685" t="s">
        <v>482</v>
      </c>
    </row>
    <row r="145" spans="1:49" s="684" customFormat="1" ht="24.6" x14ac:dyDescent="0.4">
      <c r="A145" s="683" t="s">
        <v>706</v>
      </c>
      <c r="B145" s="684" t="s">
        <v>430</v>
      </c>
      <c r="C145" s="684" t="s">
        <v>484</v>
      </c>
      <c r="D145" s="688" t="s">
        <v>485</v>
      </c>
      <c r="E145" s="688" t="s">
        <v>486</v>
      </c>
      <c r="F145" s="684" t="s">
        <v>487</v>
      </c>
      <c r="G145" s="688" t="s">
        <v>488</v>
      </c>
      <c r="H145" s="688" t="s">
        <v>489</v>
      </c>
      <c r="I145" s="688" t="s">
        <v>490</v>
      </c>
      <c r="J145" s="688" t="s">
        <v>491</v>
      </c>
      <c r="K145" s="684" t="s">
        <v>492</v>
      </c>
      <c r="L145" s="684" t="s">
        <v>493</v>
      </c>
      <c r="M145" s="688" t="s">
        <v>494</v>
      </c>
      <c r="N145" s="688" t="s">
        <v>495</v>
      </c>
      <c r="O145" s="688" t="s">
        <v>496</v>
      </c>
      <c r="P145" s="688" t="s">
        <v>497</v>
      </c>
      <c r="Q145" s="684" t="s">
        <v>498</v>
      </c>
      <c r="R145" s="688" t="s">
        <v>499</v>
      </c>
      <c r="S145" s="688" t="s">
        <v>500</v>
      </c>
      <c r="T145" s="684" t="s">
        <v>501</v>
      </c>
      <c r="U145" s="684" t="s">
        <v>502</v>
      </c>
      <c r="V145" s="684" t="s">
        <v>503</v>
      </c>
      <c r="W145" s="684" t="s">
        <v>504</v>
      </c>
      <c r="X145" s="684" t="s">
        <v>505</v>
      </c>
      <c r="Y145" s="688" t="s">
        <v>506</v>
      </c>
      <c r="Z145" s="684" t="s">
        <v>507</v>
      </c>
      <c r="AA145" s="688" t="s">
        <v>508</v>
      </c>
      <c r="AB145" s="684" t="s">
        <v>509</v>
      </c>
      <c r="AC145" s="684" t="s">
        <v>510</v>
      </c>
      <c r="AD145" s="688" t="s">
        <v>511</v>
      </c>
      <c r="AE145" s="684" t="s">
        <v>512</v>
      </c>
      <c r="AF145" s="684" t="s">
        <v>513</v>
      </c>
      <c r="AG145" s="684" t="s">
        <v>514</v>
      </c>
      <c r="AH145" s="684" t="s">
        <v>515</v>
      </c>
      <c r="AI145" s="684" t="s">
        <v>516</v>
      </c>
      <c r="AJ145" s="684" t="s">
        <v>517</v>
      </c>
      <c r="AK145" s="684" t="s">
        <v>518</v>
      </c>
      <c r="AL145" s="684" t="s">
        <v>519</v>
      </c>
      <c r="AM145" s="684" t="s">
        <v>520</v>
      </c>
      <c r="AN145" s="684" t="s">
        <v>521</v>
      </c>
      <c r="AO145" s="684" t="s">
        <v>522</v>
      </c>
      <c r="AP145" s="684" t="s">
        <v>523</v>
      </c>
      <c r="AQ145" s="688" t="s">
        <v>524</v>
      </c>
      <c r="AR145" s="684" t="s">
        <v>525</v>
      </c>
      <c r="AS145" s="684" t="s">
        <v>526</v>
      </c>
      <c r="AT145" s="684" t="s">
        <v>527</v>
      </c>
      <c r="AU145" s="684" t="s">
        <v>528</v>
      </c>
      <c r="AV145" s="684" t="s">
        <v>529</v>
      </c>
      <c r="AW145" s="684" t="s">
        <v>530</v>
      </c>
    </row>
    <row r="146" spans="1:49" ht="61.5" x14ac:dyDescent="0.4">
      <c r="A146" s="685" t="s">
        <v>457</v>
      </c>
      <c r="B146" s="685" t="s">
        <v>136</v>
      </c>
      <c r="C146" s="685" t="s">
        <v>136</v>
      </c>
      <c r="D146" s="685" t="s">
        <v>136</v>
      </c>
      <c r="E146" s="685" t="s">
        <v>136</v>
      </c>
      <c r="F146" s="685" t="s">
        <v>136</v>
      </c>
      <c r="G146" s="685" t="s">
        <v>136</v>
      </c>
      <c r="H146" s="685" t="s">
        <v>136</v>
      </c>
      <c r="I146" s="685" t="s">
        <v>136</v>
      </c>
      <c r="J146" s="685" t="s">
        <v>136</v>
      </c>
      <c r="K146" s="685" t="s">
        <v>136</v>
      </c>
      <c r="L146" s="685" t="s">
        <v>136</v>
      </c>
      <c r="M146" s="685" t="s">
        <v>136</v>
      </c>
      <c r="N146" s="685" t="s">
        <v>136</v>
      </c>
      <c r="O146" s="685" t="s">
        <v>136</v>
      </c>
      <c r="P146" s="685" t="s">
        <v>136</v>
      </c>
      <c r="Q146" s="685" t="s">
        <v>136</v>
      </c>
      <c r="R146" s="685" t="s">
        <v>136</v>
      </c>
      <c r="S146" s="685" t="s">
        <v>136</v>
      </c>
      <c r="T146" s="685" t="s">
        <v>136</v>
      </c>
      <c r="U146" s="685" t="s">
        <v>136</v>
      </c>
      <c r="V146" s="685" t="s">
        <v>136</v>
      </c>
      <c r="W146" s="685" t="s">
        <v>136</v>
      </c>
      <c r="X146" s="685" t="s">
        <v>136</v>
      </c>
      <c r="Y146" s="685" t="s">
        <v>136</v>
      </c>
      <c r="Z146" s="685" t="s">
        <v>136</v>
      </c>
      <c r="AA146" s="685" t="s">
        <v>136</v>
      </c>
      <c r="AB146" s="685" t="s">
        <v>136</v>
      </c>
      <c r="AC146" s="685" t="s">
        <v>136</v>
      </c>
      <c r="AD146" s="685" t="s">
        <v>136</v>
      </c>
      <c r="AE146" s="685" t="s">
        <v>136</v>
      </c>
      <c r="AF146" s="685" t="s">
        <v>136</v>
      </c>
      <c r="AG146" s="685" t="s">
        <v>136</v>
      </c>
      <c r="AH146" s="685" t="s">
        <v>136</v>
      </c>
      <c r="AI146" s="685" t="s">
        <v>136</v>
      </c>
      <c r="AJ146" s="685" t="s">
        <v>136</v>
      </c>
      <c r="AK146" s="685" t="s">
        <v>136</v>
      </c>
      <c r="AL146" s="685" t="s">
        <v>136</v>
      </c>
      <c r="AM146" s="685" t="s">
        <v>136</v>
      </c>
      <c r="AN146" s="685" t="s">
        <v>136</v>
      </c>
      <c r="AO146" s="685" t="s">
        <v>136</v>
      </c>
      <c r="AP146" s="685" t="s">
        <v>136</v>
      </c>
      <c r="AQ146" s="685" t="s">
        <v>136</v>
      </c>
      <c r="AR146" s="685" t="s">
        <v>136</v>
      </c>
      <c r="AS146" s="685" t="s">
        <v>136</v>
      </c>
      <c r="AT146" s="685" t="s">
        <v>136</v>
      </c>
      <c r="AU146" s="686" t="s">
        <v>540</v>
      </c>
      <c r="AV146" s="685" t="s">
        <v>136</v>
      </c>
      <c r="AW146" s="685" t="s">
        <v>136</v>
      </c>
    </row>
    <row r="147" spans="1:49" x14ac:dyDescent="0.4">
      <c r="A147" s="685" t="s">
        <v>466</v>
      </c>
      <c r="B147" s="685" t="s">
        <v>136</v>
      </c>
      <c r="C147" s="685" t="s">
        <v>136</v>
      </c>
      <c r="D147" s="685" t="s">
        <v>136</v>
      </c>
      <c r="E147" s="685" t="s">
        <v>136</v>
      </c>
      <c r="F147" s="685" t="s">
        <v>136</v>
      </c>
      <c r="G147" s="685" t="s">
        <v>136</v>
      </c>
      <c r="H147" s="685" t="s">
        <v>136</v>
      </c>
      <c r="I147" s="685" t="s">
        <v>136</v>
      </c>
      <c r="J147" s="685" t="s">
        <v>136</v>
      </c>
      <c r="K147" s="685" t="s">
        <v>136</v>
      </c>
      <c r="L147" s="685" t="s">
        <v>136</v>
      </c>
      <c r="M147" s="685" t="s">
        <v>136</v>
      </c>
      <c r="N147" s="685" t="s">
        <v>136</v>
      </c>
      <c r="O147" s="685" t="s">
        <v>136</v>
      </c>
      <c r="P147" s="685" t="s">
        <v>136</v>
      </c>
      <c r="Q147" s="685" t="s">
        <v>136</v>
      </c>
      <c r="R147" s="685" t="s">
        <v>136</v>
      </c>
      <c r="S147" s="685" t="s">
        <v>136</v>
      </c>
      <c r="T147" s="685" t="s">
        <v>136</v>
      </c>
      <c r="U147" s="685" t="s">
        <v>136</v>
      </c>
      <c r="V147" s="685" t="s">
        <v>136</v>
      </c>
      <c r="W147" s="685" t="s">
        <v>136</v>
      </c>
      <c r="X147" s="685" t="s">
        <v>136</v>
      </c>
      <c r="Y147" s="685" t="s">
        <v>136</v>
      </c>
      <c r="Z147" s="685" t="s">
        <v>136</v>
      </c>
      <c r="AA147" s="685" t="s">
        <v>136</v>
      </c>
      <c r="AB147" s="685" t="s">
        <v>136</v>
      </c>
      <c r="AC147" s="685" t="s">
        <v>136</v>
      </c>
      <c r="AD147" s="685" t="s">
        <v>136</v>
      </c>
      <c r="AE147" s="685" t="s">
        <v>136</v>
      </c>
      <c r="AF147" s="685" t="s">
        <v>136</v>
      </c>
      <c r="AG147" s="685" t="s">
        <v>136</v>
      </c>
      <c r="AH147" s="685" t="s">
        <v>136</v>
      </c>
      <c r="AI147" s="685" t="s">
        <v>136</v>
      </c>
      <c r="AJ147" s="685" t="s">
        <v>136</v>
      </c>
      <c r="AK147" s="685" t="s">
        <v>136</v>
      </c>
      <c r="AL147" s="685" t="s">
        <v>136</v>
      </c>
      <c r="AM147" s="685" t="s">
        <v>136</v>
      </c>
      <c r="AN147" s="685" t="s">
        <v>136</v>
      </c>
      <c r="AO147" s="685" t="s">
        <v>136</v>
      </c>
      <c r="AP147" s="685" t="s">
        <v>136</v>
      </c>
      <c r="AQ147" s="685" t="s">
        <v>136</v>
      </c>
      <c r="AR147" s="685" t="s">
        <v>136</v>
      </c>
      <c r="AS147" s="685" t="s">
        <v>136</v>
      </c>
      <c r="AT147" s="685" t="s">
        <v>136</v>
      </c>
      <c r="AU147" s="685" t="s">
        <v>467</v>
      </c>
      <c r="AV147" s="685" t="s">
        <v>136</v>
      </c>
      <c r="AW147" s="685" t="s">
        <v>136</v>
      </c>
    </row>
    <row r="148" spans="1:49" x14ac:dyDescent="0.4">
      <c r="A148" s="685" t="s">
        <v>468</v>
      </c>
      <c r="B148" s="685" t="s">
        <v>136</v>
      </c>
      <c r="C148" s="685" t="s">
        <v>136</v>
      </c>
      <c r="D148" s="685" t="s">
        <v>136</v>
      </c>
      <c r="E148" s="685" t="s">
        <v>136</v>
      </c>
      <c r="F148" s="685" t="s">
        <v>136</v>
      </c>
      <c r="G148" s="685" t="s">
        <v>136</v>
      </c>
      <c r="H148" s="685" t="s">
        <v>136</v>
      </c>
      <c r="I148" s="685" t="s">
        <v>136</v>
      </c>
      <c r="J148" s="685" t="s">
        <v>136</v>
      </c>
      <c r="K148" s="685" t="s">
        <v>136</v>
      </c>
      <c r="L148" s="685" t="s">
        <v>136</v>
      </c>
      <c r="M148" s="685" t="s">
        <v>136</v>
      </c>
      <c r="N148" s="685" t="s">
        <v>136</v>
      </c>
      <c r="O148" s="685" t="s">
        <v>136</v>
      </c>
      <c r="P148" s="685" t="s">
        <v>136</v>
      </c>
      <c r="Q148" s="685" t="s">
        <v>136</v>
      </c>
      <c r="R148" s="685" t="s">
        <v>136</v>
      </c>
      <c r="S148" s="685" t="s">
        <v>136</v>
      </c>
      <c r="T148" s="685" t="s">
        <v>136</v>
      </c>
      <c r="U148" s="685" t="s">
        <v>136</v>
      </c>
      <c r="V148" s="685" t="s">
        <v>136</v>
      </c>
      <c r="W148" s="685" t="s">
        <v>136</v>
      </c>
      <c r="X148" s="685" t="s">
        <v>136</v>
      </c>
      <c r="Y148" s="685" t="s">
        <v>136</v>
      </c>
      <c r="Z148" s="685" t="s">
        <v>136</v>
      </c>
      <c r="AA148" s="685" t="s">
        <v>136</v>
      </c>
      <c r="AB148" s="685" t="s">
        <v>136</v>
      </c>
      <c r="AC148" s="685" t="s">
        <v>136</v>
      </c>
      <c r="AD148" s="685" t="s">
        <v>136</v>
      </c>
      <c r="AE148" s="685" t="s">
        <v>136</v>
      </c>
      <c r="AF148" s="685" t="s">
        <v>136</v>
      </c>
      <c r="AG148" s="685" t="s">
        <v>136</v>
      </c>
      <c r="AH148" s="685" t="s">
        <v>136</v>
      </c>
      <c r="AI148" s="685" t="s">
        <v>136</v>
      </c>
      <c r="AJ148" s="685" t="s">
        <v>136</v>
      </c>
      <c r="AK148" s="685" t="s">
        <v>136</v>
      </c>
      <c r="AL148" s="685" t="s">
        <v>136</v>
      </c>
      <c r="AM148" s="685" t="s">
        <v>136</v>
      </c>
      <c r="AN148" s="685" t="s">
        <v>136</v>
      </c>
      <c r="AO148" s="685" t="s">
        <v>136</v>
      </c>
      <c r="AP148" s="685" t="s">
        <v>136</v>
      </c>
      <c r="AQ148" s="685" t="s">
        <v>136</v>
      </c>
      <c r="AR148" s="685" t="s">
        <v>136</v>
      </c>
      <c r="AS148" s="685" t="s">
        <v>136</v>
      </c>
      <c r="AT148" s="685" t="s">
        <v>136</v>
      </c>
      <c r="AU148" s="685" t="s">
        <v>541</v>
      </c>
      <c r="AV148" s="685" t="s">
        <v>136</v>
      </c>
      <c r="AW148" s="685" t="s">
        <v>136</v>
      </c>
    </row>
    <row r="149" spans="1:49" x14ac:dyDescent="0.4">
      <c r="A149" s="685" t="s">
        <v>470</v>
      </c>
      <c r="B149" s="685" t="s">
        <v>136</v>
      </c>
      <c r="C149" s="685" t="s">
        <v>136</v>
      </c>
      <c r="D149" s="685" t="s">
        <v>136</v>
      </c>
      <c r="E149" s="685" t="s">
        <v>136</v>
      </c>
      <c r="F149" s="685" t="s">
        <v>136</v>
      </c>
      <c r="G149" s="685" t="s">
        <v>136</v>
      </c>
      <c r="H149" s="685" t="s">
        <v>136</v>
      </c>
      <c r="I149" s="685" t="s">
        <v>136</v>
      </c>
      <c r="J149" s="685" t="s">
        <v>136</v>
      </c>
      <c r="K149" s="685" t="s">
        <v>136</v>
      </c>
      <c r="L149" s="685" t="s">
        <v>136</v>
      </c>
      <c r="M149" s="685" t="s">
        <v>136</v>
      </c>
      <c r="N149" s="685" t="s">
        <v>136</v>
      </c>
      <c r="O149" s="685" t="s">
        <v>136</v>
      </c>
      <c r="P149" s="685" t="s">
        <v>136</v>
      </c>
      <c r="Q149" s="685" t="s">
        <v>136</v>
      </c>
      <c r="R149" s="685" t="s">
        <v>136</v>
      </c>
      <c r="S149" s="685" t="s">
        <v>136</v>
      </c>
      <c r="T149" s="685" t="s">
        <v>136</v>
      </c>
      <c r="U149" s="685" t="s">
        <v>136</v>
      </c>
      <c r="V149" s="685" t="s">
        <v>136</v>
      </c>
      <c r="W149" s="685" t="s">
        <v>136</v>
      </c>
      <c r="X149" s="685" t="s">
        <v>136</v>
      </c>
      <c r="Y149" s="685" t="s">
        <v>136</v>
      </c>
      <c r="Z149" s="685" t="s">
        <v>136</v>
      </c>
      <c r="AA149" s="685" t="s">
        <v>136</v>
      </c>
      <c r="AB149" s="685" t="s">
        <v>136</v>
      </c>
      <c r="AC149" s="685" t="s">
        <v>136</v>
      </c>
      <c r="AD149" s="685" t="s">
        <v>136</v>
      </c>
      <c r="AE149" s="685" t="s">
        <v>136</v>
      </c>
      <c r="AF149" s="685" t="s">
        <v>136</v>
      </c>
      <c r="AG149" s="685" t="s">
        <v>136</v>
      </c>
      <c r="AH149" s="685" t="s">
        <v>136</v>
      </c>
      <c r="AI149" s="685" t="s">
        <v>136</v>
      </c>
      <c r="AJ149" s="685" t="s">
        <v>136</v>
      </c>
      <c r="AK149" s="685" t="s">
        <v>136</v>
      </c>
      <c r="AL149" s="685" t="s">
        <v>136</v>
      </c>
      <c r="AM149" s="685" t="s">
        <v>136</v>
      </c>
      <c r="AN149" s="685" t="s">
        <v>136</v>
      </c>
      <c r="AO149" s="685" t="s">
        <v>136</v>
      </c>
      <c r="AP149" s="685" t="s">
        <v>136</v>
      </c>
      <c r="AQ149" s="685" t="s">
        <v>136</v>
      </c>
      <c r="AR149" s="685" t="s">
        <v>136</v>
      </c>
      <c r="AS149" s="685" t="s">
        <v>136</v>
      </c>
      <c r="AT149" s="685" t="s">
        <v>136</v>
      </c>
      <c r="AU149" s="685" t="s">
        <v>471</v>
      </c>
      <c r="AV149" s="685" t="s">
        <v>136</v>
      </c>
      <c r="AW149" s="685" t="s">
        <v>136</v>
      </c>
    </row>
    <row r="150" spans="1:49" s="686" customFormat="1" x14ac:dyDescent="0.4">
      <c r="A150" s="686" t="s">
        <v>472</v>
      </c>
      <c r="AU150" s="686" t="s">
        <v>707</v>
      </c>
    </row>
    <row r="151" spans="1:49" x14ac:dyDescent="0.4">
      <c r="A151" s="685" t="s">
        <v>481</v>
      </c>
      <c r="B151" s="685" t="s">
        <v>136</v>
      </c>
      <c r="C151" s="685" t="s">
        <v>136</v>
      </c>
      <c r="D151" s="685" t="s">
        <v>136</v>
      </c>
      <c r="E151" s="685" t="s">
        <v>136</v>
      </c>
      <c r="F151" s="685" t="s">
        <v>136</v>
      </c>
      <c r="G151" s="685" t="s">
        <v>136</v>
      </c>
      <c r="H151" s="685" t="s">
        <v>136</v>
      </c>
      <c r="I151" s="685" t="s">
        <v>136</v>
      </c>
      <c r="J151" s="685" t="s">
        <v>136</v>
      </c>
      <c r="K151" s="685" t="s">
        <v>136</v>
      </c>
      <c r="L151" s="685" t="s">
        <v>136</v>
      </c>
      <c r="M151" s="685" t="s">
        <v>136</v>
      </c>
      <c r="N151" s="685" t="s">
        <v>136</v>
      </c>
      <c r="O151" s="685" t="s">
        <v>136</v>
      </c>
      <c r="P151" s="685" t="s">
        <v>136</v>
      </c>
      <c r="Q151" s="685" t="s">
        <v>136</v>
      </c>
      <c r="R151" s="685" t="s">
        <v>136</v>
      </c>
      <c r="S151" s="685" t="s">
        <v>136</v>
      </c>
      <c r="T151" s="685" t="s">
        <v>136</v>
      </c>
      <c r="U151" s="685" t="s">
        <v>136</v>
      </c>
      <c r="V151" s="685" t="s">
        <v>136</v>
      </c>
      <c r="W151" s="685" t="s">
        <v>136</v>
      </c>
      <c r="X151" s="685" t="s">
        <v>136</v>
      </c>
      <c r="Y151" s="685" t="s">
        <v>136</v>
      </c>
      <c r="Z151" s="685" t="s">
        <v>136</v>
      </c>
      <c r="AA151" s="685" t="s">
        <v>136</v>
      </c>
      <c r="AB151" s="685" t="s">
        <v>136</v>
      </c>
      <c r="AC151" s="685" t="s">
        <v>136</v>
      </c>
      <c r="AD151" s="685" t="s">
        <v>136</v>
      </c>
      <c r="AE151" s="685" t="s">
        <v>136</v>
      </c>
      <c r="AF151" s="685" t="s">
        <v>136</v>
      </c>
      <c r="AG151" s="685" t="s">
        <v>136</v>
      </c>
      <c r="AH151" s="685" t="s">
        <v>136</v>
      </c>
      <c r="AI151" s="685" t="s">
        <v>136</v>
      </c>
      <c r="AJ151" s="685" t="s">
        <v>136</v>
      </c>
      <c r="AK151" s="685" t="s">
        <v>136</v>
      </c>
      <c r="AL151" s="685" t="s">
        <v>136</v>
      </c>
      <c r="AM151" s="685" t="s">
        <v>136</v>
      </c>
      <c r="AN151" s="685" t="s">
        <v>136</v>
      </c>
      <c r="AO151" s="685" t="s">
        <v>136</v>
      </c>
      <c r="AP151" s="685" t="s">
        <v>136</v>
      </c>
      <c r="AQ151" s="685" t="s">
        <v>136</v>
      </c>
      <c r="AR151" s="685" t="s">
        <v>136</v>
      </c>
      <c r="AS151" s="685" t="s">
        <v>136</v>
      </c>
      <c r="AT151" s="685" t="s">
        <v>136</v>
      </c>
      <c r="AU151" s="685" t="s">
        <v>208</v>
      </c>
      <c r="AV151" s="685" t="s">
        <v>136</v>
      </c>
      <c r="AW151" s="685" t="s">
        <v>136</v>
      </c>
    </row>
    <row r="152" spans="1:49" x14ac:dyDescent="0.4">
      <c r="A152" s="685" t="s">
        <v>482</v>
      </c>
    </row>
  </sheetData>
  <sheetProtection algorithmName="SHA-512" hashValue="G03t71bEFhr75WhpjVUnj/Cgd7tjnITLHCXnOm1pE1ds5Clan8HpRtPtrbQEbLPjauzZjhgSWxuDKQ+PH5xXrg==" saltValue="md34G+bYMj1tL/cfecH/DQ==" spinCount="100000" sheet="1" objects="1" scenarios="1"/>
  <phoneticPr fontId="0"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pageSetUpPr autoPageBreaks="0"/>
  </sheetPr>
  <dimension ref="A1:FI438"/>
  <sheetViews>
    <sheetView topLeftCell="J1" workbookViewId="0">
      <selection activeCell="Q7" sqref="Q7"/>
    </sheetView>
  </sheetViews>
  <sheetFormatPr defaultRowHeight="12.3" x14ac:dyDescent="0.4"/>
  <cols>
    <col min="1" max="1" width="7" customWidth="1"/>
    <col min="2" max="2" width="7" hidden="1" customWidth="1"/>
    <col min="3" max="4" width="16.83203125" customWidth="1"/>
    <col min="5" max="5" width="14.1640625" customWidth="1"/>
    <col min="6" max="6" width="13.71875" customWidth="1"/>
    <col min="7" max="7" width="11.71875" customWidth="1"/>
    <col min="8" max="8" width="12.27734375" customWidth="1"/>
    <col min="9" max="9" width="11.71875" customWidth="1"/>
    <col min="10" max="10" width="13.27734375" customWidth="1"/>
    <col min="11" max="12" width="8.71875" customWidth="1"/>
    <col min="13" max="13" width="14.44140625" bestFit="1" customWidth="1"/>
    <col min="14" max="14" width="14.1640625" hidden="1" customWidth="1"/>
    <col min="15" max="15" width="14.1640625" bestFit="1" customWidth="1"/>
    <col min="25" max="25" width="9" customWidth="1"/>
    <col min="79" max="79" width="9.1640625" style="836"/>
    <col min="80" max="80" width="10.44140625" style="836" customWidth="1"/>
    <col min="81" max="81" width="11.44140625" bestFit="1" customWidth="1"/>
    <col min="82" max="82" width="11.27734375" bestFit="1" customWidth="1"/>
    <col min="83" max="83" width="11.27734375" customWidth="1"/>
    <col min="84" max="84" width="10" customWidth="1"/>
    <col min="85" max="85" width="10.1640625" style="836" bestFit="1" customWidth="1"/>
    <col min="86" max="86" width="10.1640625" customWidth="1"/>
    <col min="87" max="87" width="10.1640625" bestFit="1" customWidth="1"/>
    <col min="88" max="88" width="9.27734375" bestFit="1" customWidth="1"/>
    <col min="89" max="89" width="9.27734375" style="760" bestFit="1" customWidth="1"/>
    <col min="90" max="90" width="9.5546875" style="760" customWidth="1"/>
    <col min="91" max="92" width="9.27734375" style="836" bestFit="1" customWidth="1"/>
    <col min="93" max="93" width="9.71875" style="861" bestFit="1" customWidth="1"/>
    <col min="94" max="94" width="9.27734375" style="836" bestFit="1" customWidth="1"/>
    <col min="95" max="95" width="9.27734375" bestFit="1" customWidth="1"/>
    <col min="96" max="97" width="10.44140625" bestFit="1" customWidth="1"/>
    <col min="98" max="98" width="9.27734375" customWidth="1"/>
    <col min="99" max="99" width="9.27734375" bestFit="1" customWidth="1"/>
    <col min="100" max="100" width="10.5546875" bestFit="1" customWidth="1"/>
    <col min="101" max="101" width="9.83203125" bestFit="1" customWidth="1"/>
    <col min="103" max="103" width="4.1640625" customWidth="1"/>
    <col min="104" max="104" width="9.27734375" customWidth="1"/>
    <col min="105" max="105" width="4.1640625" style="839" customWidth="1"/>
    <col min="106" max="106" width="9.5546875" style="836" customWidth="1"/>
    <col min="111" max="111" width="13.27734375" style="836" bestFit="1" customWidth="1"/>
    <col min="112" max="112" width="12.83203125" style="889" bestFit="1" customWidth="1"/>
    <col min="113" max="113" width="25.5546875" style="889" bestFit="1" customWidth="1"/>
    <col min="114" max="114" width="19.5546875" style="836" bestFit="1" customWidth="1"/>
    <col min="115" max="116" width="18.44140625" style="765" bestFit="1" customWidth="1"/>
    <col min="117" max="117" width="20.71875" style="765" bestFit="1" customWidth="1"/>
    <col min="118" max="118" width="19.27734375" style="765" bestFit="1" customWidth="1"/>
    <col min="119" max="119" width="7.71875" style="765" customWidth="1"/>
    <col min="137" max="137" width="13.71875" customWidth="1"/>
    <col min="258" max="258" width="7" customWidth="1"/>
    <col min="259" max="259" width="0" hidden="1" customWidth="1"/>
    <col min="260" max="261" width="16.83203125" customWidth="1"/>
    <col min="262" max="262" width="14.1640625" customWidth="1"/>
    <col min="263" max="263" width="13.71875" customWidth="1"/>
    <col min="264" max="264" width="11.71875" customWidth="1"/>
    <col min="265" max="265" width="12.27734375" customWidth="1"/>
    <col min="266" max="266" width="11.71875" customWidth="1"/>
    <col min="267" max="267" width="13.27734375" customWidth="1"/>
    <col min="268" max="269" width="8.71875" customWidth="1"/>
    <col min="270" max="270" width="14.44140625" bestFit="1" customWidth="1"/>
    <col min="271" max="271" width="0" hidden="1" customWidth="1"/>
    <col min="272" max="272" width="14.1640625" bestFit="1" customWidth="1"/>
    <col min="318" max="318" width="10.27734375" customWidth="1"/>
    <col min="319" max="319" width="10.1640625" customWidth="1"/>
    <col min="332" max="332" width="20.44140625" customWidth="1"/>
    <col min="333" max="334" width="11.44140625" bestFit="1" customWidth="1"/>
    <col min="335" max="335" width="11.27734375" customWidth="1"/>
    <col min="336" max="336" width="10" customWidth="1"/>
    <col min="337" max="337" width="9.71875" customWidth="1"/>
    <col min="341" max="341" width="10.1640625" bestFit="1" customWidth="1"/>
    <col min="342" max="345" width="9.27734375" bestFit="1" customWidth="1"/>
    <col min="346" max="346" width="9.5546875" customWidth="1"/>
    <col min="347" max="349" width="9.27734375" bestFit="1" customWidth="1"/>
    <col min="350" max="350" width="9.83203125" bestFit="1" customWidth="1"/>
    <col min="351" max="359" width="9.27734375" bestFit="1" customWidth="1"/>
    <col min="360" max="360" width="24.71875" customWidth="1"/>
    <col min="361" max="365" width="9.27734375" bestFit="1" customWidth="1"/>
    <col min="366" max="366" width="9.83203125" bestFit="1" customWidth="1"/>
    <col min="368" max="368" width="4.1640625" customWidth="1"/>
    <col min="369" max="369" width="9.27734375" customWidth="1"/>
    <col min="370" max="370" width="4.1640625" customWidth="1"/>
    <col min="371" max="371" width="5.71875" customWidth="1"/>
    <col min="514" max="514" width="7" customWidth="1"/>
    <col min="515" max="515" width="0" hidden="1" customWidth="1"/>
    <col min="516" max="517" width="16.83203125" customWidth="1"/>
    <col min="518" max="518" width="14.1640625" customWidth="1"/>
    <col min="519" max="519" width="13.71875" customWidth="1"/>
    <col min="520" max="520" width="11.71875" customWidth="1"/>
    <col min="521" max="521" width="12.27734375" customWidth="1"/>
    <col min="522" max="522" width="11.71875" customWidth="1"/>
    <col min="523" max="523" width="13.27734375" customWidth="1"/>
    <col min="524" max="525" width="8.71875" customWidth="1"/>
    <col min="526" max="526" width="14.44140625" bestFit="1" customWidth="1"/>
    <col min="527" max="527" width="0" hidden="1" customWidth="1"/>
    <col min="528" max="528" width="14.1640625" bestFit="1" customWidth="1"/>
    <col min="574" max="574" width="10.27734375" customWidth="1"/>
    <col min="575" max="575" width="10.1640625" customWidth="1"/>
    <col min="588" max="588" width="20.44140625" customWidth="1"/>
    <col min="589" max="590" width="11.44140625" bestFit="1" customWidth="1"/>
    <col min="591" max="591" width="11.27734375" customWidth="1"/>
    <col min="592" max="592" width="10" customWidth="1"/>
    <col min="593" max="593" width="9.71875" customWidth="1"/>
    <col min="597" max="597" width="10.1640625" bestFit="1" customWidth="1"/>
    <col min="598" max="601" width="9.27734375" bestFit="1" customWidth="1"/>
    <col min="602" max="602" width="9.5546875" customWidth="1"/>
    <col min="603" max="605" width="9.27734375" bestFit="1" customWidth="1"/>
    <col min="606" max="606" width="9.83203125" bestFit="1" customWidth="1"/>
    <col min="607" max="615" width="9.27734375" bestFit="1" customWidth="1"/>
    <col min="616" max="616" width="24.71875" customWidth="1"/>
    <col min="617" max="621" width="9.27734375" bestFit="1" customWidth="1"/>
    <col min="622" max="622" width="9.83203125" bestFit="1" customWidth="1"/>
    <col min="624" max="624" width="4.1640625" customWidth="1"/>
    <col min="625" max="625" width="9.27734375" customWidth="1"/>
    <col min="626" max="626" width="4.1640625" customWidth="1"/>
    <col min="627" max="627" width="5.71875" customWidth="1"/>
    <col min="770" max="770" width="7" customWidth="1"/>
    <col min="771" max="771" width="0" hidden="1" customWidth="1"/>
    <col min="772" max="773" width="16.83203125" customWidth="1"/>
    <col min="774" max="774" width="14.1640625" customWidth="1"/>
    <col min="775" max="775" width="13.71875" customWidth="1"/>
    <col min="776" max="776" width="11.71875" customWidth="1"/>
    <col min="777" max="777" width="12.27734375" customWidth="1"/>
    <col min="778" max="778" width="11.71875" customWidth="1"/>
    <col min="779" max="779" width="13.27734375" customWidth="1"/>
    <col min="780" max="781" width="8.71875" customWidth="1"/>
    <col min="782" max="782" width="14.44140625" bestFit="1" customWidth="1"/>
    <col min="783" max="783" width="0" hidden="1" customWidth="1"/>
    <col min="784" max="784" width="14.1640625" bestFit="1" customWidth="1"/>
    <col min="830" max="830" width="10.27734375" customWidth="1"/>
    <col min="831" max="831" width="10.1640625" customWidth="1"/>
    <col min="844" max="844" width="20.44140625" customWidth="1"/>
    <col min="845" max="846" width="11.44140625" bestFit="1" customWidth="1"/>
    <col min="847" max="847" width="11.27734375" customWidth="1"/>
    <col min="848" max="848" width="10" customWidth="1"/>
    <col min="849" max="849" width="9.71875" customWidth="1"/>
    <col min="853" max="853" width="10.1640625" bestFit="1" customWidth="1"/>
    <col min="854" max="857" width="9.27734375" bestFit="1" customWidth="1"/>
    <col min="858" max="858" width="9.5546875" customWidth="1"/>
    <col min="859" max="861" width="9.27734375" bestFit="1" customWidth="1"/>
    <col min="862" max="862" width="9.83203125" bestFit="1" customWidth="1"/>
    <col min="863" max="871" width="9.27734375" bestFit="1" customWidth="1"/>
    <col min="872" max="872" width="24.71875" customWidth="1"/>
    <col min="873" max="877" width="9.27734375" bestFit="1" customWidth="1"/>
    <col min="878" max="878" width="9.83203125" bestFit="1" customWidth="1"/>
    <col min="880" max="880" width="4.1640625" customWidth="1"/>
    <col min="881" max="881" width="9.27734375" customWidth="1"/>
    <col min="882" max="882" width="4.1640625" customWidth="1"/>
    <col min="883" max="883" width="5.71875" customWidth="1"/>
    <col min="1026" max="1026" width="7" customWidth="1"/>
    <col min="1027" max="1027" width="0" hidden="1" customWidth="1"/>
    <col min="1028" max="1029" width="16.83203125" customWidth="1"/>
    <col min="1030" max="1030" width="14.1640625" customWidth="1"/>
    <col min="1031" max="1031" width="13.71875" customWidth="1"/>
    <col min="1032" max="1032" width="11.71875" customWidth="1"/>
    <col min="1033" max="1033" width="12.27734375" customWidth="1"/>
    <col min="1034" max="1034" width="11.71875" customWidth="1"/>
    <col min="1035" max="1035" width="13.27734375" customWidth="1"/>
    <col min="1036" max="1037" width="8.71875" customWidth="1"/>
    <col min="1038" max="1038" width="14.44140625" bestFit="1" customWidth="1"/>
    <col min="1039" max="1039" width="0" hidden="1" customWidth="1"/>
    <col min="1040" max="1040" width="14.1640625" bestFit="1" customWidth="1"/>
    <col min="1086" max="1086" width="10.27734375" customWidth="1"/>
    <col min="1087" max="1087" width="10.1640625" customWidth="1"/>
    <col min="1100" max="1100" width="20.44140625" customWidth="1"/>
    <col min="1101" max="1102" width="11.44140625" bestFit="1" customWidth="1"/>
    <col min="1103" max="1103" width="11.27734375" customWidth="1"/>
    <col min="1104" max="1104" width="10" customWidth="1"/>
    <col min="1105" max="1105" width="9.71875" customWidth="1"/>
    <col min="1109" max="1109" width="10.1640625" bestFit="1" customWidth="1"/>
    <col min="1110" max="1113" width="9.27734375" bestFit="1" customWidth="1"/>
    <col min="1114" max="1114" width="9.5546875" customWidth="1"/>
    <col min="1115" max="1117" width="9.27734375" bestFit="1" customWidth="1"/>
    <col min="1118" max="1118" width="9.83203125" bestFit="1" customWidth="1"/>
    <col min="1119" max="1127" width="9.27734375" bestFit="1" customWidth="1"/>
    <col min="1128" max="1128" width="24.71875" customWidth="1"/>
    <col min="1129" max="1133" width="9.27734375" bestFit="1" customWidth="1"/>
    <col min="1134" max="1134" width="9.83203125" bestFit="1" customWidth="1"/>
    <col min="1136" max="1136" width="4.1640625" customWidth="1"/>
    <col min="1137" max="1137" width="9.27734375" customWidth="1"/>
    <col min="1138" max="1138" width="4.1640625" customWidth="1"/>
    <col min="1139" max="1139" width="5.71875" customWidth="1"/>
    <col min="1282" max="1282" width="7" customWidth="1"/>
    <col min="1283" max="1283" width="0" hidden="1" customWidth="1"/>
    <col min="1284" max="1285" width="16.83203125" customWidth="1"/>
    <col min="1286" max="1286" width="14.1640625" customWidth="1"/>
    <col min="1287" max="1287" width="13.71875" customWidth="1"/>
    <col min="1288" max="1288" width="11.71875" customWidth="1"/>
    <col min="1289" max="1289" width="12.27734375" customWidth="1"/>
    <col min="1290" max="1290" width="11.71875" customWidth="1"/>
    <col min="1291" max="1291" width="13.27734375" customWidth="1"/>
    <col min="1292" max="1293" width="8.71875" customWidth="1"/>
    <col min="1294" max="1294" width="14.44140625" bestFit="1" customWidth="1"/>
    <col min="1295" max="1295" width="0" hidden="1" customWidth="1"/>
    <col min="1296" max="1296" width="14.1640625" bestFit="1" customWidth="1"/>
    <col min="1342" max="1342" width="10.27734375" customWidth="1"/>
    <col min="1343" max="1343" width="10.1640625" customWidth="1"/>
    <col min="1356" max="1356" width="20.44140625" customWidth="1"/>
    <col min="1357" max="1358" width="11.44140625" bestFit="1" customWidth="1"/>
    <col min="1359" max="1359" width="11.27734375" customWidth="1"/>
    <col min="1360" max="1360" width="10" customWidth="1"/>
    <col min="1361" max="1361" width="9.71875" customWidth="1"/>
    <col min="1365" max="1365" width="10.1640625" bestFit="1" customWidth="1"/>
    <col min="1366" max="1369" width="9.27734375" bestFit="1" customWidth="1"/>
    <col min="1370" max="1370" width="9.5546875" customWidth="1"/>
    <col min="1371" max="1373" width="9.27734375" bestFit="1" customWidth="1"/>
    <col min="1374" max="1374" width="9.83203125" bestFit="1" customWidth="1"/>
    <col min="1375" max="1383" width="9.27734375" bestFit="1" customWidth="1"/>
    <col min="1384" max="1384" width="24.71875" customWidth="1"/>
    <col min="1385" max="1389" width="9.27734375" bestFit="1" customWidth="1"/>
    <col min="1390" max="1390" width="9.83203125" bestFit="1" customWidth="1"/>
    <col min="1392" max="1392" width="4.1640625" customWidth="1"/>
    <col min="1393" max="1393" width="9.27734375" customWidth="1"/>
    <col min="1394" max="1394" width="4.1640625" customWidth="1"/>
    <col min="1395" max="1395" width="5.71875" customWidth="1"/>
    <col min="1538" max="1538" width="7" customWidth="1"/>
    <col min="1539" max="1539" width="0" hidden="1" customWidth="1"/>
    <col min="1540" max="1541" width="16.83203125" customWidth="1"/>
    <col min="1542" max="1542" width="14.1640625" customWidth="1"/>
    <col min="1543" max="1543" width="13.71875" customWidth="1"/>
    <col min="1544" max="1544" width="11.71875" customWidth="1"/>
    <col min="1545" max="1545" width="12.27734375" customWidth="1"/>
    <col min="1546" max="1546" width="11.71875" customWidth="1"/>
    <col min="1547" max="1547" width="13.27734375" customWidth="1"/>
    <col min="1548" max="1549" width="8.71875" customWidth="1"/>
    <col min="1550" max="1550" width="14.44140625" bestFit="1" customWidth="1"/>
    <col min="1551" max="1551" width="0" hidden="1" customWidth="1"/>
    <col min="1552" max="1552" width="14.1640625" bestFit="1" customWidth="1"/>
    <col min="1598" max="1598" width="10.27734375" customWidth="1"/>
    <col min="1599" max="1599" width="10.1640625" customWidth="1"/>
    <col min="1612" max="1612" width="20.44140625" customWidth="1"/>
    <col min="1613" max="1614" width="11.44140625" bestFit="1" customWidth="1"/>
    <col min="1615" max="1615" width="11.27734375" customWidth="1"/>
    <col min="1616" max="1616" width="10" customWidth="1"/>
    <col min="1617" max="1617" width="9.71875" customWidth="1"/>
    <col min="1621" max="1621" width="10.1640625" bestFit="1" customWidth="1"/>
    <col min="1622" max="1625" width="9.27734375" bestFit="1" customWidth="1"/>
    <col min="1626" max="1626" width="9.5546875" customWidth="1"/>
    <col min="1627" max="1629" width="9.27734375" bestFit="1" customWidth="1"/>
    <col min="1630" max="1630" width="9.83203125" bestFit="1" customWidth="1"/>
    <col min="1631" max="1639" width="9.27734375" bestFit="1" customWidth="1"/>
    <col min="1640" max="1640" width="24.71875" customWidth="1"/>
    <col min="1641" max="1645" width="9.27734375" bestFit="1" customWidth="1"/>
    <col min="1646" max="1646" width="9.83203125" bestFit="1" customWidth="1"/>
    <col min="1648" max="1648" width="4.1640625" customWidth="1"/>
    <col min="1649" max="1649" width="9.27734375" customWidth="1"/>
    <col min="1650" max="1650" width="4.1640625" customWidth="1"/>
    <col min="1651" max="1651" width="5.71875" customWidth="1"/>
    <col min="1794" max="1794" width="7" customWidth="1"/>
    <col min="1795" max="1795" width="0" hidden="1" customWidth="1"/>
    <col min="1796" max="1797" width="16.83203125" customWidth="1"/>
    <col min="1798" max="1798" width="14.1640625" customWidth="1"/>
    <col min="1799" max="1799" width="13.71875" customWidth="1"/>
    <col min="1800" max="1800" width="11.71875" customWidth="1"/>
    <col min="1801" max="1801" width="12.27734375" customWidth="1"/>
    <col min="1802" max="1802" width="11.71875" customWidth="1"/>
    <col min="1803" max="1803" width="13.27734375" customWidth="1"/>
    <col min="1804" max="1805" width="8.71875" customWidth="1"/>
    <col min="1806" max="1806" width="14.44140625" bestFit="1" customWidth="1"/>
    <col min="1807" max="1807" width="0" hidden="1" customWidth="1"/>
    <col min="1808" max="1808" width="14.1640625" bestFit="1" customWidth="1"/>
    <col min="1854" max="1854" width="10.27734375" customWidth="1"/>
    <col min="1855" max="1855" width="10.1640625" customWidth="1"/>
    <col min="1868" max="1868" width="20.44140625" customWidth="1"/>
    <col min="1869" max="1870" width="11.44140625" bestFit="1" customWidth="1"/>
    <col min="1871" max="1871" width="11.27734375" customWidth="1"/>
    <col min="1872" max="1872" width="10" customWidth="1"/>
    <col min="1873" max="1873" width="9.71875" customWidth="1"/>
    <col min="1877" max="1877" width="10.1640625" bestFit="1" customWidth="1"/>
    <col min="1878" max="1881" width="9.27734375" bestFit="1" customWidth="1"/>
    <col min="1882" max="1882" width="9.5546875" customWidth="1"/>
    <col min="1883" max="1885" width="9.27734375" bestFit="1" customWidth="1"/>
    <col min="1886" max="1886" width="9.83203125" bestFit="1" customWidth="1"/>
    <col min="1887" max="1895" width="9.27734375" bestFit="1" customWidth="1"/>
    <col min="1896" max="1896" width="24.71875" customWidth="1"/>
    <col min="1897" max="1901" width="9.27734375" bestFit="1" customWidth="1"/>
    <col min="1902" max="1902" width="9.83203125" bestFit="1" customWidth="1"/>
    <col min="1904" max="1904" width="4.1640625" customWidth="1"/>
    <col min="1905" max="1905" width="9.27734375" customWidth="1"/>
    <col min="1906" max="1906" width="4.1640625" customWidth="1"/>
    <col min="1907" max="1907" width="5.71875" customWidth="1"/>
    <col min="2050" max="2050" width="7" customWidth="1"/>
    <col min="2051" max="2051" width="0" hidden="1" customWidth="1"/>
    <col min="2052" max="2053" width="16.83203125" customWidth="1"/>
    <col min="2054" max="2054" width="14.1640625" customWidth="1"/>
    <col min="2055" max="2055" width="13.71875" customWidth="1"/>
    <col min="2056" max="2056" width="11.71875" customWidth="1"/>
    <col min="2057" max="2057" width="12.27734375" customWidth="1"/>
    <col min="2058" max="2058" width="11.71875" customWidth="1"/>
    <col min="2059" max="2059" width="13.27734375" customWidth="1"/>
    <col min="2060" max="2061" width="8.71875" customWidth="1"/>
    <col min="2062" max="2062" width="14.44140625" bestFit="1" customWidth="1"/>
    <col min="2063" max="2063" width="0" hidden="1" customWidth="1"/>
    <col min="2064" max="2064" width="14.1640625" bestFit="1" customWidth="1"/>
    <col min="2110" max="2110" width="10.27734375" customWidth="1"/>
    <col min="2111" max="2111" width="10.1640625" customWidth="1"/>
    <col min="2124" max="2124" width="20.44140625" customWidth="1"/>
    <col min="2125" max="2126" width="11.44140625" bestFit="1" customWidth="1"/>
    <col min="2127" max="2127" width="11.27734375" customWidth="1"/>
    <col min="2128" max="2128" width="10" customWidth="1"/>
    <col min="2129" max="2129" width="9.71875" customWidth="1"/>
    <col min="2133" max="2133" width="10.1640625" bestFit="1" customWidth="1"/>
    <col min="2134" max="2137" width="9.27734375" bestFit="1" customWidth="1"/>
    <col min="2138" max="2138" width="9.5546875" customWidth="1"/>
    <col min="2139" max="2141" width="9.27734375" bestFit="1" customWidth="1"/>
    <col min="2142" max="2142" width="9.83203125" bestFit="1" customWidth="1"/>
    <col min="2143" max="2151" width="9.27734375" bestFit="1" customWidth="1"/>
    <col min="2152" max="2152" width="24.71875" customWidth="1"/>
    <col min="2153" max="2157" width="9.27734375" bestFit="1" customWidth="1"/>
    <col min="2158" max="2158" width="9.83203125" bestFit="1" customWidth="1"/>
    <col min="2160" max="2160" width="4.1640625" customWidth="1"/>
    <col min="2161" max="2161" width="9.27734375" customWidth="1"/>
    <col min="2162" max="2162" width="4.1640625" customWidth="1"/>
    <col min="2163" max="2163" width="5.71875" customWidth="1"/>
    <col min="2306" max="2306" width="7" customWidth="1"/>
    <col min="2307" max="2307" width="0" hidden="1" customWidth="1"/>
    <col min="2308" max="2309" width="16.83203125" customWidth="1"/>
    <col min="2310" max="2310" width="14.1640625" customWidth="1"/>
    <col min="2311" max="2311" width="13.71875" customWidth="1"/>
    <col min="2312" max="2312" width="11.71875" customWidth="1"/>
    <col min="2313" max="2313" width="12.27734375" customWidth="1"/>
    <col min="2314" max="2314" width="11.71875" customWidth="1"/>
    <col min="2315" max="2315" width="13.27734375" customWidth="1"/>
    <col min="2316" max="2317" width="8.71875" customWidth="1"/>
    <col min="2318" max="2318" width="14.44140625" bestFit="1" customWidth="1"/>
    <col min="2319" max="2319" width="0" hidden="1" customWidth="1"/>
    <col min="2320" max="2320" width="14.1640625" bestFit="1" customWidth="1"/>
    <col min="2366" max="2366" width="10.27734375" customWidth="1"/>
    <col min="2367" max="2367" width="10.1640625" customWidth="1"/>
    <col min="2380" max="2380" width="20.44140625" customWidth="1"/>
    <col min="2381" max="2382" width="11.44140625" bestFit="1" customWidth="1"/>
    <col min="2383" max="2383" width="11.27734375" customWidth="1"/>
    <col min="2384" max="2384" width="10" customWidth="1"/>
    <col min="2385" max="2385" width="9.71875" customWidth="1"/>
    <col min="2389" max="2389" width="10.1640625" bestFit="1" customWidth="1"/>
    <col min="2390" max="2393" width="9.27734375" bestFit="1" customWidth="1"/>
    <col min="2394" max="2394" width="9.5546875" customWidth="1"/>
    <col min="2395" max="2397" width="9.27734375" bestFit="1" customWidth="1"/>
    <col min="2398" max="2398" width="9.83203125" bestFit="1" customWidth="1"/>
    <col min="2399" max="2407" width="9.27734375" bestFit="1" customWidth="1"/>
    <col min="2408" max="2408" width="24.71875" customWidth="1"/>
    <col min="2409" max="2413" width="9.27734375" bestFit="1" customWidth="1"/>
    <col min="2414" max="2414" width="9.83203125" bestFit="1" customWidth="1"/>
    <col min="2416" max="2416" width="4.1640625" customWidth="1"/>
    <col min="2417" max="2417" width="9.27734375" customWidth="1"/>
    <col min="2418" max="2418" width="4.1640625" customWidth="1"/>
    <col min="2419" max="2419" width="5.71875" customWidth="1"/>
    <col min="2562" max="2562" width="7" customWidth="1"/>
    <col min="2563" max="2563" width="0" hidden="1" customWidth="1"/>
    <col min="2564" max="2565" width="16.83203125" customWidth="1"/>
    <col min="2566" max="2566" width="14.1640625" customWidth="1"/>
    <col min="2567" max="2567" width="13.71875" customWidth="1"/>
    <col min="2568" max="2568" width="11.71875" customWidth="1"/>
    <col min="2569" max="2569" width="12.27734375" customWidth="1"/>
    <col min="2570" max="2570" width="11.71875" customWidth="1"/>
    <col min="2571" max="2571" width="13.27734375" customWidth="1"/>
    <col min="2572" max="2573" width="8.71875" customWidth="1"/>
    <col min="2574" max="2574" width="14.44140625" bestFit="1" customWidth="1"/>
    <col min="2575" max="2575" width="0" hidden="1" customWidth="1"/>
    <col min="2576" max="2576" width="14.1640625" bestFit="1" customWidth="1"/>
    <col min="2622" max="2622" width="10.27734375" customWidth="1"/>
    <col min="2623" max="2623" width="10.1640625" customWidth="1"/>
    <col min="2636" max="2636" width="20.44140625" customWidth="1"/>
    <col min="2637" max="2638" width="11.44140625" bestFit="1" customWidth="1"/>
    <col min="2639" max="2639" width="11.27734375" customWidth="1"/>
    <col min="2640" max="2640" width="10" customWidth="1"/>
    <col min="2641" max="2641" width="9.71875" customWidth="1"/>
    <col min="2645" max="2645" width="10.1640625" bestFit="1" customWidth="1"/>
    <col min="2646" max="2649" width="9.27734375" bestFit="1" customWidth="1"/>
    <col min="2650" max="2650" width="9.5546875" customWidth="1"/>
    <col min="2651" max="2653" width="9.27734375" bestFit="1" customWidth="1"/>
    <col min="2654" max="2654" width="9.83203125" bestFit="1" customWidth="1"/>
    <col min="2655" max="2663" width="9.27734375" bestFit="1" customWidth="1"/>
    <col min="2664" max="2664" width="24.71875" customWidth="1"/>
    <col min="2665" max="2669" width="9.27734375" bestFit="1" customWidth="1"/>
    <col min="2670" max="2670" width="9.83203125" bestFit="1" customWidth="1"/>
    <col min="2672" max="2672" width="4.1640625" customWidth="1"/>
    <col min="2673" max="2673" width="9.27734375" customWidth="1"/>
    <col min="2674" max="2674" width="4.1640625" customWidth="1"/>
    <col min="2675" max="2675" width="5.71875" customWidth="1"/>
    <col min="2818" max="2818" width="7" customWidth="1"/>
    <col min="2819" max="2819" width="0" hidden="1" customWidth="1"/>
    <col min="2820" max="2821" width="16.83203125" customWidth="1"/>
    <col min="2822" max="2822" width="14.1640625" customWidth="1"/>
    <col min="2823" max="2823" width="13.71875" customWidth="1"/>
    <col min="2824" max="2824" width="11.71875" customWidth="1"/>
    <col min="2825" max="2825" width="12.27734375" customWidth="1"/>
    <col min="2826" max="2826" width="11.71875" customWidth="1"/>
    <col min="2827" max="2827" width="13.27734375" customWidth="1"/>
    <col min="2828" max="2829" width="8.71875" customWidth="1"/>
    <col min="2830" max="2830" width="14.44140625" bestFit="1" customWidth="1"/>
    <col min="2831" max="2831" width="0" hidden="1" customWidth="1"/>
    <col min="2832" max="2832" width="14.1640625" bestFit="1" customWidth="1"/>
    <col min="2878" max="2878" width="10.27734375" customWidth="1"/>
    <col min="2879" max="2879" width="10.1640625" customWidth="1"/>
    <col min="2892" max="2892" width="20.44140625" customWidth="1"/>
    <col min="2893" max="2894" width="11.44140625" bestFit="1" customWidth="1"/>
    <col min="2895" max="2895" width="11.27734375" customWidth="1"/>
    <col min="2896" max="2896" width="10" customWidth="1"/>
    <col min="2897" max="2897" width="9.71875" customWidth="1"/>
    <col min="2901" max="2901" width="10.1640625" bestFit="1" customWidth="1"/>
    <col min="2902" max="2905" width="9.27734375" bestFit="1" customWidth="1"/>
    <col min="2906" max="2906" width="9.5546875" customWidth="1"/>
    <col min="2907" max="2909" width="9.27734375" bestFit="1" customWidth="1"/>
    <col min="2910" max="2910" width="9.83203125" bestFit="1" customWidth="1"/>
    <col min="2911" max="2919" width="9.27734375" bestFit="1" customWidth="1"/>
    <col min="2920" max="2920" width="24.71875" customWidth="1"/>
    <col min="2921" max="2925" width="9.27734375" bestFit="1" customWidth="1"/>
    <col min="2926" max="2926" width="9.83203125" bestFit="1" customWidth="1"/>
    <col min="2928" max="2928" width="4.1640625" customWidth="1"/>
    <col min="2929" max="2929" width="9.27734375" customWidth="1"/>
    <col min="2930" max="2930" width="4.1640625" customWidth="1"/>
    <col min="2931" max="2931" width="5.71875" customWidth="1"/>
    <col min="3074" max="3074" width="7" customWidth="1"/>
    <col min="3075" max="3075" width="0" hidden="1" customWidth="1"/>
    <col min="3076" max="3077" width="16.83203125" customWidth="1"/>
    <col min="3078" max="3078" width="14.1640625" customWidth="1"/>
    <col min="3079" max="3079" width="13.71875" customWidth="1"/>
    <col min="3080" max="3080" width="11.71875" customWidth="1"/>
    <col min="3081" max="3081" width="12.27734375" customWidth="1"/>
    <col min="3082" max="3082" width="11.71875" customWidth="1"/>
    <col min="3083" max="3083" width="13.27734375" customWidth="1"/>
    <col min="3084" max="3085" width="8.71875" customWidth="1"/>
    <col min="3086" max="3086" width="14.44140625" bestFit="1" customWidth="1"/>
    <col min="3087" max="3087" width="0" hidden="1" customWidth="1"/>
    <col min="3088" max="3088" width="14.1640625" bestFit="1" customWidth="1"/>
    <col min="3134" max="3134" width="10.27734375" customWidth="1"/>
    <col min="3135" max="3135" width="10.1640625" customWidth="1"/>
    <col min="3148" max="3148" width="20.44140625" customWidth="1"/>
    <col min="3149" max="3150" width="11.44140625" bestFit="1" customWidth="1"/>
    <col min="3151" max="3151" width="11.27734375" customWidth="1"/>
    <col min="3152" max="3152" width="10" customWidth="1"/>
    <col min="3153" max="3153" width="9.71875" customWidth="1"/>
    <col min="3157" max="3157" width="10.1640625" bestFit="1" customWidth="1"/>
    <col min="3158" max="3161" width="9.27734375" bestFit="1" customWidth="1"/>
    <col min="3162" max="3162" width="9.5546875" customWidth="1"/>
    <col min="3163" max="3165" width="9.27734375" bestFit="1" customWidth="1"/>
    <col min="3166" max="3166" width="9.83203125" bestFit="1" customWidth="1"/>
    <col min="3167" max="3175" width="9.27734375" bestFit="1" customWidth="1"/>
    <col min="3176" max="3176" width="24.71875" customWidth="1"/>
    <col min="3177" max="3181" width="9.27734375" bestFit="1" customWidth="1"/>
    <col min="3182" max="3182" width="9.83203125" bestFit="1" customWidth="1"/>
    <col min="3184" max="3184" width="4.1640625" customWidth="1"/>
    <col min="3185" max="3185" width="9.27734375" customWidth="1"/>
    <col min="3186" max="3186" width="4.1640625" customWidth="1"/>
    <col min="3187" max="3187" width="5.71875" customWidth="1"/>
    <col min="3330" max="3330" width="7" customWidth="1"/>
    <col min="3331" max="3331" width="0" hidden="1" customWidth="1"/>
    <col min="3332" max="3333" width="16.83203125" customWidth="1"/>
    <col min="3334" max="3334" width="14.1640625" customWidth="1"/>
    <col min="3335" max="3335" width="13.71875" customWidth="1"/>
    <col min="3336" max="3336" width="11.71875" customWidth="1"/>
    <col min="3337" max="3337" width="12.27734375" customWidth="1"/>
    <col min="3338" max="3338" width="11.71875" customWidth="1"/>
    <col min="3339" max="3339" width="13.27734375" customWidth="1"/>
    <col min="3340" max="3341" width="8.71875" customWidth="1"/>
    <col min="3342" max="3342" width="14.44140625" bestFit="1" customWidth="1"/>
    <col min="3343" max="3343" width="0" hidden="1" customWidth="1"/>
    <col min="3344" max="3344" width="14.1640625" bestFit="1" customWidth="1"/>
    <col min="3390" max="3390" width="10.27734375" customWidth="1"/>
    <col min="3391" max="3391" width="10.1640625" customWidth="1"/>
    <col min="3404" max="3404" width="20.44140625" customWidth="1"/>
    <col min="3405" max="3406" width="11.44140625" bestFit="1" customWidth="1"/>
    <col min="3407" max="3407" width="11.27734375" customWidth="1"/>
    <col min="3408" max="3408" width="10" customWidth="1"/>
    <col min="3409" max="3409" width="9.71875" customWidth="1"/>
    <col min="3413" max="3413" width="10.1640625" bestFit="1" customWidth="1"/>
    <col min="3414" max="3417" width="9.27734375" bestFit="1" customWidth="1"/>
    <col min="3418" max="3418" width="9.5546875" customWidth="1"/>
    <col min="3419" max="3421" width="9.27734375" bestFit="1" customWidth="1"/>
    <col min="3422" max="3422" width="9.83203125" bestFit="1" customWidth="1"/>
    <col min="3423" max="3431" width="9.27734375" bestFit="1" customWidth="1"/>
    <col min="3432" max="3432" width="24.71875" customWidth="1"/>
    <col min="3433" max="3437" width="9.27734375" bestFit="1" customWidth="1"/>
    <col min="3438" max="3438" width="9.83203125" bestFit="1" customWidth="1"/>
    <col min="3440" max="3440" width="4.1640625" customWidth="1"/>
    <col min="3441" max="3441" width="9.27734375" customWidth="1"/>
    <col min="3442" max="3442" width="4.1640625" customWidth="1"/>
    <col min="3443" max="3443" width="5.71875" customWidth="1"/>
    <col min="3586" max="3586" width="7" customWidth="1"/>
    <col min="3587" max="3587" width="0" hidden="1" customWidth="1"/>
    <col min="3588" max="3589" width="16.83203125" customWidth="1"/>
    <col min="3590" max="3590" width="14.1640625" customWidth="1"/>
    <col min="3591" max="3591" width="13.71875" customWidth="1"/>
    <col min="3592" max="3592" width="11.71875" customWidth="1"/>
    <col min="3593" max="3593" width="12.27734375" customWidth="1"/>
    <col min="3594" max="3594" width="11.71875" customWidth="1"/>
    <col min="3595" max="3595" width="13.27734375" customWidth="1"/>
    <col min="3596" max="3597" width="8.71875" customWidth="1"/>
    <col min="3598" max="3598" width="14.44140625" bestFit="1" customWidth="1"/>
    <col min="3599" max="3599" width="0" hidden="1" customWidth="1"/>
    <col min="3600" max="3600" width="14.1640625" bestFit="1" customWidth="1"/>
    <col min="3646" max="3646" width="10.27734375" customWidth="1"/>
    <col min="3647" max="3647" width="10.1640625" customWidth="1"/>
    <col min="3660" max="3660" width="20.44140625" customWidth="1"/>
    <col min="3661" max="3662" width="11.44140625" bestFit="1" customWidth="1"/>
    <col min="3663" max="3663" width="11.27734375" customWidth="1"/>
    <col min="3664" max="3664" width="10" customWidth="1"/>
    <col min="3665" max="3665" width="9.71875" customWidth="1"/>
    <col min="3669" max="3669" width="10.1640625" bestFit="1" customWidth="1"/>
    <col min="3670" max="3673" width="9.27734375" bestFit="1" customWidth="1"/>
    <col min="3674" max="3674" width="9.5546875" customWidth="1"/>
    <col min="3675" max="3677" width="9.27734375" bestFit="1" customWidth="1"/>
    <col min="3678" max="3678" width="9.83203125" bestFit="1" customWidth="1"/>
    <col min="3679" max="3687" width="9.27734375" bestFit="1" customWidth="1"/>
    <col min="3688" max="3688" width="24.71875" customWidth="1"/>
    <col min="3689" max="3693" width="9.27734375" bestFit="1" customWidth="1"/>
    <col min="3694" max="3694" width="9.83203125" bestFit="1" customWidth="1"/>
    <col min="3696" max="3696" width="4.1640625" customWidth="1"/>
    <col min="3697" max="3697" width="9.27734375" customWidth="1"/>
    <col min="3698" max="3698" width="4.1640625" customWidth="1"/>
    <col min="3699" max="3699" width="5.71875" customWidth="1"/>
    <col min="3842" max="3842" width="7" customWidth="1"/>
    <col min="3843" max="3843" width="0" hidden="1" customWidth="1"/>
    <col min="3844" max="3845" width="16.83203125" customWidth="1"/>
    <col min="3846" max="3846" width="14.1640625" customWidth="1"/>
    <col min="3847" max="3847" width="13.71875" customWidth="1"/>
    <col min="3848" max="3848" width="11.71875" customWidth="1"/>
    <col min="3849" max="3849" width="12.27734375" customWidth="1"/>
    <col min="3850" max="3850" width="11.71875" customWidth="1"/>
    <col min="3851" max="3851" width="13.27734375" customWidth="1"/>
    <col min="3852" max="3853" width="8.71875" customWidth="1"/>
    <col min="3854" max="3854" width="14.44140625" bestFit="1" customWidth="1"/>
    <col min="3855" max="3855" width="0" hidden="1" customWidth="1"/>
    <col min="3856" max="3856" width="14.1640625" bestFit="1" customWidth="1"/>
    <col min="3902" max="3902" width="10.27734375" customWidth="1"/>
    <col min="3903" max="3903" width="10.1640625" customWidth="1"/>
    <col min="3916" max="3916" width="20.44140625" customWidth="1"/>
    <col min="3917" max="3918" width="11.44140625" bestFit="1" customWidth="1"/>
    <col min="3919" max="3919" width="11.27734375" customWidth="1"/>
    <col min="3920" max="3920" width="10" customWidth="1"/>
    <col min="3921" max="3921" width="9.71875" customWidth="1"/>
    <col min="3925" max="3925" width="10.1640625" bestFit="1" customWidth="1"/>
    <col min="3926" max="3929" width="9.27734375" bestFit="1" customWidth="1"/>
    <col min="3930" max="3930" width="9.5546875" customWidth="1"/>
    <col min="3931" max="3933" width="9.27734375" bestFit="1" customWidth="1"/>
    <col min="3934" max="3934" width="9.83203125" bestFit="1" customWidth="1"/>
    <col min="3935" max="3943" width="9.27734375" bestFit="1" customWidth="1"/>
    <col min="3944" max="3944" width="24.71875" customWidth="1"/>
    <col min="3945" max="3949" width="9.27734375" bestFit="1" customWidth="1"/>
    <col min="3950" max="3950" width="9.83203125" bestFit="1" customWidth="1"/>
    <col min="3952" max="3952" width="4.1640625" customWidth="1"/>
    <col min="3953" max="3953" width="9.27734375" customWidth="1"/>
    <col min="3954" max="3954" width="4.1640625" customWidth="1"/>
    <col min="3955" max="3955" width="5.71875" customWidth="1"/>
    <col min="4098" max="4098" width="7" customWidth="1"/>
    <col min="4099" max="4099" width="0" hidden="1" customWidth="1"/>
    <col min="4100" max="4101" width="16.83203125" customWidth="1"/>
    <col min="4102" max="4102" width="14.1640625" customWidth="1"/>
    <col min="4103" max="4103" width="13.71875" customWidth="1"/>
    <col min="4104" max="4104" width="11.71875" customWidth="1"/>
    <col min="4105" max="4105" width="12.27734375" customWidth="1"/>
    <col min="4106" max="4106" width="11.71875" customWidth="1"/>
    <col min="4107" max="4107" width="13.27734375" customWidth="1"/>
    <col min="4108" max="4109" width="8.71875" customWidth="1"/>
    <col min="4110" max="4110" width="14.44140625" bestFit="1" customWidth="1"/>
    <col min="4111" max="4111" width="0" hidden="1" customWidth="1"/>
    <col min="4112" max="4112" width="14.1640625" bestFit="1" customWidth="1"/>
    <col min="4158" max="4158" width="10.27734375" customWidth="1"/>
    <col min="4159" max="4159" width="10.1640625" customWidth="1"/>
    <col min="4172" max="4172" width="20.44140625" customWidth="1"/>
    <col min="4173" max="4174" width="11.44140625" bestFit="1" customWidth="1"/>
    <col min="4175" max="4175" width="11.27734375" customWidth="1"/>
    <col min="4176" max="4176" width="10" customWidth="1"/>
    <col min="4177" max="4177" width="9.71875" customWidth="1"/>
    <col min="4181" max="4181" width="10.1640625" bestFit="1" customWidth="1"/>
    <col min="4182" max="4185" width="9.27734375" bestFit="1" customWidth="1"/>
    <col min="4186" max="4186" width="9.5546875" customWidth="1"/>
    <col min="4187" max="4189" width="9.27734375" bestFit="1" customWidth="1"/>
    <col min="4190" max="4190" width="9.83203125" bestFit="1" customWidth="1"/>
    <col min="4191" max="4199" width="9.27734375" bestFit="1" customWidth="1"/>
    <col min="4200" max="4200" width="24.71875" customWidth="1"/>
    <col min="4201" max="4205" width="9.27734375" bestFit="1" customWidth="1"/>
    <col min="4206" max="4206" width="9.83203125" bestFit="1" customWidth="1"/>
    <col min="4208" max="4208" width="4.1640625" customWidth="1"/>
    <col min="4209" max="4209" width="9.27734375" customWidth="1"/>
    <col min="4210" max="4210" width="4.1640625" customWidth="1"/>
    <col min="4211" max="4211" width="5.71875" customWidth="1"/>
    <col min="4354" max="4354" width="7" customWidth="1"/>
    <col min="4355" max="4355" width="0" hidden="1" customWidth="1"/>
    <col min="4356" max="4357" width="16.83203125" customWidth="1"/>
    <col min="4358" max="4358" width="14.1640625" customWidth="1"/>
    <col min="4359" max="4359" width="13.71875" customWidth="1"/>
    <col min="4360" max="4360" width="11.71875" customWidth="1"/>
    <col min="4361" max="4361" width="12.27734375" customWidth="1"/>
    <col min="4362" max="4362" width="11.71875" customWidth="1"/>
    <col min="4363" max="4363" width="13.27734375" customWidth="1"/>
    <col min="4364" max="4365" width="8.71875" customWidth="1"/>
    <col min="4366" max="4366" width="14.44140625" bestFit="1" customWidth="1"/>
    <col min="4367" max="4367" width="0" hidden="1" customWidth="1"/>
    <col min="4368" max="4368" width="14.1640625" bestFit="1" customWidth="1"/>
    <col min="4414" max="4414" width="10.27734375" customWidth="1"/>
    <col min="4415" max="4415" width="10.1640625" customWidth="1"/>
    <col min="4428" max="4428" width="20.44140625" customWidth="1"/>
    <col min="4429" max="4430" width="11.44140625" bestFit="1" customWidth="1"/>
    <col min="4431" max="4431" width="11.27734375" customWidth="1"/>
    <col min="4432" max="4432" width="10" customWidth="1"/>
    <col min="4433" max="4433" width="9.71875" customWidth="1"/>
    <col min="4437" max="4437" width="10.1640625" bestFit="1" customWidth="1"/>
    <col min="4438" max="4441" width="9.27734375" bestFit="1" customWidth="1"/>
    <col min="4442" max="4442" width="9.5546875" customWidth="1"/>
    <col min="4443" max="4445" width="9.27734375" bestFit="1" customWidth="1"/>
    <col min="4446" max="4446" width="9.83203125" bestFit="1" customWidth="1"/>
    <col min="4447" max="4455" width="9.27734375" bestFit="1" customWidth="1"/>
    <col min="4456" max="4456" width="24.71875" customWidth="1"/>
    <col min="4457" max="4461" width="9.27734375" bestFit="1" customWidth="1"/>
    <col min="4462" max="4462" width="9.83203125" bestFit="1" customWidth="1"/>
    <col min="4464" max="4464" width="4.1640625" customWidth="1"/>
    <col min="4465" max="4465" width="9.27734375" customWidth="1"/>
    <col min="4466" max="4466" width="4.1640625" customWidth="1"/>
    <col min="4467" max="4467" width="5.71875" customWidth="1"/>
    <col min="4610" max="4610" width="7" customWidth="1"/>
    <col min="4611" max="4611" width="0" hidden="1" customWidth="1"/>
    <col min="4612" max="4613" width="16.83203125" customWidth="1"/>
    <col min="4614" max="4614" width="14.1640625" customWidth="1"/>
    <col min="4615" max="4615" width="13.71875" customWidth="1"/>
    <col min="4616" max="4616" width="11.71875" customWidth="1"/>
    <col min="4617" max="4617" width="12.27734375" customWidth="1"/>
    <col min="4618" max="4618" width="11.71875" customWidth="1"/>
    <col min="4619" max="4619" width="13.27734375" customWidth="1"/>
    <col min="4620" max="4621" width="8.71875" customWidth="1"/>
    <col min="4622" max="4622" width="14.44140625" bestFit="1" customWidth="1"/>
    <col min="4623" max="4623" width="0" hidden="1" customWidth="1"/>
    <col min="4624" max="4624" width="14.1640625" bestFit="1" customWidth="1"/>
    <col min="4670" max="4670" width="10.27734375" customWidth="1"/>
    <col min="4671" max="4671" width="10.1640625" customWidth="1"/>
    <col min="4684" max="4684" width="20.44140625" customWidth="1"/>
    <col min="4685" max="4686" width="11.44140625" bestFit="1" customWidth="1"/>
    <col min="4687" max="4687" width="11.27734375" customWidth="1"/>
    <col min="4688" max="4688" width="10" customWidth="1"/>
    <col min="4689" max="4689" width="9.71875" customWidth="1"/>
    <col min="4693" max="4693" width="10.1640625" bestFit="1" customWidth="1"/>
    <col min="4694" max="4697" width="9.27734375" bestFit="1" customWidth="1"/>
    <col min="4698" max="4698" width="9.5546875" customWidth="1"/>
    <col min="4699" max="4701" width="9.27734375" bestFit="1" customWidth="1"/>
    <col min="4702" max="4702" width="9.83203125" bestFit="1" customWidth="1"/>
    <col min="4703" max="4711" width="9.27734375" bestFit="1" customWidth="1"/>
    <col min="4712" max="4712" width="24.71875" customWidth="1"/>
    <col min="4713" max="4717" width="9.27734375" bestFit="1" customWidth="1"/>
    <col min="4718" max="4718" width="9.83203125" bestFit="1" customWidth="1"/>
    <col min="4720" max="4720" width="4.1640625" customWidth="1"/>
    <col min="4721" max="4721" width="9.27734375" customWidth="1"/>
    <col min="4722" max="4722" width="4.1640625" customWidth="1"/>
    <col min="4723" max="4723" width="5.71875" customWidth="1"/>
    <col min="4866" max="4866" width="7" customWidth="1"/>
    <col min="4867" max="4867" width="0" hidden="1" customWidth="1"/>
    <col min="4868" max="4869" width="16.83203125" customWidth="1"/>
    <col min="4870" max="4870" width="14.1640625" customWidth="1"/>
    <col min="4871" max="4871" width="13.71875" customWidth="1"/>
    <col min="4872" max="4872" width="11.71875" customWidth="1"/>
    <col min="4873" max="4873" width="12.27734375" customWidth="1"/>
    <col min="4874" max="4874" width="11.71875" customWidth="1"/>
    <col min="4875" max="4875" width="13.27734375" customWidth="1"/>
    <col min="4876" max="4877" width="8.71875" customWidth="1"/>
    <col min="4878" max="4878" width="14.44140625" bestFit="1" customWidth="1"/>
    <col min="4879" max="4879" width="0" hidden="1" customWidth="1"/>
    <col min="4880" max="4880" width="14.1640625" bestFit="1" customWidth="1"/>
    <col min="4926" max="4926" width="10.27734375" customWidth="1"/>
    <col min="4927" max="4927" width="10.1640625" customWidth="1"/>
    <col min="4940" max="4940" width="20.44140625" customWidth="1"/>
    <col min="4941" max="4942" width="11.44140625" bestFit="1" customWidth="1"/>
    <col min="4943" max="4943" width="11.27734375" customWidth="1"/>
    <col min="4944" max="4944" width="10" customWidth="1"/>
    <col min="4945" max="4945" width="9.71875" customWidth="1"/>
    <col min="4949" max="4949" width="10.1640625" bestFit="1" customWidth="1"/>
    <col min="4950" max="4953" width="9.27734375" bestFit="1" customWidth="1"/>
    <col min="4954" max="4954" width="9.5546875" customWidth="1"/>
    <col min="4955" max="4957" width="9.27734375" bestFit="1" customWidth="1"/>
    <col min="4958" max="4958" width="9.83203125" bestFit="1" customWidth="1"/>
    <col min="4959" max="4967" width="9.27734375" bestFit="1" customWidth="1"/>
    <col min="4968" max="4968" width="24.71875" customWidth="1"/>
    <col min="4969" max="4973" width="9.27734375" bestFit="1" customWidth="1"/>
    <col min="4974" max="4974" width="9.83203125" bestFit="1" customWidth="1"/>
    <col min="4976" max="4976" width="4.1640625" customWidth="1"/>
    <col min="4977" max="4977" width="9.27734375" customWidth="1"/>
    <col min="4978" max="4978" width="4.1640625" customWidth="1"/>
    <col min="4979" max="4979" width="5.71875" customWidth="1"/>
    <col min="5122" max="5122" width="7" customWidth="1"/>
    <col min="5123" max="5123" width="0" hidden="1" customWidth="1"/>
    <col min="5124" max="5125" width="16.83203125" customWidth="1"/>
    <col min="5126" max="5126" width="14.1640625" customWidth="1"/>
    <col min="5127" max="5127" width="13.71875" customWidth="1"/>
    <col min="5128" max="5128" width="11.71875" customWidth="1"/>
    <col min="5129" max="5129" width="12.27734375" customWidth="1"/>
    <col min="5130" max="5130" width="11.71875" customWidth="1"/>
    <col min="5131" max="5131" width="13.27734375" customWidth="1"/>
    <col min="5132" max="5133" width="8.71875" customWidth="1"/>
    <col min="5134" max="5134" width="14.44140625" bestFit="1" customWidth="1"/>
    <col min="5135" max="5135" width="0" hidden="1" customWidth="1"/>
    <col min="5136" max="5136" width="14.1640625" bestFit="1" customWidth="1"/>
    <col min="5182" max="5182" width="10.27734375" customWidth="1"/>
    <col min="5183" max="5183" width="10.1640625" customWidth="1"/>
    <col min="5196" max="5196" width="20.44140625" customWidth="1"/>
    <col min="5197" max="5198" width="11.44140625" bestFit="1" customWidth="1"/>
    <col min="5199" max="5199" width="11.27734375" customWidth="1"/>
    <col min="5200" max="5200" width="10" customWidth="1"/>
    <col min="5201" max="5201" width="9.71875" customWidth="1"/>
    <col min="5205" max="5205" width="10.1640625" bestFit="1" customWidth="1"/>
    <col min="5206" max="5209" width="9.27734375" bestFit="1" customWidth="1"/>
    <col min="5210" max="5210" width="9.5546875" customWidth="1"/>
    <col min="5211" max="5213" width="9.27734375" bestFit="1" customWidth="1"/>
    <col min="5214" max="5214" width="9.83203125" bestFit="1" customWidth="1"/>
    <col min="5215" max="5223" width="9.27734375" bestFit="1" customWidth="1"/>
    <col min="5224" max="5224" width="24.71875" customWidth="1"/>
    <col min="5225" max="5229" width="9.27734375" bestFit="1" customWidth="1"/>
    <col min="5230" max="5230" width="9.83203125" bestFit="1" customWidth="1"/>
    <col min="5232" max="5232" width="4.1640625" customWidth="1"/>
    <col min="5233" max="5233" width="9.27734375" customWidth="1"/>
    <col min="5234" max="5234" width="4.1640625" customWidth="1"/>
    <col min="5235" max="5235" width="5.71875" customWidth="1"/>
    <col min="5378" max="5378" width="7" customWidth="1"/>
    <col min="5379" max="5379" width="0" hidden="1" customWidth="1"/>
    <col min="5380" max="5381" width="16.83203125" customWidth="1"/>
    <col min="5382" max="5382" width="14.1640625" customWidth="1"/>
    <col min="5383" max="5383" width="13.71875" customWidth="1"/>
    <col min="5384" max="5384" width="11.71875" customWidth="1"/>
    <col min="5385" max="5385" width="12.27734375" customWidth="1"/>
    <col min="5386" max="5386" width="11.71875" customWidth="1"/>
    <col min="5387" max="5387" width="13.27734375" customWidth="1"/>
    <col min="5388" max="5389" width="8.71875" customWidth="1"/>
    <col min="5390" max="5390" width="14.44140625" bestFit="1" customWidth="1"/>
    <col min="5391" max="5391" width="0" hidden="1" customWidth="1"/>
    <col min="5392" max="5392" width="14.1640625" bestFit="1" customWidth="1"/>
    <col min="5438" max="5438" width="10.27734375" customWidth="1"/>
    <col min="5439" max="5439" width="10.1640625" customWidth="1"/>
    <col min="5452" max="5452" width="20.44140625" customWidth="1"/>
    <col min="5453" max="5454" width="11.44140625" bestFit="1" customWidth="1"/>
    <col min="5455" max="5455" width="11.27734375" customWidth="1"/>
    <col min="5456" max="5456" width="10" customWidth="1"/>
    <col min="5457" max="5457" width="9.71875" customWidth="1"/>
    <col min="5461" max="5461" width="10.1640625" bestFit="1" customWidth="1"/>
    <col min="5462" max="5465" width="9.27734375" bestFit="1" customWidth="1"/>
    <col min="5466" max="5466" width="9.5546875" customWidth="1"/>
    <col min="5467" max="5469" width="9.27734375" bestFit="1" customWidth="1"/>
    <col min="5470" max="5470" width="9.83203125" bestFit="1" customWidth="1"/>
    <col min="5471" max="5479" width="9.27734375" bestFit="1" customWidth="1"/>
    <col min="5480" max="5480" width="24.71875" customWidth="1"/>
    <col min="5481" max="5485" width="9.27734375" bestFit="1" customWidth="1"/>
    <col min="5486" max="5486" width="9.83203125" bestFit="1" customWidth="1"/>
    <col min="5488" max="5488" width="4.1640625" customWidth="1"/>
    <col min="5489" max="5489" width="9.27734375" customWidth="1"/>
    <col min="5490" max="5490" width="4.1640625" customWidth="1"/>
    <col min="5491" max="5491" width="5.71875" customWidth="1"/>
    <col min="5634" max="5634" width="7" customWidth="1"/>
    <col min="5635" max="5635" width="0" hidden="1" customWidth="1"/>
    <col min="5636" max="5637" width="16.83203125" customWidth="1"/>
    <col min="5638" max="5638" width="14.1640625" customWidth="1"/>
    <col min="5639" max="5639" width="13.71875" customWidth="1"/>
    <col min="5640" max="5640" width="11.71875" customWidth="1"/>
    <col min="5641" max="5641" width="12.27734375" customWidth="1"/>
    <col min="5642" max="5642" width="11.71875" customWidth="1"/>
    <col min="5643" max="5643" width="13.27734375" customWidth="1"/>
    <col min="5644" max="5645" width="8.71875" customWidth="1"/>
    <col min="5646" max="5646" width="14.44140625" bestFit="1" customWidth="1"/>
    <col min="5647" max="5647" width="0" hidden="1" customWidth="1"/>
    <col min="5648" max="5648" width="14.1640625" bestFit="1" customWidth="1"/>
    <col min="5694" max="5694" width="10.27734375" customWidth="1"/>
    <col min="5695" max="5695" width="10.1640625" customWidth="1"/>
    <col min="5708" max="5708" width="20.44140625" customWidth="1"/>
    <col min="5709" max="5710" width="11.44140625" bestFit="1" customWidth="1"/>
    <col min="5711" max="5711" width="11.27734375" customWidth="1"/>
    <col min="5712" max="5712" width="10" customWidth="1"/>
    <col min="5713" max="5713" width="9.71875" customWidth="1"/>
    <col min="5717" max="5717" width="10.1640625" bestFit="1" customWidth="1"/>
    <col min="5718" max="5721" width="9.27734375" bestFit="1" customWidth="1"/>
    <col min="5722" max="5722" width="9.5546875" customWidth="1"/>
    <col min="5723" max="5725" width="9.27734375" bestFit="1" customWidth="1"/>
    <col min="5726" max="5726" width="9.83203125" bestFit="1" customWidth="1"/>
    <col min="5727" max="5735" width="9.27734375" bestFit="1" customWidth="1"/>
    <col min="5736" max="5736" width="24.71875" customWidth="1"/>
    <col min="5737" max="5741" width="9.27734375" bestFit="1" customWidth="1"/>
    <col min="5742" max="5742" width="9.83203125" bestFit="1" customWidth="1"/>
    <col min="5744" max="5744" width="4.1640625" customWidth="1"/>
    <col min="5745" max="5745" width="9.27734375" customWidth="1"/>
    <col min="5746" max="5746" width="4.1640625" customWidth="1"/>
    <col min="5747" max="5747" width="5.71875" customWidth="1"/>
    <col min="5890" max="5890" width="7" customWidth="1"/>
    <col min="5891" max="5891" width="0" hidden="1" customWidth="1"/>
    <col min="5892" max="5893" width="16.83203125" customWidth="1"/>
    <col min="5894" max="5894" width="14.1640625" customWidth="1"/>
    <col min="5895" max="5895" width="13.71875" customWidth="1"/>
    <col min="5896" max="5896" width="11.71875" customWidth="1"/>
    <col min="5897" max="5897" width="12.27734375" customWidth="1"/>
    <col min="5898" max="5898" width="11.71875" customWidth="1"/>
    <col min="5899" max="5899" width="13.27734375" customWidth="1"/>
    <col min="5900" max="5901" width="8.71875" customWidth="1"/>
    <col min="5902" max="5902" width="14.44140625" bestFit="1" customWidth="1"/>
    <col min="5903" max="5903" width="0" hidden="1" customWidth="1"/>
    <col min="5904" max="5904" width="14.1640625" bestFit="1" customWidth="1"/>
    <col min="5950" max="5950" width="10.27734375" customWidth="1"/>
    <col min="5951" max="5951" width="10.1640625" customWidth="1"/>
    <col min="5964" max="5964" width="20.44140625" customWidth="1"/>
    <col min="5965" max="5966" width="11.44140625" bestFit="1" customWidth="1"/>
    <col min="5967" max="5967" width="11.27734375" customWidth="1"/>
    <col min="5968" max="5968" width="10" customWidth="1"/>
    <col min="5969" max="5969" width="9.71875" customWidth="1"/>
    <col min="5973" max="5973" width="10.1640625" bestFit="1" customWidth="1"/>
    <col min="5974" max="5977" width="9.27734375" bestFit="1" customWidth="1"/>
    <col min="5978" max="5978" width="9.5546875" customWidth="1"/>
    <col min="5979" max="5981" width="9.27734375" bestFit="1" customWidth="1"/>
    <col min="5982" max="5982" width="9.83203125" bestFit="1" customWidth="1"/>
    <col min="5983" max="5991" width="9.27734375" bestFit="1" customWidth="1"/>
    <col min="5992" max="5992" width="24.71875" customWidth="1"/>
    <col min="5993" max="5997" width="9.27734375" bestFit="1" customWidth="1"/>
    <col min="5998" max="5998" width="9.83203125" bestFit="1" customWidth="1"/>
    <col min="6000" max="6000" width="4.1640625" customWidth="1"/>
    <col min="6001" max="6001" width="9.27734375" customWidth="1"/>
    <col min="6002" max="6002" width="4.1640625" customWidth="1"/>
    <col min="6003" max="6003" width="5.71875" customWidth="1"/>
    <col min="6146" max="6146" width="7" customWidth="1"/>
    <col min="6147" max="6147" width="0" hidden="1" customWidth="1"/>
    <col min="6148" max="6149" width="16.83203125" customWidth="1"/>
    <col min="6150" max="6150" width="14.1640625" customWidth="1"/>
    <col min="6151" max="6151" width="13.71875" customWidth="1"/>
    <col min="6152" max="6152" width="11.71875" customWidth="1"/>
    <col min="6153" max="6153" width="12.27734375" customWidth="1"/>
    <col min="6154" max="6154" width="11.71875" customWidth="1"/>
    <col min="6155" max="6155" width="13.27734375" customWidth="1"/>
    <col min="6156" max="6157" width="8.71875" customWidth="1"/>
    <col min="6158" max="6158" width="14.44140625" bestFit="1" customWidth="1"/>
    <col min="6159" max="6159" width="0" hidden="1" customWidth="1"/>
    <col min="6160" max="6160" width="14.1640625" bestFit="1" customWidth="1"/>
    <col min="6206" max="6206" width="10.27734375" customWidth="1"/>
    <col min="6207" max="6207" width="10.1640625" customWidth="1"/>
    <col min="6220" max="6220" width="20.44140625" customWidth="1"/>
    <col min="6221" max="6222" width="11.44140625" bestFit="1" customWidth="1"/>
    <col min="6223" max="6223" width="11.27734375" customWidth="1"/>
    <col min="6224" max="6224" width="10" customWidth="1"/>
    <col min="6225" max="6225" width="9.71875" customWidth="1"/>
    <col min="6229" max="6229" width="10.1640625" bestFit="1" customWidth="1"/>
    <col min="6230" max="6233" width="9.27734375" bestFit="1" customWidth="1"/>
    <col min="6234" max="6234" width="9.5546875" customWidth="1"/>
    <col min="6235" max="6237" width="9.27734375" bestFit="1" customWidth="1"/>
    <col min="6238" max="6238" width="9.83203125" bestFit="1" customWidth="1"/>
    <col min="6239" max="6247" width="9.27734375" bestFit="1" customWidth="1"/>
    <col min="6248" max="6248" width="24.71875" customWidth="1"/>
    <col min="6249" max="6253" width="9.27734375" bestFit="1" customWidth="1"/>
    <col min="6254" max="6254" width="9.83203125" bestFit="1" customWidth="1"/>
    <col min="6256" max="6256" width="4.1640625" customWidth="1"/>
    <col min="6257" max="6257" width="9.27734375" customWidth="1"/>
    <col min="6258" max="6258" width="4.1640625" customWidth="1"/>
    <col min="6259" max="6259" width="5.71875" customWidth="1"/>
    <col min="6402" max="6402" width="7" customWidth="1"/>
    <col min="6403" max="6403" width="0" hidden="1" customWidth="1"/>
    <col min="6404" max="6405" width="16.83203125" customWidth="1"/>
    <col min="6406" max="6406" width="14.1640625" customWidth="1"/>
    <col min="6407" max="6407" width="13.71875" customWidth="1"/>
    <col min="6408" max="6408" width="11.71875" customWidth="1"/>
    <col min="6409" max="6409" width="12.27734375" customWidth="1"/>
    <col min="6410" max="6410" width="11.71875" customWidth="1"/>
    <col min="6411" max="6411" width="13.27734375" customWidth="1"/>
    <col min="6412" max="6413" width="8.71875" customWidth="1"/>
    <col min="6414" max="6414" width="14.44140625" bestFit="1" customWidth="1"/>
    <col min="6415" max="6415" width="0" hidden="1" customWidth="1"/>
    <col min="6416" max="6416" width="14.1640625" bestFit="1" customWidth="1"/>
    <col min="6462" max="6462" width="10.27734375" customWidth="1"/>
    <col min="6463" max="6463" width="10.1640625" customWidth="1"/>
    <col min="6476" max="6476" width="20.44140625" customWidth="1"/>
    <col min="6477" max="6478" width="11.44140625" bestFit="1" customWidth="1"/>
    <col min="6479" max="6479" width="11.27734375" customWidth="1"/>
    <col min="6480" max="6480" width="10" customWidth="1"/>
    <col min="6481" max="6481" width="9.71875" customWidth="1"/>
    <col min="6485" max="6485" width="10.1640625" bestFit="1" customWidth="1"/>
    <col min="6486" max="6489" width="9.27734375" bestFit="1" customWidth="1"/>
    <col min="6490" max="6490" width="9.5546875" customWidth="1"/>
    <col min="6491" max="6493" width="9.27734375" bestFit="1" customWidth="1"/>
    <col min="6494" max="6494" width="9.83203125" bestFit="1" customWidth="1"/>
    <col min="6495" max="6503" width="9.27734375" bestFit="1" customWidth="1"/>
    <col min="6504" max="6504" width="24.71875" customWidth="1"/>
    <col min="6505" max="6509" width="9.27734375" bestFit="1" customWidth="1"/>
    <col min="6510" max="6510" width="9.83203125" bestFit="1" customWidth="1"/>
    <col min="6512" max="6512" width="4.1640625" customWidth="1"/>
    <col min="6513" max="6513" width="9.27734375" customWidth="1"/>
    <col min="6514" max="6514" width="4.1640625" customWidth="1"/>
    <col min="6515" max="6515" width="5.71875" customWidth="1"/>
    <col min="6658" max="6658" width="7" customWidth="1"/>
    <col min="6659" max="6659" width="0" hidden="1" customWidth="1"/>
    <col min="6660" max="6661" width="16.83203125" customWidth="1"/>
    <col min="6662" max="6662" width="14.1640625" customWidth="1"/>
    <col min="6663" max="6663" width="13.71875" customWidth="1"/>
    <col min="6664" max="6664" width="11.71875" customWidth="1"/>
    <col min="6665" max="6665" width="12.27734375" customWidth="1"/>
    <col min="6666" max="6666" width="11.71875" customWidth="1"/>
    <col min="6667" max="6667" width="13.27734375" customWidth="1"/>
    <col min="6668" max="6669" width="8.71875" customWidth="1"/>
    <col min="6670" max="6670" width="14.44140625" bestFit="1" customWidth="1"/>
    <col min="6671" max="6671" width="0" hidden="1" customWidth="1"/>
    <col min="6672" max="6672" width="14.1640625" bestFit="1" customWidth="1"/>
    <col min="6718" max="6718" width="10.27734375" customWidth="1"/>
    <col min="6719" max="6719" width="10.1640625" customWidth="1"/>
    <col min="6732" max="6732" width="20.44140625" customWidth="1"/>
    <col min="6733" max="6734" width="11.44140625" bestFit="1" customWidth="1"/>
    <col min="6735" max="6735" width="11.27734375" customWidth="1"/>
    <col min="6736" max="6736" width="10" customWidth="1"/>
    <col min="6737" max="6737" width="9.71875" customWidth="1"/>
    <col min="6741" max="6741" width="10.1640625" bestFit="1" customWidth="1"/>
    <col min="6742" max="6745" width="9.27734375" bestFit="1" customWidth="1"/>
    <col min="6746" max="6746" width="9.5546875" customWidth="1"/>
    <col min="6747" max="6749" width="9.27734375" bestFit="1" customWidth="1"/>
    <col min="6750" max="6750" width="9.83203125" bestFit="1" customWidth="1"/>
    <col min="6751" max="6759" width="9.27734375" bestFit="1" customWidth="1"/>
    <col min="6760" max="6760" width="24.71875" customWidth="1"/>
    <col min="6761" max="6765" width="9.27734375" bestFit="1" customWidth="1"/>
    <col min="6766" max="6766" width="9.83203125" bestFit="1" customWidth="1"/>
    <col min="6768" max="6768" width="4.1640625" customWidth="1"/>
    <col min="6769" max="6769" width="9.27734375" customWidth="1"/>
    <col min="6770" max="6770" width="4.1640625" customWidth="1"/>
    <col min="6771" max="6771" width="5.71875" customWidth="1"/>
    <col min="6914" max="6914" width="7" customWidth="1"/>
    <col min="6915" max="6915" width="0" hidden="1" customWidth="1"/>
    <col min="6916" max="6917" width="16.83203125" customWidth="1"/>
    <col min="6918" max="6918" width="14.1640625" customWidth="1"/>
    <col min="6919" max="6919" width="13.71875" customWidth="1"/>
    <col min="6920" max="6920" width="11.71875" customWidth="1"/>
    <col min="6921" max="6921" width="12.27734375" customWidth="1"/>
    <col min="6922" max="6922" width="11.71875" customWidth="1"/>
    <col min="6923" max="6923" width="13.27734375" customWidth="1"/>
    <col min="6924" max="6925" width="8.71875" customWidth="1"/>
    <col min="6926" max="6926" width="14.44140625" bestFit="1" customWidth="1"/>
    <col min="6927" max="6927" width="0" hidden="1" customWidth="1"/>
    <col min="6928" max="6928" width="14.1640625" bestFit="1" customWidth="1"/>
    <col min="6974" max="6974" width="10.27734375" customWidth="1"/>
    <col min="6975" max="6975" width="10.1640625" customWidth="1"/>
    <col min="6988" max="6988" width="20.44140625" customWidth="1"/>
    <col min="6989" max="6990" width="11.44140625" bestFit="1" customWidth="1"/>
    <col min="6991" max="6991" width="11.27734375" customWidth="1"/>
    <col min="6992" max="6992" width="10" customWidth="1"/>
    <col min="6993" max="6993" width="9.71875" customWidth="1"/>
    <col min="6997" max="6997" width="10.1640625" bestFit="1" customWidth="1"/>
    <col min="6998" max="7001" width="9.27734375" bestFit="1" customWidth="1"/>
    <col min="7002" max="7002" width="9.5546875" customWidth="1"/>
    <col min="7003" max="7005" width="9.27734375" bestFit="1" customWidth="1"/>
    <col min="7006" max="7006" width="9.83203125" bestFit="1" customWidth="1"/>
    <col min="7007" max="7015" width="9.27734375" bestFit="1" customWidth="1"/>
    <col min="7016" max="7016" width="24.71875" customWidth="1"/>
    <col min="7017" max="7021" width="9.27734375" bestFit="1" customWidth="1"/>
    <col min="7022" max="7022" width="9.83203125" bestFit="1" customWidth="1"/>
    <col min="7024" max="7024" width="4.1640625" customWidth="1"/>
    <col min="7025" max="7025" width="9.27734375" customWidth="1"/>
    <col min="7026" max="7026" width="4.1640625" customWidth="1"/>
    <col min="7027" max="7027" width="5.71875" customWidth="1"/>
    <col min="7170" max="7170" width="7" customWidth="1"/>
    <col min="7171" max="7171" width="0" hidden="1" customWidth="1"/>
    <col min="7172" max="7173" width="16.83203125" customWidth="1"/>
    <col min="7174" max="7174" width="14.1640625" customWidth="1"/>
    <col min="7175" max="7175" width="13.71875" customWidth="1"/>
    <col min="7176" max="7176" width="11.71875" customWidth="1"/>
    <col min="7177" max="7177" width="12.27734375" customWidth="1"/>
    <col min="7178" max="7178" width="11.71875" customWidth="1"/>
    <col min="7179" max="7179" width="13.27734375" customWidth="1"/>
    <col min="7180" max="7181" width="8.71875" customWidth="1"/>
    <col min="7182" max="7182" width="14.44140625" bestFit="1" customWidth="1"/>
    <col min="7183" max="7183" width="0" hidden="1" customWidth="1"/>
    <col min="7184" max="7184" width="14.1640625" bestFit="1" customWidth="1"/>
    <col min="7230" max="7230" width="10.27734375" customWidth="1"/>
    <col min="7231" max="7231" width="10.1640625" customWidth="1"/>
    <col min="7244" max="7244" width="20.44140625" customWidth="1"/>
    <col min="7245" max="7246" width="11.44140625" bestFit="1" customWidth="1"/>
    <col min="7247" max="7247" width="11.27734375" customWidth="1"/>
    <col min="7248" max="7248" width="10" customWidth="1"/>
    <col min="7249" max="7249" width="9.71875" customWidth="1"/>
    <col min="7253" max="7253" width="10.1640625" bestFit="1" customWidth="1"/>
    <col min="7254" max="7257" width="9.27734375" bestFit="1" customWidth="1"/>
    <col min="7258" max="7258" width="9.5546875" customWidth="1"/>
    <col min="7259" max="7261" width="9.27734375" bestFit="1" customWidth="1"/>
    <col min="7262" max="7262" width="9.83203125" bestFit="1" customWidth="1"/>
    <col min="7263" max="7271" width="9.27734375" bestFit="1" customWidth="1"/>
    <col min="7272" max="7272" width="24.71875" customWidth="1"/>
    <col min="7273" max="7277" width="9.27734375" bestFit="1" customWidth="1"/>
    <col min="7278" max="7278" width="9.83203125" bestFit="1" customWidth="1"/>
    <col min="7280" max="7280" width="4.1640625" customWidth="1"/>
    <col min="7281" max="7281" width="9.27734375" customWidth="1"/>
    <col min="7282" max="7282" width="4.1640625" customWidth="1"/>
    <col min="7283" max="7283" width="5.71875" customWidth="1"/>
    <col min="7426" max="7426" width="7" customWidth="1"/>
    <col min="7427" max="7427" width="0" hidden="1" customWidth="1"/>
    <col min="7428" max="7429" width="16.83203125" customWidth="1"/>
    <col min="7430" max="7430" width="14.1640625" customWidth="1"/>
    <col min="7431" max="7431" width="13.71875" customWidth="1"/>
    <col min="7432" max="7432" width="11.71875" customWidth="1"/>
    <col min="7433" max="7433" width="12.27734375" customWidth="1"/>
    <col min="7434" max="7434" width="11.71875" customWidth="1"/>
    <col min="7435" max="7435" width="13.27734375" customWidth="1"/>
    <col min="7436" max="7437" width="8.71875" customWidth="1"/>
    <col min="7438" max="7438" width="14.44140625" bestFit="1" customWidth="1"/>
    <col min="7439" max="7439" width="0" hidden="1" customWidth="1"/>
    <col min="7440" max="7440" width="14.1640625" bestFit="1" customWidth="1"/>
    <col min="7486" max="7486" width="10.27734375" customWidth="1"/>
    <col min="7487" max="7487" width="10.1640625" customWidth="1"/>
    <col min="7500" max="7500" width="20.44140625" customWidth="1"/>
    <col min="7501" max="7502" width="11.44140625" bestFit="1" customWidth="1"/>
    <col min="7503" max="7503" width="11.27734375" customWidth="1"/>
    <col min="7504" max="7504" width="10" customWidth="1"/>
    <col min="7505" max="7505" width="9.71875" customWidth="1"/>
    <col min="7509" max="7509" width="10.1640625" bestFit="1" customWidth="1"/>
    <col min="7510" max="7513" width="9.27734375" bestFit="1" customWidth="1"/>
    <col min="7514" max="7514" width="9.5546875" customWidth="1"/>
    <col min="7515" max="7517" width="9.27734375" bestFit="1" customWidth="1"/>
    <col min="7518" max="7518" width="9.83203125" bestFit="1" customWidth="1"/>
    <col min="7519" max="7527" width="9.27734375" bestFit="1" customWidth="1"/>
    <col min="7528" max="7528" width="24.71875" customWidth="1"/>
    <col min="7529" max="7533" width="9.27734375" bestFit="1" customWidth="1"/>
    <col min="7534" max="7534" width="9.83203125" bestFit="1" customWidth="1"/>
    <col min="7536" max="7536" width="4.1640625" customWidth="1"/>
    <col min="7537" max="7537" width="9.27734375" customWidth="1"/>
    <col min="7538" max="7538" width="4.1640625" customWidth="1"/>
    <col min="7539" max="7539" width="5.71875" customWidth="1"/>
    <col min="7682" max="7682" width="7" customWidth="1"/>
    <col min="7683" max="7683" width="0" hidden="1" customWidth="1"/>
    <col min="7684" max="7685" width="16.83203125" customWidth="1"/>
    <col min="7686" max="7686" width="14.1640625" customWidth="1"/>
    <col min="7687" max="7687" width="13.71875" customWidth="1"/>
    <col min="7688" max="7688" width="11.71875" customWidth="1"/>
    <col min="7689" max="7689" width="12.27734375" customWidth="1"/>
    <col min="7690" max="7690" width="11.71875" customWidth="1"/>
    <col min="7691" max="7691" width="13.27734375" customWidth="1"/>
    <col min="7692" max="7693" width="8.71875" customWidth="1"/>
    <col min="7694" max="7694" width="14.44140625" bestFit="1" customWidth="1"/>
    <col min="7695" max="7695" width="0" hidden="1" customWidth="1"/>
    <col min="7696" max="7696" width="14.1640625" bestFit="1" customWidth="1"/>
    <col min="7742" max="7742" width="10.27734375" customWidth="1"/>
    <col min="7743" max="7743" width="10.1640625" customWidth="1"/>
    <col min="7756" max="7756" width="20.44140625" customWidth="1"/>
    <col min="7757" max="7758" width="11.44140625" bestFit="1" customWidth="1"/>
    <col min="7759" max="7759" width="11.27734375" customWidth="1"/>
    <col min="7760" max="7760" width="10" customWidth="1"/>
    <col min="7761" max="7761" width="9.71875" customWidth="1"/>
    <col min="7765" max="7765" width="10.1640625" bestFit="1" customWidth="1"/>
    <col min="7766" max="7769" width="9.27734375" bestFit="1" customWidth="1"/>
    <col min="7770" max="7770" width="9.5546875" customWidth="1"/>
    <col min="7771" max="7773" width="9.27734375" bestFit="1" customWidth="1"/>
    <col min="7774" max="7774" width="9.83203125" bestFit="1" customWidth="1"/>
    <col min="7775" max="7783" width="9.27734375" bestFit="1" customWidth="1"/>
    <col min="7784" max="7784" width="24.71875" customWidth="1"/>
    <col min="7785" max="7789" width="9.27734375" bestFit="1" customWidth="1"/>
    <col min="7790" max="7790" width="9.83203125" bestFit="1" customWidth="1"/>
    <col min="7792" max="7792" width="4.1640625" customWidth="1"/>
    <col min="7793" max="7793" width="9.27734375" customWidth="1"/>
    <col min="7794" max="7794" width="4.1640625" customWidth="1"/>
    <col min="7795" max="7795" width="5.71875" customWidth="1"/>
    <col min="7938" max="7938" width="7" customWidth="1"/>
    <col min="7939" max="7939" width="0" hidden="1" customWidth="1"/>
    <col min="7940" max="7941" width="16.83203125" customWidth="1"/>
    <col min="7942" max="7942" width="14.1640625" customWidth="1"/>
    <col min="7943" max="7943" width="13.71875" customWidth="1"/>
    <col min="7944" max="7944" width="11.71875" customWidth="1"/>
    <col min="7945" max="7945" width="12.27734375" customWidth="1"/>
    <col min="7946" max="7946" width="11.71875" customWidth="1"/>
    <col min="7947" max="7947" width="13.27734375" customWidth="1"/>
    <col min="7948" max="7949" width="8.71875" customWidth="1"/>
    <col min="7950" max="7950" width="14.44140625" bestFit="1" customWidth="1"/>
    <col min="7951" max="7951" width="0" hidden="1" customWidth="1"/>
    <col min="7952" max="7952" width="14.1640625" bestFit="1" customWidth="1"/>
    <col min="7998" max="7998" width="10.27734375" customWidth="1"/>
    <col min="7999" max="7999" width="10.1640625" customWidth="1"/>
    <col min="8012" max="8012" width="20.44140625" customWidth="1"/>
    <col min="8013" max="8014" width="11.44140625" bestFit="1" customWidth="1"/>
    <col min="8015" max="8015" width="11.27734375" customWidth="1"/>
    <col min="8016" max="8016" width="10" customWidth="1"/>
    <col min="8017" max="8017" width="9.71875" customWidth="1"/>
    <col min="8021" max="8021" width="10.1640625" bestFit="1" customWidth="1"/>
    <col min="8022" max="8025" width="9.27734375" bestFit="1" customWidth="1"/>
    <col min="8026" max="8026" width="9.5546875" customWidth="1"/>
    <col min="8027" max="8029" width="9.27734375" bestFit="1" customWidth="1"/>
    <col min="8030" max="8030" width="9.83203125" bestFit="1" customWidth="1"/>
    <col min="8031" max="8039" width="9.27734375" bestFit="1" customWidth="1"/>
    <col min="8040" max="8040" width="24.71875" customWidth="1"/>
    <col min="8041" max="8045" width="9.27734375" bestFit="1" customWidth="1"/>
    <col min="8046" max="8046" width="9.83203125" bestFit="1" customWidth="1"/>
    <col min="8048" max="8048" width="4.1640625" customWidth="1"/>
    <col min="8049" max="8049" width="9.27734375" customWidth="1"/>
    <col min="8050" max="8050" width="4.1640625" customWidth="1"/>
    <col min="8051" max="8051" width="5.71875" customWidth="1"/>
    <col min="8194" max="8194" width="7" customWidth="1"/>
    <col min="8195" max="8195" width="0" hidden="1" customWidth="1"/>
    <col min="8196" max="8197" width="16.83203125" customWidth="1"/>
    <col min="8198" max="8198" width="14.1640625" customWidth="1"/>
    <col min="8199" max="8199" width="13.71875" customWidth="1"/>
    <col min="8200" max="8200" width="11.71875" customWidth="1"/>
    <col min="8201" max="8201" width="12.27734375" customWidth="1"/>
    <col min="8202" max="8202" width="11.71875" customWidth="1"/>
    <col min="8203" max="8203" width="13.27734375" customWidth="1"/>
    <col min="8204" max="8205" width="8.71875" customWidth="1"/>
    <col min="8206" max="8206" width="14.44140625" bestFit="1" customWidth="1"/>
    <col min="8207" max="8207" width="0" hidden="1" customWidth="1"/>
    <col min="8208" max="8208" width="14.1640625" bestFit="1" customWidth="1"/>
    <col min="8254" max="8254" width="10.27734375" customWidth="1"/>
    <col min="8255" max="8255" width="10.1640625" customWidth="1"/>
    <col min="8268" max="8268" width="20.44140625" customWidth="1"/>
    <col min="8269" max="8270" width="11.44140625" bestFit="1" customWidth="1"/>
    <col min="8271" max="8271" width="11.27734375" customWidth="1"/>
    <col min="8272" max="8272" width="10" customWidth="1"/>
    <col min="8273" max="8273" width="9.71875" customWidth="1"/>
    <col min="8277" max="8277" width="10.1640625" bestFit="1" customWidth="1"/>
    <col min="8278" max="8281" width="9.27734375" bestFit="1" customWidth="1"/>
    <col min="8282" max="8282" width="9.5546875" customWidth="1"/>
    <col min="8283" max="8285" width="9.27734375" bestFit="1" customWidth="1"/>
    <col min="8286" max="8286" width="9.83203125" bestFit="1" customWidth="1"/>
    <col min="8287" max="8295" width="9.27734375" bestFit="1" customWidth="1"/>
    <col min="8296" max="8296" width="24.71875" customWidth="1"/>
    <col min="8297" max="8301" width="9.27734375" bestFit="1" customWidth="1"/>
    <col min="8302" max="8302" width="9.83203125" bestFit="1" customWidth="1"/>
    <col min="8304" max="8304" width="4.1640625" customWidth="1"/>
    <col min="8305" max="8305" width="9.27734375" customWidth="1"/>
    <col min="8306" max="8306" width="4.1640625" customWidth="1"/>
    <col min="8307" max="8307" width="5.71875" customWidth="1"/>
    <col min="8450" max="8450" width="7" customWidth="1"/>
    <col min="8451" max="8451" width="0" hidden="1" customWidth="1"/>
    <col min="8452" max="8453" width="16.83203125" customWidth="1"/>
    <col min="8454" max="8454" width="14.1640625" customWidth="1"/>
    <col min="8455" max="8455" width="13.71875" customWidth="1"/>
    <col min="8456" max="8456" width="11.71875" customWidth="1"/>
    <col min="8457" max="8457" width="12.27734375" customWidth="1"/>
    <col min="8458" max="8458" width="11.71875" customWidth="1"/>
    <col min="8459" max="8459" width="13.27734375" customWidth="1"/>
    <col min="8460" max="8461" width="8.71875" customWidth="1"/>
    <col min="8462" max="8462" width="14.44140625" bestFit="1" customWidth="1"/>
    <col min="8463" max="8463" width="0" hidden="1" customWidth="1"/>
    <col min="8464" max="8464" width="14.1640625" bestFit="1" customWidth="1"/>
    <col min="8510" max="8510" width="10.27734375" customWidth="1"/>
    <col min="8511" max="8511" width="10.1640625" customWidth="1"/>
    <col min="8524" max="8524" width="20.44140625" customWidth="1"/>
    <col min="8525" max="8526" width="11.44140625" bestFit="1" customWidth="1"/>
    <col min="8527" max="8527" width="11.27734375" customWidth="1"/>
    <col min="8528" max="8528" width="10" customWidth="1"/>
    <col min="8529" max="8529" width="9.71875" customWidth="1"/>
    <col min="8533" max="8533" width="10.1640625" bestFit="1" customWidth="1"/>
    <col min="8534" max="8537" width="9.27734375" bestFit="1" customWidth="1"/>
    <col min="8538" max="8538" width="9.5546875" customWidth="1"/>
    <col min="8539" max="8541" width="9.27734375" bestFit="1" customWidth="1"/>
    <col min="8542" max="8542" width="9.83203125" bestFit="1" customWidth="1"/>
    <col min="8543" max="8551" width="9.27734375" bestFit="1" customWidth="1"/>
    <col min="8552" max="8552" width="24.71875" customWidth="1"/>
    <col min="8553" max="8557" width="9.27734375" bestFit="1" customWidth="1"/>
    <col min="8558" max="8558" width="9.83203125" bestFit="1" customWidth="1"/>
    <col min="8560" max="8560" width="4.1640625" customWidth="1"/>
    <col min="8561" max="8561" width="9.27734375" customWidth="1"/>
    <col min="8562" max="8562" width="4.1640625" customWidth="1"/>
    <col min="8563" max="8563" width="5.71875" customWidth="1"/>
    <col min="8706" max="8706" width="7" customWidth="1"/>
    <col min="8707" max="8707" width="0" hidden="1" customWidth="1"/>
    <col min="8708" max="8709" width="16.83203125" customWidth="1"/>
    <col min="8710" max="8710" width="14.1640625" customWidth="1"/>
    <col min="8711" max="8711" width="13.71875" customWidth="1"/>
    <col min="8712" max="8712" width="11.71875" customWidth="1"/>
    <col min="8713" max="8713" width="12.27734375" customWidth="1"/>
    <col min="8714" max="8714" width="11.71875" customWidth="1"/>
    <col min="8715" max="8715" width="13.27734375" customWidth="1"/>
    <col min="8716" max="8717" width="8.71875" customWidth="1"/>
    <col min="8718" max="8718" width="14.44140625" bestFit="1" customWidth="1"/>
    <col min="8719" max="8719" width="0" hidden="1" customWidth="1"/>
    <col min="8720" max="8720" width="14.1640625" bestFit="1" customWidth="1"/>
    <col min="8766" max="8766" width="10.27734375" customWidth="1"/>
    <col min="8767" max="8767" width="10.1640625" customWidth="1"/>
    <col min="8780" max="8780" width="20.44140625" customWidth="1"/>
    <col min="8781" max="8782" width="11.44140625" bestFit="1" customWidth="1"/>
    <col min="8783" max="8783" width="11.27734375" customWidth="1"/>
    <col min="8784" max="8784" width="10" customWidth="1"/>
    <col min="8785" max="8785" width="9.71875" customWidth="1"/>
    <col min="8789" max="8789" width="10.1640625" bestFit="1" customWidth="1"/>
    <col min="8790" max="8793" width="9.27734375" bestFit="1" customWidth="1"/>
    <col min="8794" max="8794" width="9.5546875" customWidth="1"/>
    <col min="8795" max="8797" width="9.27734375" bestFit="1" customWidth="1"/>
    <col min="8798" max="8798" width="9.83203125" bestFit="1" customWidth="1"/>
    <col min="8799" max="8807" width="9.27734375" bestFit="1" customWidth="1"/>
    <col min="8808" max="8808" width="24.71875" customWidth="1"/>
    <col min="8809" max="8813" width="9.27734375" bestFit="1" customWidth="1"/>
    <col min="8814" max="8814" width="9.83203125" bestFit="1" customWidth="1"/>
    <col min="8816" max="8816" width="4.1640625" customWidth="1"/>
    <col min="8817" max="8817" width="9.27734375" customWidth="1"/>
    <col min="8818" max="8818" width="4.1640625" customWidth="1"/>
    <col min="8819" max="8819" width="5.71875" customWidth="1"/>
    <col min="8962" max="8962" width="7" customWidth="1"/>
    <col min="8963" max="8963" width="0" hidden="1" customWidth="1"/>
    <col min="8964" max="8965" width="16.83203125" customWidth="1"/>
    <col min="8966" max="8966" width="14.1640625" customWidth="1"/>
    <col min="8967" max="8967" width="13.71875" customWidth="1"/>
    <col min="8968" max="8968" width="11.71875" customWidth="1"/>
    <col min="8969" max="8969" width="12.27734375" customWidth="1"/>
    <col min="8970" max="8970" width="11.71875" customWidth="1"/>
    <col min="8971" max="8971" width="13.27734375" customWidth="1"/>
    <col min="8972" max="8973" width="8.71875" customWidth="1"/>
    <col min="8974" max="8974" width="14.44140625" bestFit="1" customWidth="1"/>
    <col min="8975" max="8975" width="0" hidden="1" customWidth="1"/>
    <col min="8976" max="8976" width="14.1640625" bestFit="1" customWidth="1"/>
    <col min="9022" max="9022" width="10.27734375" customWidth="1"/>
    <col min="9023" max="9023" width="10.1640625" customWidth="1"/>
    <col min="9036" max="9036" width="20.44140625" customWidth="1"/>
    <col min="9037" max="9038" width="11.44140625" bestFit="1" customWidth="1"/>
    <col min="9039" max="9039" width="11.27734375" customWidth="1"/>
    <col min="9040" max="9040" width="10" customWidth="1"/>
    <col min="9041" max="9041" width="9.71875" customWidth="1"/>
    <col min="9045" max="9045" width="10.1640625" bestFit="1" customWidth="1"/>
    <col min="9046" max="9049" width="9.27734375" bestFit="1" customWidth="1"/>
    <col min="9050" max="9050" width="9.5546875" customWidth="1"/>
    <col min="9051" max="9053" width="9.27734375" bestFit="1" customWidth="1"/>
    <col min="9054" max="9054" width="9.83203125" bestFit="1" customWidth="1"/>
    <col min="9055" max="9063" width="9.27734375" bestFit="1" customWidth="1"/>
    <col min="9064" max="9064" width="24.71875" customWidth="1"/>
    <col min="9065" max="9069" width="9.27734375" bestFit="1" customWidth="1"/>
    <col min="9070" max="9070" width="9.83203125" bestFit="1" customWidth="1"/>
    <col min="9072" max="9072" width="4.1640625" customWidth="1"/>
    <col min="9073" max="9073" width="9.27734375" customWidth="1"/>
    <col min="9074" max="9074" width="4.1640625" customWidth="1"/>
    <col min="9075" max="9075" width="5.71875" customWidth="1"/>
    <col min="9218" max="9218" width="7" customWidth="1"/>
    <col min="9219" max="9219" width="0" hidden="1" customWidth="1"/>
    <col min="9220" max="9221" width="16.83203125" customWidth="1"/>
    <col min="9222" max="9222" width="14.1640625" customWidth="1"/>
    <col min="9223" max="9223" width="13.71875" customWidth="1"/>
    <col min="9224" max="9224" width="11.71875" customWidth="1"/>
    <col min="9225" max="9225" width="12.27734375" customWidth="1"/>
    <col min="9226" max="9226" width="11.71875" customWidth="1"/>
    <col min="9227" max="9227" width="13.27734375" customWidth="1"/>
    <col min="9228" max="9229" width="8.71875" customWidth="1"/>
    <col min="9230" max="9230" width="14.44140625" bestFit="1" customWidth="1"/>
    <col min="9231" max="9231" width="0" hidden="1" customWidth="1"/>
    <col min="9232" max="9232" width="14.1640625" bestFit="1" customWidth="1"/>
    <col min="9278" max="9278" width="10.27734375" customWidth="1"/>
    <col min="9279" max="9279" width="10.1640625" customWidth="1"/>
    <col min="9292" max="9292" width="20.44140625" customWidth="1"/>
    <col min="9293" max="9294" width="11.44140625" bestFit="1" customWidth="1"/>
    <col min="9295" max="9295" width="11.27734375" customWidth="1"/>
    <col min="9296" max="9296" width="10" customWidth="1"/>
    <col min="9297" max="9297" width="9.71875" customWidth="1"/>
    <col min="9301" max="9301" width="10.1640625" bestFit="1" customWidth="1"/>
    <col min="9302" max="9305" width="9.27734375" bestFit="1" customWidth="1"/>
    <col min="9306" max="9306" width="9.5546875" customWidth="1"/>
    <col min="9307" max="9309" width="9.27734375" bestFit="1" customWidth="1"/>
    <col min="9310" max="9310" width="9.83203125" bestFit="1" customWidth="1"/>
    <col min="9311" max="9319" width="9.27734375" bestFit="1" customWidth="1"/>
    <col min="9320" max="9320" width="24.71875" customWidth="1"/>
    <col min="9321" max="9325" width="9.27734375" bestFit="1" customWidth="1"/>
    <col min="9326" max="9326" width="9.83203125" bestFit="1" customWidth="1"/>
    <col min="9328" max="9328" width="4.1640625" customWidth="1"/>
    <col min="9329" max="9329" width="9.27734375" customWidth="1"/>
    <col min="9330" max="9330" width="4.1640625" customWidth="1"/>
    <col min="9331" max="9331" width="5.71875" customWidth="1"/>
    <col min="9474" max="9474" width="7" customWidth="1"/>
    <col min="9475" max="9475" width="0" hidden="1" customWidth="1"/>
    <col min="9476" max="9477" width="16.83203125" customWidth="1"/>
    <col min="9478" max="9478" width="14.1640625" customWidth="1"/>
    <col min="9479" max="9479" width="13.71875" customWidth="1"/>
    <col min="9480" max="9480" width="11.71875" customWidth="1"/>
    <col min="9481" max="9481" width="12.27734375" customWidth="1"/>
    <col min="9482" max="9482" width="11.71875" customWidth="1"/>
    <col min="9483" max="9483" width="13.27734375" customWidth="1"/>
    <col min="9484" max="9485" width="8.71875" customWidth="1"/>
    <col min="9486" max="9486" width="14.44140625" bestFit="1" customWidth="1"/>
    <col min="9487" max="9487" width="0" hidden="1" customWidth="1"/>
    <col min="9488" max="9488" width="14.1640625" bestFit="1" customWidth="1"/>
    <col min="9534" max="9534" width="10.27734375" customWidth="1"/>
    <col min="9535" max="9535" width="10.1640625" customWidth="1"/>
    <col min="9548" max="9548" width="20.44140625" customWidth="1"/>
    <col min="9549" max="9550" width="11.44140625" bestFit="1" customWidth="1"/>
    <col min="9551" max="9551" width="11.27734375" customWidth="1"/>
    <col min="9552" max="9552" width="10" customWidth="1"/>
    <col min="9553" max="9553" width="9.71875" customWidth="1"/>
    <col min="9557" max="9557" width="10.1640625" bestFit="1" customWidth="1"/>
    <col min="9558" max="9561" width="9.27734375" bestFit="1" customWidth="1"/>
    <col min="9562" max="9562" width="9.5546875" customWidth="1"/>
    <col min="9563" max="9565" width="9.27734375" bestFit="1" customWidth="1"/>
    <col min="9566" max="9566" width="9.83203125" bestFit="1" customWidth="1"/>
    <col min="9567" max="9575" width="9.27734375" bestFit="1" customWidth="1"/>
    <col min="9576" max="9576" width="24.71875" customWidth="1"/>
    <col min="9577" max="9581" width="9.27734375" bestFit="1" customWidth="1"/>
    <col min="9582" max="9582" width="9.83203125" bestFit="1" customWidth="1"/>
    <col min="9584" max="9584" width="4.1640625" customWidth="1"/>
    <col min="9585" max="9585" width="9.27734375" customWidth="1"/>
    <col min="9586" max="9586" width="4.1640625" customWidth="1"/>
    <col min="9587" max="9587" width="5.71875" customWidth="1"/>
    <col min="9730" max="9730" width="7" customWidth="1"/>
    <col min="9731" max="9731" width="0" hidden="1" customWidth="1"/>
    <col min="9732" max="9733" width="16.83203125" customWidth="1"/>
    <col min="9734" max="9734" width="14.1640625" customWidth="1"/>
    <col min="9735" max="9735" width="13.71875" customWidth="1"/>
    <col min="9736" max="9736" width="11.71875" customWidth="1"/>
    <col min="9737" max="9737" width="12.27734375" customWidth="1"/>
    <col min="9738" max="9738" width="11.71875" customWidth="1"/>
    <col min="9739" max="9739" width="13.27734375" customWidth="1"/>
    <col min="9740" max="9741" width="8.71875" customWidth="1"/>
    <col min="9742" max="9742" width="14.44140625" bestFit="1" customWidth="1"/>
    <col min="9743" max="9743" width="0" hidden="1" customWidth="1"/>
    <col min="9744" max="9744" width="14.1640625" bestFit="1" customWidth="1"/>
    <col min="9790" max="9790" width="10.27734375" customWidth="1"/>
    <col min="9791" max="9791" width="10.1640625" customWidth="1"/>
    <col min="9804" max="9804" width="20.44140625" customWidth="1"/>
    <col min="9805" max="9806" width="11.44140625" bestFit="1" customWidth="1"/>
    <col min="9807" max="9807" width="11.27734375" customWidth="1"/>
    <col min="9808" max="9808" width="10" customWidth="1"/>
    <col min="9809" max="9809" width="9.71875" customWidth="1"/>
    <col min="9813" max="9813" width="10.1640625" bestFit="1" customWidth="1"/>
    <col min="9814" max="9817" width="9.27734375" bestFit="1" customWidth="1"/>
    <col min="9818" max="9818" width="9.5546875" customWidth="1"/>
    <col min="9819" max="9821" width="9.27734375" bestFit="1" customWidth="1"/>
    <col min="9822" max="9822" width="9.83203125" bestFit="1" customWidth="1"/>
    <col min="9823" max="9831" width="9.27734375" bestFit="1" customWidth="1"/>
    <col min="9832" max="9832" width="24.71875" customWidth="1"/>
    <col min="9833" max="9837" width="9.27734375" bestFit="1" customWidth="1"/>
    <col min="9838" max="9838" width="9.83203125" bestFit="1" customWidth="1"/>
    <col min="9840" max="9840" width="4.1640625" customWidth="1"/>
    <col min="9841" max="9841" width="9.27734375" customWidth="1"/>
    <col min="9842" max="9842" width="4.1640625" customWidth="1"/>
    <col min="9843" max="9843" width="5.71875" customWidth="1"/>
    <col min="9986" max="9986" width="7" customWidth="1"/>
    <col min="9987" max="9987" width="0" hidden="1" customWidth="1"/>
    <col min="9988" max="9989" width="16.83203125" customWidth="1"/>
    <col min="9990" max="9990" width="14.1640625" customWidth="1"/>
    <col min="9991" max="9991" width="13.71875" customWidth="1"/>
    <col min="9992" max="9992" width="11.71875" customWidth="1"/>
    <col min="9993" max="9993" width="12.27734375" customWidth="1"/>
    <col min="9994" max="9994" width="11.71875" customWidth="1"/>
    <col min="9995" max="9995" width="13.27734375" customWidth="1"/>
    <col min="9996" max="9997" width="8.71875" customWidth="1"/>
    <col min="9998" max="9998" width="14.44140625" bestFit="1" customWidth="1"/>
    <col min="9999" max="9999" width="0" hidden="1" customWidth="1"/>
    <col min="10000" max="10000" width="14.1640625" bestFit="1" customWidth="1"/>
    <col min="10046" max="10046" width="10.27734375" customWidth="1"/>
    <col min="10047" max="10047" width="10.1640625" customWidth="1"/>
    <col min="10060" max="10060" width="20.44140625" customWidth="1"/>
    <col min="10061" max="10062" width="11.44140625" bestFit="1" customWidth="1"/>
    <col min="10063" max="10063" width="11.27734375" customWidth="1"/>
    <col min="10064" max="10064" width="10" customWidth="1"/>
    <col min="10065" max="10065" width="9.71875" customWidth="1"/>
    <col min="10069" max="10069" width="10.1640625" bestFit="1" customWidth="1"/>
    <col min="10070" max="10073" width="9.27734375" bestFit="1" customWidth="1"/>
    <col min="10074" max="10074" width="9.5546875" customWidth="1"/>
    <col min="10075" max="10077" width="9.27734375" bestFit="1" customWidth="1"/>
    <col min="10078" max="10078" width="9.83203125" bestFit="1" customWidth="1"/>
    <col min="10079" max="10087" width="9.27734375" bestFit="1" customWidth="1"/>
    <col min="10088" max="10088" width="24.71875" customWidth="1"/>
    <col min="10089" max="10093" width="9.27734375" bestFit="1" customWidth="1"/>
    <col min="10094" max="10094" width="9.83203125" bestFit="1" customWidth="1"/>
    <col min="10096" max="10096" width="4.1640625" customWidth="1"/>
    <col min="10097" max="10097" width="9.27734375" customWidth="1"/>
    <col min="10098" max="10098" width="4.1640625" customWidth="1"/>
    <col min="10099" max="10099" width="5.71875" customWidth="1"/>
    <col min="10242" max="10242" width="7" customWidth="1"/>
    <col min="10243" max="10243" width="0" hidden="1" customWidth="1"/>
    <col min="10244" max="10245" width="16.83203125" customWidth="1"/>
    <col min="10246" max="10246" width="14.1640625" customWidth="1"/>
    <col min="10247" max="10247" width="13.71875" customWidth="1"/>
    <col min="10248" max="10248" width="11.71875" customWidth="1"/>
    <col min="10249" max="10249" width="12.27734375" customWidth="1"/>
    <col min="10250" max="10250" width="11.71875" customWidth="1"/>
    <col min="10251" max="10251" width="13.27734375" customWidth="1"/>
    <col min="10252" max="10253" width="8.71875" customWidth="1"/>
    <col min="10254" max="10254" width="14.44140625" bestFit="1" customWidth="1"/>
    <col min="10255" max="10255" width="0" hidden="1" customWidth="1"/>
    <col min="10256" max="10256" width="14.1640625" bestFit="1" customWidth="1"/>
    <col min="10302" max="10302" width="10.27734375" customWidth="1"/>
    <col min="10303" max="10303" width="10.1640625" customWidth="1"/>
    <col min="10316" max="10316" width="20.44140625" customWidth="1"/>
    <col min="10317" max="10318" width="11.44140625" bestFit="1" customWidth="1"/>
    <col min="10319" max="10319" width="11.27734375" customWidth="1"/>
    <col min="10320" max="10320" width="10" customWidth="1"/>
    <col min="10321" max="10321" width="9.71875" customWidth="1"/>
    <col min="10325" max="10325" width="10.1640625" bestFit="1" customWidth="1"/>
    <col min="10326" max="10329" width="9.27734375" bestFit="1" customWidth="1"/>
    <col min="10330" max="10330" width="9.5546875" customWidth="1"/>
    <col min="10331" max="10333" width="9.27734375" bestFit="1" customWidth="1"/>
    <col min="10334" max="10334" width="9.83203125" bestFit="1" customWidth="1"/>
    <col min="10335" max="10343" width="9.27734375" bestFit="1" customWidth="1"/>
    <col min="10344" max="10344" width="24.71875" customWidth="1"/>
    <col min="10345" max="10349" width="9.27734375" bestFit="1" customWidth="1"/>
    <col min="10350" max="10350" width="9.83203125" bestFit="1" customWidth="1"/>
    <col min="10352" max="10352" width="4.1640625" customWidth="1"/>
    <col min="10353" max="10353" width="9.27734375" customWidth="1"/>
    <col min="10354" max="10354" width="4.1640625" customWidth="1"/>
    <col min="10355" max="10355" width="5.71875" customWidth="1"/>
    <col min="10498" max="10498" width="7" customWidth="1"/>
    <col min="10499" max="10499" width="0" hidden="1" customWidth="1"/>
    <col min="10500" max="10501" width="16.83203125" customWidth="1"/>
    <col min="10502" max="10502" width="14.1640625" customWidth="1"/>
    <col min="10503" max="10503" width="13.71875" customWidth="1"/>
    <col min="10504" max="10504" width="11.71875" customWidth="1"/>
    <col min="10505" max="10505" width="12.27734375" customWidth="1"/>
    <col min="10506" max="10506" width="11.71875" customWidth="1"/>
    <col min="10507" max="10507" width="13.27734375" customWidth="1"/>
    <col min="10508" max="10509" width="8.71875" customWidth="1"/>
    <col min="10510" max="10510" width="14.44140625" bestFit="1" customWidth="1"/>
    <col min="10511" max="10511" width="0" hidden="1" customWidth="1"/>
    <col min="10512" max="10512" width="14.1640625" bestFit="1" customWidth="1"/>
    <col min="10558" max="10558" width="10.27734375" customWidth="1"/>
    <col min="10559" max="10559" width="10.1640625" customWidth="1"/>
    <col min="10572" max="10572" width="20.44140625" customWidth="1"/>
    <col min="10573" max="10574" width="11.44140625" bestFit="1" customWidth="1"/>
    <col min="10575" max="10575" width="11.27734375" customWidth="1"/>
    <col min="10576" max="10576" width="10" customWidth="1"/>
    <col min="10577" max="10577" width="9.71875" customWidth="1"/>
    <col min="10581" max="10581" width="10.1640625" bestFit="1" customWidth="1"/>
    <col min="10582" max="10585" width="9.27734375" bestFit="1" customWidth="1"/>
    <col min="10586" max="10586" width="9.5546875" customWidth="1"/>
    <col min="10587" max="10589" width="9.27734375" bestFit="1" customWidth="1"/>
    <col min="10590" max="10590" width="9.83203125" bestFit="1" customWidth="1"/>
    <col min="10591" max="10599" width="9.27734375" bestFit="1" customWidth="1"/>
    <col min="10600" max="10600" width="24.71875" customWidth="1"/>
    <col min="10601" max="10605" width="9.27734375" bestFit="1" customWidth="1"/>
    <col min="10606" max="10606" width="9.83203125" bestFit="1" customWidth="1"/>
    <col min="10608" max="10608" width="4.1640625" customWidth="1"/>
    <col min="10609" max="10609" width="9.27734375" customWidth="1"/>
    <col min="10610" max="10610" width="4.1640625" customWidth="1"/>
    <col min="10611" max="10611" width="5.71875" customWidth="1"/>
    <col min="10754" max="10754" width="7" customWidth="1"/>
    <col min="10755" max="10755" width="0" hidden="1" customWidth="1"/>
    <col min="10756" max="10757" width="16.83203125" customWidth="1"/>
    <col min="10758" max="10758" width="14.1640625" customWidth="1"/>
    <col min="10759" max="10759" width="13.71875" customWidth="1"/>
    <col min="10760" max="10760" width="11.71875" customWidth="1"/>
    <col min="10761" max="10761" width="12.27734375" customWidth="1"/>
    <col min="10762" max="10762" width="11.71875" customWidth="1"/>
    <col min="10763" max="10763" width="13.27734375" customWidth="1"/>
    <col min="10764" max="10765" width="8.71875" customWidth="1"/>
    <col min="10766" max="10766" width="14.44140625" bestFit="1" customWidth="1"/>
    <col min="10767" max="10767" width="0" hidden="1" customWidth="1"/>
    <col min="10768" max="10768" width="14.1640625" bestFit="1" customWidth="1"/>
    <col min="10814" max="10814" width="10.27734375" customWidth="1"/>
    <col min="10815" max="10815" width="10.1640625" customWidth="1"/>
    <col min="10828" max="10828" width="20.44140625" customWidth="1"/>
    <col min="10829" max="10830" width="11.44140625" bestFit="1" customWidth="1"/>
    <col min="10831" max="10831" width="11.27734375" customWidth="1"/>
    <col min="10832" max="10832" width="10" customWidth="1"/>
    <col min="10833" max="10833" width="9.71875" customWidth="1"/>
    <col min="10837" max="10837" width="10.1640625" bestFit="1" customWidth="1"/>
    <col min="10838" max="10841" width="9.27734375" bestFit="1" customWidth="1"/>
    <col min="10842" max="10842" width="9.5546875" customWidth="1"/>
    <col min="10843" max="10845" width="9.27734375" bestFit="1" customWidth="1"/>
    <col min="10846" max="10846" width="9.83203125" bestFit="1" customWidth="1"/>
    <col min="10847" max="10855" width="9.27734375" bestFit="1" customWidth="1"/>
    <col min="10856" max="10856" width="24.71875" customWidth="1"/>
    <col min="10857" max="10861" width="9.27734375" bestFit="1" customWidth="1"/>
    <col min="10862" max="10862" width="9.83203125" bestFit="1" customWidth="1"/>
    <col min="10864" max="10864" width="4.1640625" customWidth="1"/>
    <col min="10865" max="10865" width="9.27734375" customWidth="1"/>
    <col min="10866" max="10866" width="4.1640625" customWidth="1"/>
    <col min="10867" max="10867" width="5.71875" customWidth="1"/>
    <col min="11010" max="11010" width="7" customWidth="1"/>
    <col min="11011" max="11011" width="0" hidden="1" customWidth="1"/>
    <col min="11012" max="11013" width="16.83203125" customWidth="1"/>
    <col min="11014" max="11014" width="14.1640625" customWidth="1"/>
    <col min="11015" max="11015" width="13.71875" customWidth="1"/>
    <col min="11016" max="11016" width="11.71875" customWidth="1"/>
    <col min="11017" max="11017" width="12.27734375" customWidth="1"/>
    <col min="11018" max="11018" width="11.71875" customWidth="1"/>
    <col min="11019" max="11019" width="13.27734375" customWidth="1"/>
    <col min="11020" max="11021" width="8.71875" customWidth="1"/>
    <col min="11022" max="11022" width="14.44140625" bestFit="1" customWidth="1"/>
    <col min="11023" max="11023" width="0" hidden="1" customWidth="1"/>
    <col min="11024" max="11024" width="14.1640625" bestFit="1" customWidth="1"/>
    <col min="11070" max="11070" width="10.27734375" customWidth="1"/>
    <col min="11071" max="11071" width="10.1640625" customWidth="1"/>
    <col min="11084" max="11084" width="20.44140625" customWidth="1"/>
    <col min="11085" max="11086" width="11.44140625" bestFit="1" customWidth="1"/>
    <col min="11087" max="11087" width="11.27734375" customWidth="1"/>
    <col min="11088" max="11088" width="10" customWidth="1"/>
    <col min="11089" max="11089" width="9.71875" customWidth="1"/>
    <col min="11093" max="11093" width="10.1640625" bestFit="1" customWidth="1"/>
    <col min="11094" max="11097" width="9.27734375" bestFit="1" customWidth="1"/>
    <col min="11098" max="11098" width="9.5546875" customWidth="1"/>
    <col min="11099" max="11101" width="9.27734375" bestFit="1" customWidth="1"/>
    <col min="11102" max="11102" width="9.83203125" bestFit="1" customWidth="1"/>
    <col min="11103" max="11111" width="9.27734375" bestFit="1" customWidth="1"/>
    <col min="11112" max="11112" width="24.71875" customWidth="1"/>
    <col min="11113" max="11117" width="9.27734375" bestFit="1" customWidth="1"/>
    <col min="11118" max="11118" width="9.83203125" bestFit="1" customWidth="1"/>
    <col min="11120" max="11120" width="4.1640625" customWidth="1"/>
    <col min="11121" max="11121" width="9.27734375" customWidth="1"/>
    <col min="11122" max="11122" width="4.1640625" customWidth="1"/>
    <col min="11123" max="11123" width="5.71875" customWidth="1"/>
    <col min="11266" max="11266" width="7" customWidth="1"/>
    <col min="11267" max="11267" width="0" hidden="1" customWidth="1"/>
    <col min="11268" max="11269" width="16.83203125" customWidth="1"/>
    <col min="11270" max="11270" width="14.1640625" customWidth="1"/>
    <col min="11271" max="11271" width="13.71875" customWidth="1"/>
    <col min="11272" max="11272" width="11.71875" customWidth="1"/>
    <col min="11273" max="11273" width="12.27734375" customWidth="1"/>
    <col min="11274" max="11274" width="11.71875" customWidth="1"/>
    <col min="11275" max="11275" width="13.27734375" customWidth="1"/>
    <col min="11276" max="11277" width="8.71875" customWidth="1"/>
    <col min="11278" max="11278" width="14.44140625" bestFit="1" customWidth="1"/>
    <col min="11279" max="11279" width="0" hidden="1" customWidth="1"/>
    <col min="11280" max="11280" width="14.1640625" bestFit="1" customWidth="1"/>
    <col min="11326" max="11326" width="10.27734375" customWidth="1"/>
    <col min="11327" max="11327" width="10.1640625" customWidth="1"/>
    <col min="11340" max="11340" width="20.44140625" customWidth="1"/>
    <col min="11341" max="11342" width="11.44140625" bestFit="1" customWidth="1"/>
    <col min="11343" max="11343" width="11.27734375" customWidth="1"/>
    <col min="11344" max="11344" width="10" customWidth="1"/>
    <col min="11345" max="11345" width="9.71875" customWidth="1"/>
    <col min="11349" max="11349" width="10.1640625" bestFit="1" customWidth="1"/>
    <col min="11350" max="11353" width="9.27734375" bestFit="1" customWidth="1"/>
    <col min="11354" max="11354" width="9.5546875" customWidth="1"/>
    <col min="11355" max="11357" width="9.27734375" bestFit="1" customWidth="1"/>
    <col min="11358" max="11358" width="9.83203125" bestFit="1" customWidth="1"/>
    <col min="11359" max="11367" width="9.27734375" bestFit="1" customWidth="1"/>
    <col min="11368" max="11368" width="24.71875" customWidth="1"/>
    <col min="11369" max="11373" width="9.27734375" bestFit="1" customWidth="1"/>
    <col min="11374" max="11374" width="9.83203125" bestFit="1" customWidth="1"/>
    <col min="11376" max="11376" width="4.1640625" customWidth="1"/>
    <col min="11377" max="11377" width="9.27734375" customWidth="1"/>
    <col min="11378" max="11378" width="4.1640625" customWidth="1"/>
    <col min="11379" max="11379" width="5.71875" customWidth="1"/>
    <col min="11522" max="11522" width="7" customWidth="1"/>
    <col min="11523" max="11523" width="0" hidden="1" customWidth="1"/>
    <col min="11524" max="11525" width="16.83203125" customWidth="1"/>
    <col min="11526" max="11526" width="14.1640625" customWidth="1"/>
    <col min="11527" max="11527" width="13.71875" customWidth="1"/>
    <col min="11528" max="11528" width="11.71875" customWidth="1"/>
    <col min="11529" max="11529" width="12.27734375" customWidth="1"/>
    <col min="11530" max="11530" width="11.71875" customWidth="1"/>
    <col min="11531" max="11531" width="13.27734375" customWidth="1"/>
    <col min="11532" max="11533" width="8.71875" customWidth="1"/>
    <col min="11534" max="11534" width="14.44140625" bestFit="1" customWidth="1"/>
    <col min="11535" max="11535" width="0" hidden="1" customWidth="1"/>
    <col min="11536" max="11536" width="14.1640625" bestFit="1" customWidth="1"/>
    <col min="11582" max="11582" width="10.27734375" customWidth="1"/>
    <col min="11583" max="11583" width="10.1640625" customWidth="1"/>
    <col min="11596" max="11596" width="20.44140625" customWidth="1"/>
    <col min="11597" max="11598" width="11.44140625" bestFit="1" customWidth="1"/>
    <col min="11599" max="11599" width="11.27734375" customWidth="1"/>
    <col min="11600" max="11600" width="10" customWidth="1"/>
    <col min="11601" max="11601" width="9.71875" customWidth="1"/>
    <col min="11605" max="11605" width="10.1640625" bestFit="1" customWidth="1"/>
    <col min="11606" max="11609" width="9.27734375" bestFit="1" customWidth="1"/>
    <col min="11610" max="11610" width="9.5546875" customWidth="1"/>
    <col min="11611" max="11613" width="9.27734375" bestFit="1" customWidth="1"/>
    <col min="11614" max="11614" width="9.83203125" bestFit="1" customWidth="1"/>
    <col min="11615" max="11623" width="9.27734375" bestFit="1" customWidth="1"/>
    <col min="11624" max="11624" width="24.71875" customWidth="1"/>
    <col min="11625" max="11629" width="9.27734375" bestFit="1" customWidth="1"/>
    <col min="11630" max="11630" width="9.83203125" bestFit="1" customWidth="1"/>
    <col min="11632" max="11632" width="4.1640625" customWidth="1"/>
    <col min="11633" max="11633" width="9.27734375" customWidth="1"/>
    <col min="11634" max="11634" width="4.1640625" customWidth="1"/>
    <col min="11635" max="11635" width="5.71875" customWidth="1"/>
    <col min="11778" max="11778" width="7" customWidth="1"/>
    <col min="11779" max="11779" width="0" hidden="1" customWidth="1"/>
    <col min="11780" max="11781" width="16.83203125" customWidth="1"/>
    <col min="11782" max="11782" width="14.1640625" customWidth="1"/>
    <col min="11783" max="11783" width="13.71875" customWidth="1"/>
    <col min="11784" max="11784" width="11.71875" customWidth="1"/>
    <col min="11785" max="11785" width="12.27734375" customWidth="1"/>
    <col min="11786" max="11786" width="11.71875" customWidth="1"/>
    <col min="11787" max="11787" width="13.27734375" customWidth="1"/>
    <col min="11788" max="11789" width="8.71875" customWidth="1"/>
    <col min="11790" max="11790" width="14.44140625" bestFit="1" customWidth="1"/>
    <col min="11791" max="11791" width="0" hidden="1" customWidth="1"/>
    <col min="11792" max="11792" width="14.1640625" bestFit="1" customWidth="1"/>
    <col min="11838" max="11838" width="10.27734375" customWidth="1"/>
    <col min="11839" max="11839" width="10.1640625" customWidth="1"/>
    <col min="11852" max="11852" width="20.44140625" customWidth="1"/>
    <col min="11853" max="11854" width="11.44140625" bestFit="1" customWidth="1"/>
    <col min="11855" max="11855" width="11.27734375" customWidth="1"/>
    <col min="11856" max="11856" width="10" customWidth="1"/>
    <col min="11857" max="11857" width="9.71875" customWidth="1"/>
    <col min="11861" max="11861" width="10.1640625" bestFit="1" customWidth="1"/>
    <col min="11862" max="11865" width="9.27734375" bestFit="1" customWidth="1"/>
    <col min="11866" max="11866" width="9.5546875" customWidth="1"/>
    <col min="11867" max="11869" width="9.27734375" bestFit="1" customWidth="1"/>
    <col min="11870" max="11870" width="9.83203125" bestFit="1" customWidth="1"/>
    <col min="11871" max="11879" width="9.27734375" bestFit="1" customWidth="1"/>
    <col min="11880" max="11880" width="24.71875" customWidth="1"/>
    <col min="11881" max="11885" width="9.27734375" bestFit="1" customWidth="1"/>
    <col min="11886" max="11886" width="9.83203125" bestFit="1" customWidth="1"/>
    <col min="11888" max="11888" width="4.1640625" customWidth="1"/>
    <col min="11889" max="11889" width="9.27734375" customWidth="1"/>
    <col min="11890" max="11890" width="4.1640625" customWidth="1"/>
    <col min="11891" max="11891" width="5.71875" customWidth="1"/>
    <col min="12034" max="12034" width="7" customWidth="1"/>
    <col min="12035" max="12035" width="0" hidden="1" customWidth="1"/>
    <col min="12036" max="12037" width="16.83203125" customWidth="1"/>
    <col min="12038" max="12038" width="14.1640625" customWidth="1"/>
    <col min="12039" max="12039" width="13.71875" customWidth="1"/>
    <col min="12040" max="12040" width="11.71875" customWidth="1"/>
    <col min="12041" max="12041" width="12.27734375" customWidth="1"/>
    <col min="12042" max="12042" width="11.71875" customWidth="1"/>
    <col min="12043" max="12043" width="13.27734375" customWidth="1"/>
    <col min="12044" max="12045" width="8.71875" customWidth="1"/>
    <col min="12046" max="12046" width="14.44140625" bestFit="1" customWidth="1"/>
    <col min="12047" max="12047" width="0" hidden="1" customWidth="1"/>
    <col min="12048" max="12048" width="14.1640625" bestFit="1" customWidth="1"/>
    <col min="12094" max="12094" width="10.27734375" customWidth="1"/>
    <col min="12095" max="12095" width="10.1640625" customWidth="1"/>
    <col min="12108" max="12108" width="20.44140625" customWidth="1"/>
    <col min="12109" max="12110" width="11.44140625" bestFit="1" customWidth="1"/>
    <col min="12111" max="12111" width="11.27734375" customWidth="1"/>
    <col min="12112" max="12112" width="10" customWidth="1"/>
    <col min="12113" max="12113" width="9.71875" customWidth="1"/>
    <col min="12117" max="12117" width="10.1640625" bestFit="1" customWidth="1"/>
    <col min="12118" max="12121" width="9.27734375" bestFit="1" customWidth="1"/>
    <col min="12122" max="12122" width="9.5546875" customWidth="1"/>
    <col min="12123" max="12125" width="9.27734375" bestFit="1" customWidth="1"/>
    <col min="12126" max="12126" width="9.83203125" bestFit="1" customWidth="1"/>
    <col min="12127" max="12135" width="9.27734375" bestFit="1" customWidth="1"/>
    <col min="12136" max="12136" width="24.71875" customWidth="1"/>
    <col min="12137" max="12141" width="9.27734375" bestFit="1" customWidth="1"/>
    <col min="12142" max="12142" width="9.83203125" bestFit="1" customWidth="1"/>
    <col min="12144" max="12144" width="4.1640625" customWidth="1"/>
    <col min="12145" max="12145" width="9.27734375" customWidth="1"/>
    <col min="12146" max="12146" width="4.1640625" customWidth="1"/>
    <col min="12147" max="12147" width="5.71875" customWidth="1"/>
    <col min="12290" max="12290" width="7" customWidth="1"/>
    <col min="12291" max="12291" width="0" hidden="1" customWidth="1"/>
    <col min="12292" max="12293" width="16.83203125" customWidth="1"/>
    <col min="12294" max="12294" width="14.1640625" customWidth="1"/>
    <col min="12295" max="12295" width="13.71875" customWidth="1"/>
    <col min="12296" max="12296" width="11.71875" customWidth="1"/>
    <col min="12297" max="12297" width="12.27734375" customWidth="1"/>
    <col min="12298" max="12298" width="11.71875" customWidth="1"/>
    <col min="12299" max="12299" width="13.27734375" customWidth="1"/>
    <col min="12300" max="12301" width="8.71875" customWidth="1"/>
    <col min="12302" max="12302" width="14.44140625" bestFit="1" customWidth="1"/>
    <col min="12303" max="12303" width="0" hidden="1" customWidth="1"/>
    <col min="12304" max="12304" width="14.1640625" bestFit="1" customWidth="1"/>
    <col min="12350" max="12350" width="10.27734375" customWidth="1"/>
    <col min="12351" max="12351" width="10.1640625" customWidth="1"/>
    <col min="12364" max="12364" width="20.44140625" customWidth="1"/>
    <col min="12365" max="12366" width="11.44140625" bestFit="1" customWidth="1"/>
    <col min="12367" max="12367" width="11.27734375" customWidth="1"/>
    <col min="12368" max="12368" width="10" customWidth="1"/>
    <col min="12369" max="12369" width="9.71875" customWidth="1"/>
    <col min="12373" max="12373" width="10.1640625" bestFit="1" customWidth="1"/>
    <col min="12374" max="12377" width="9.27734375" bestFit="1" customWidth="1"/>
    <col min="12378" max="12378" width="9.5546875" customWidth="1"/>
    <col min="12379" max="12381" width="9.27734375" bestFit="1" customWidth="1"/>
    <col min="12382" max="12382" width="9.83203125" bestFit="1" customWidth="1"/>
    <col min="12383" max="12391" width="9.27734375" bestFit="1" customWidth="1"/>
    <col min="12392" max="12392" width="24.71875" customWidth="1"/>
    <col min="12393" max="12397" width="9.27734375" bestFit="1" customWidth="1"/>
    <col min="12398" max="12398" width="9.83203125" bestFit="1" customWidth="1"/>
    <col min="12400" max="12400" width="4.1640625" customWidth="1"/>
    <col min="12401" max="12401" width="9.27734375" customWidth="1"/>
    <col min="12402" max="12402" width="4.1640625" customWidth="1"/>
    <col min="12403" max="12403" width="5.71875" customWidth="1"/>
    <col min="12546" max="12546" width="7" customWidth="1"/>
    <col min="12547" max="12547" width="0" hidden="1" customWidth="1"/>
    <col min="12548" max="12549" width="16.83203125" customWidth="1"/>
    <col min="12550" max="12550" width="14.1640625" customWidth="1"/>
    <col min="12551" max="12551" width="13.71875" customWidth="1"/>
    <col min="12552" max="12552" width="11.71875" customWidth="1"/>
    <col min="12553" max="12553" width="12.27734375" customWidth="1"/>
    <col min="12554" max="12554" width="11.71875" customWidth="1"/>
    <col min="12555" max="12555" width="13.27734375" customWidth="1"/>
    <col min="12556" max="12557" width="8.71875" customWidth="1"/>
    <col min="12558" max="12558" width="14.44140625" bestFit="1" customWidth="1"/>
    <col min="12559" max="12559" width="0" hidden="1" customWidth="1"/>
    <col min="12560" max="12560" width="14.1640625" bestFit="1" customWidth="1"/>
    <col min="12606" max="12606" width="10.27734375" customWidth="1"/>
    <col min="12607" max="12607" width="10.1640625" customWidth="1"/>
    <col min="12620" max="12620" width="20.44140625" customWidth="1"/>
    <col min="12621" max="12622" width="11.44140625" bestFit="1" customWidth="1"/>
    <col min="12623" max="12623" width="11.27734375" customWidth="1"/>
    <col min="12624" max="12624" width="10" customWidth="1"/>
    <col min="12625" max="12625" width="9.71875" customWidth="1"/>
    <col min="12629" max="12629" width="10.1640625" bestFit="1" customWidth="1"/>
    <col min="12630" max="12633" width="9.27734375" bestFit="1" customWidth="1"/>
    <col min="12634" max="12634" width="9.5546875" customWidth="1"/>
    <col min="12635" max="12637" width="9.27734375" bestFit="1" customWidth="1"/>
    <col min="12638" max="12638" width="9.83203125" bestFit="1" customWidth="1"/>
    <col min="12639" max="12647" width="9.27734375" bestFit="1" customWidth="1"/>
    <col min="12648" max="12648" width="24.71875" customWidth="1"/>
    <col min="12649" max="12653" width="9.27734375" bestFit="1" customWidth="1"/>
    <col min="12654" max="12654" width="9.83203125" bestFit="1" customWidth="1"/>
    <col min="12656" max="12656" width="4.1640625" customWidth="1"/>
    <col min="12657" max="12657" width="9.27734375" customWidth="1"/>
    <col min="12658" max="12658" width="4.1640625" customWidth="1"/>
    <col min="12659" max="12659" width="5.71875" customWidth="1"/>
    <col min="12802" max="12802" width="7" customWidth="1"/>
    <col min="12803" max="12803" width="0" hidden="1" customWidth="1"/>
    <col min="12804" max="12805" width="16.83203125" customWidth="1"/>
    <col min="12806" max="12806" width="14.1640625" customWidth="1"/>
    <col min="12807" max="12807" width="13.71875" customWidth="1"/>
    <col min="12808" max="12808" width="11.71875" customWidth="1"/>
    <col min="12809" max="12809" width="12.27734375" customWidth="1"/>
    <col min="12810" max="12810" width="11.71875" customWidth="1"/>
    <col min="12811" max="12811" width="13.27734375" customWidth="1"/>
    <col min="12812" max="12813" width="8.71875" customWidth="1"/>
    <col min="12814" max="12814" width="14.44140625" bestFit="1" customWidth="1"/>
    <col min="12815" max="12815" width="0" hidden="1" customWidth="1"/>
    <col min="12816" max="12816" width="14.1640625" bestFit="1" customWidth="1"/>
    <col min="12862" max="12862" width="10.27734375" customWidth="1"/>
    <col min="12863" max="12863" width="10.1640625" customWidth="1"/>
    <col min="12876" max="12876" width="20.44140625" customWidth="1"/>
    <col min="12877" max="12878" width="11.44140625" bestFit="1" customWidth="1"/>
    <col min="12879" max="12879" width="11.27734375" customWidth="1"/>
    <col min="12880" max="12880" width="10" customWidth="1"/>
    <col min="12881" max="12881" width="9.71875" customWidth="1"/>
    <col min="12885" max="12885" width="10.1640625" bestFit="1" customWidth="1"/>
    <col min="12886" max="12889" width="9.27734375" bestFit="1" customWidth="1"/>
    <col min="12890" max="12890" width="9.5546875" customWidth="1"/>
    <col min="12891" max="12893" width="9.27734375" bestFit="1" customWidth="1"/>
    <col min="12894" max="12894" width="9.83203125" bestFit="1" customWidth="1"/>
    <col min="12895" max="12903" width="9.27734375" bestFit="1" customWidth="1"/>
    <col min="12904" max="12904" width="24.71875" customWidth="1"/>
    <col min="12905" max="12909" width="9.27734375" bestFit="1" customWidth="1"/>
    <col min="12910" max="12910" width="9.83203125" bestFit="1" customWidth="1"/>
    <col min="12912" max="12912" width="4.1640625" customWidth="1"/>
    <col min="12913" max="12913" width="9.27734375" customWidth="1"/>
    <col min="12914" max="12914" width="4.1640625" customWidth="1"/>
    <col min="12915" max="12915" width="5.71875" customWidth="1"/>
    <col min="13058" max="13058" width="7" customWidth="1"/>
    <col min="13059" max="13059" width="0" hidden="1" customWidth="1"/>
    <col min="13060" max="13061" width="16.83203125" customWidth="1"/>
    <col min="13062" max="13062" width="14.1640625" customWidth="1"/>
    <col min="13063" max="13063" width="13.71875" customWidth="1"/>
    <col min="13064" max="13064" width="11.71875" customWidth="1"/>
    <col min="13065" max="13065" width="12.27734375" customWidth="1"/>
    <col min="13066" max="13066" width="11.71875" customWidth="1"/>
    <col min="13067" max="13067" width="13.27734375" customWidth="1"/>
    <col min="13068" max="13069" width="8.71875" customWidth="1"/>
    <col min="13070" max="13070" width="14.44140625" bestFit="1" customWidth="1"/>
    <col min="13071" max="13071" width="0" hidden="1" customWidth="1"/>
    <col min="13072" max="13072" width="14.1640625" bestFit="1" customWidth="1"/>
    <col min="13118" max="13118" width="10.27734375" customWidth="1"/>
    <col min="13119" max="13119" width="10.1640625" customWidth="1"/>
    <col min="13132" max="13132" width="20.44140625" customWidth="1"/>
    <col min="13133" max="13134" width="11.44140625" bestFit="1" customWidth="1"/>
    <col min="13135" max="13135" width="11.27734375" customWidth="1"/>
    <col min="13136" max="13136" width="10" customWidth="1"/>
    <col min="13137" max="13137" width="9.71875" customWidth="1"/>
    <col min="13141" max="13141" width="10.1640625" bestFit="1" customWidth="1"/>
    <col min="13142" max="13145" width="9.27734375" bestFit="1" customWidth="1"/>
    <col min="13146" max="13146" width="9.5546875" customWidth="1"/>
    <col min="13147" max="13149" width="9.27734375" bestFit="1" customWidth="1"/>
    <col min="13150" max="13150" width="9.83203125" bestFit="1" customWidth="1"/>
    <col min="13151" max="13159" width="9.27734375" bestFit="1" customWidth="1"/>
    <col min="13160" max="13160" width="24.71875" customWidth="1"/>
    <col min="13161" max="13165" width="9.27734375" bestFit="1" customWidth="1"/>
    <col min="13166" max="13166" width="9.83203125" bestFit="1" customWidth="1"/>
    <col min="13168" max="13168" width="4.1640625" customWidth="1"/>
    <col min="13169" max="13169" width="9.27734375" customWidth="1"/>
    <col min="13170" max="13170" width="4.1640625" customWidth="1"/>
    <col min="13171" max="13171" width="5.71875" customWidth="1"/>
    <col min="13314" max="13314" width="7" customWidth="1"/>
    <col min="13315" max="13315" width="0" hidden="1" customWidth="1"/>
    <col min="13316" max="13317" width="16.83203125" customWidth="1"/>
    <col min="13318" max="13318" width="14.1640625" customWidth="1"/>
    <col min="13319" max="13319" width="13.71875" customWidth="1"/>
    <col min="13320" max="13320" width="11.71875" customWidth="1"/>
    <col min="13321" max="13321" width="12.27734375" customWidth="1"/>
    <col min="13322" max="13322" width="11.71875" customWidth="1"/>
    <col min="13323" max="13323" width="13.27734375" customWidth="1"/>
    <col min="13324" max="13325" width="8.71875" customWidth="1"/>
    <col min="13326" max="13326" width="14.44140625" bestFit="1" customWidth="1"/>
    <col min="13327" max="13327" width="0" hidden="1" customWidth="1"/>
    <col min="13328" max="13328" width="14.1640625" bestFit="1" customWidth="1"/>
    <col min="13374" max="13374" width="10.27734375" customWidth="1"/>
    <col min="13375" max="13375" width="10.1640625" customWidth="1"/>
    <col min="13388" max="13388" width="20.44140625" customWidth="1"/>
    <col min="13389" max="13390" width="11.44140625" bestFit="1" customWidth="1"/>
    <col min="13391" max="13391" width="11.27734375" customWidth="1"/>
    <col min="13392" max="13392" width="10" customWidth="1"/>
    <col min="13393" max="13393" width="9.71875" customWidth="1"/>
    <col min="13397" max="13397" width="10.1640625" bestFit="1" customWidth="1"/>
    <col min="13398" max="13401" width="9.27734375" bestFit="1" customWidth="1"/>
    <col min="13402" max="13402" width="9.5546875" customWidth="1"/>
    <col min="13403" max="13405" width="9.27734375" bestFit="1" customWidth="1"/>
    <col min="13406" max="13406" width="9.83203125" bestFit="1" customWidth="1"/>
    <col min="13407" max="13415" width="9.27734375" bestFit="1" customWidth="1"/>
    <col min="13416" max="13416" width="24.71875" customWidth="1"/>
    <col min="13417" max="13421" width="9.27734375" bestFit="1" customWidth="1"/>
    <col min="13422" max="13422" width="9.83203125" bestFit="1" customWidth="1"/>
    <col min="13424" max="13424" width="4.1640625" customWidth="1"/>
    <col min="13425" max="13425" width="9.27734375" customWidth="1"/>
    <col min="13426" max="13426" width="4.1640625" customWidth="1"/>
    <col min="13427" max="13427" width="5.71875" customWidth="1"/>
    <col min="13570" max="13570" width="7" customWidth="1"/>
    <col min="13571" max="13571" width="0" hidden="1" customWidth="1"/>
    <col min="13572" max="13573" width="16.83203125" customWidth="1"/>
    <col min="13574" max="13574" width="14.1640625" customWidth="1"/>
    <col min="13575" max="13575" width="13.71875" customWidth="1"/>
    <col min="13576" max="13576" width="11.71875" customWidth="1"/>
    <col min="13577" max="13577" width="12.27734375" customWidth="1"/>
    <col min="13578" max="13578" width="11.71875" customWidth="1"/>
    <col min="13579" max="13579" width="13.27734375" customWidth="1"/>
    <col min="13580" max="13581" width="8.71875" customWidth="1"/>
    <col min="13582" max="13582" width="14.44140625" bestFit="1" customWidth="1"/>
    <col min="13583" max="13583" width="0" hidden="1" customWidth="1"/>
    <col min="13584" max="13584" width="14.1640625" bestFit="1" customWidth="1"/>
    <col min="13630" max="13630" width="10.27734375" customWidth="1"/>
    <col min="13631" max="13631" width="10.1640625" customWidth="1"/>
    <col min="13644" max="13644" width="20.44140625" customWidth="1"/>
    <col min="13645" max="13646" width="11.44140625" bestFit="1" customWidth="1"/>
    <col min="13647" max="13647" width="11.27734375" customWidth="1"/>
    <col min="13648" max="13648" width="10" customWidth="1"/>
    <col min="13649" max="13649" width="9.71875" customWidth="1"/>
    <col min="13653" max="13653" width="10.1640625" bestFit="1" customWidth="1"/>
    <col min="13654" max="13657" width="9.27734375" bestFit="1" customWidth="1"/>
    <col min="13658" max="13658" width="9.5546875" customWidth="1"/>
    <col min="13659" max="13661" width="9.27734375" bestFit="1" customWidth="1"/>
    <col min="13662" max="13662" width="9.83203125" bestFit="1" customWidth="1"/>
    <col min="13663" max="13671" width="9.27734375" bestFit="1" customWidth="1"/>
    <col min="13672" max="13672" width="24.71875" customWidth="1"/>
    <col min="13673" max="13677" width="9.27734375" bestFit="1" customWidth="1"/>
    <col min="13678" max="13678" width="9.83203125" bestFit="1" customWidth="1"/>
    <col min="13680" max="13680" width="4.1640625" customWidth="1"/>
    <col min="13681" max="13681" width="9.27734375" customWidth="1"/>
    <col min="13682" max="13682" width="4.1640625" customWidth="1"/>
    <col min="13683" max="13683" width="5.71875" customWidth="1"/>
    <col min="13826" max="13826" width="7" customWidth="1"/>
    <col min="13827" max="13827" width="0" hidden="1" customWidth="1"/>
    <col min="13828" max="13829" width="16.83203125" customWidth="1"/>
    <col min="13830" max="13830" width="14.1640625" customWidth="1"/>
    <col min="13831" max="13831" width="13.71875" customWidth="1"/>
    <col min="13832" max="13832" width="11.71875" customWidth="1"/>
    <col min="13833" max="13833" width="12.27734375" customWidth="1"/>
    <col min="13834" max="13834" width="11.71875" customWidth="1"/>
    <col min="13835" max="13835" width="13.27734375" customWidth="1"/>
    <col min="13836" max="13837" width="8.71875" customWidth="1"/>
    <col min="13838" max="13838" width="14.44140625" bestFit="1" customWidth="1"/>
    <col min="13839" max="13839" width="0" hidden="1" customWidth="1"/>
    <col min="13840" max="13840" width="14.1640625" bestFit="1" customWidth="1"/>
    <col min="13886" max="13886" width="10.27734375" customWidth="1"/>
    <col min="13887" max="13887" width="10.1640625" customWidth="1"/>
    <col min="13900" max="13900" width="20.44140625" customWidth="1"/>
    <col min="13901" max="13902" width="11.44140625" bestFit="1" customWidth="1"/>
    <col min="13903" max="13903" width="11.27734375" customWidth="1"/>
    <col min="13904" max="13904" width="10" customWidth="1"/>
    <col min="13905" max="13905" width="9.71875" customWidth="1"/>
    <col min="13909" max="13909" width="10.1640625" bestFit="1" customWidth="1"/>
    <col min="13910" max="13913" width="9.27734375" bestFit="1" customWidth="1"/>
    <col min="13914" max="13914" width="9.5546875" customWidth="1"/>
    <col min="13915" max="13917" width="9.27734375" bestFit="1" customWidth="1"/>
    <col min="13918" max="13918" width="9.83203125" bestFit="1" customWidth="1"/>
    <col min="13919" max="13927" width="9.27734375" bestFit="1" customWidth="1"/>
    <col min="13928" max="13928" width="24.71875" customWidth="1"/>
    <col min="13929" max="13933" width="9.27734375" bestFit="1" customWidth="1"/>
    <col min="13934" max="13934" width="9.83203125" bestFit="1" customWidth="1"/>
    <col min="13936" max="13936" width="4.1640625" customWidth="1"/>
    <col min="13937" max="13937" width="9.27734375" customWidth="1"/>
    <col min="13938" max="13938" width="4.1640625" customWidth="1"/>
    <col min="13939" max="13939" width="5.71875" customWidth="1"/>
    <col min="14082" max="14082" width="7" customWidth="1"/>
    <col min="14083" max="14083" width="0" hidden="1" customWidth="1"/>
    <col min="14084" max="14085" width="16.83203125" customWidth="1"/>
    <col min="14086" max="14086" width="14.1640625" customWidth="1"/>
    <col min="14087" max="14087" width="13.71875" customWidth="1"/>
    <col min="14088" max="14088" width="11.71875" customWidth="1"/>
    <col min="14089" max="14089" width="12.27734375" customWidth="1"/>
    <col min="14090" max="14090" width="11.71875" customWidth="1"/>
    <col min="14091" max="14091" width="13.27734375" customWidth="1"/>
    <col min="14092" max="14093" width="8.71875" customWidth="1"/>
    <col min="14094" max="14094" width="14.44140625" bestFit="1" customWidth="1"/>
    <col min="14095" max="14095" width="0" hidden="1" customWidth="1"/>
    <col min="14096" max="14096" width="14.1640625" bestFit="1" customWidth="1"/>
    <col min="14142" max="14142" width="10.27734375" customWidth="1"/>
    <col min="14143" max="14143" width="10.1640625" customWidth="1"/>
    <col min="14156" max="14156" width="20.44140625" customWidth="1"/>
    <col min="14157" max="14158" width="11.44140625" bestFit="1" customWidth="1"/>
    <col min="14159" max="14159" width="11.27734375" customWidth="1"/>
    <col min="14160" max="14160" width="10" customWidth="1"/>
    <col min="14161" max="14161" width="9.71875" customWidth="1"/>
    <col min="14165" max="14165" width="10.1640625" bestFit="1" customWidth="1"/>
    <col min="14166" max="14169" width="9.27734375" bestFit="1" customWidth="1"/>
    <col min="14170" max="14170" width="9.5546875" customWidth="1"/>
    <col min="14171" max="14173" width="9.27734375" bestFit="1" customWidth="1"/>
    <col min="14174" max="14174" width="9.83203125" bestFit="1" customWidth="1"/>
    <col min="14175" max="14183" width="9.27734375" bestFit="1" customWidth="1"/>
    <col min="14184" max="14184" width="24.71875" customWidth="1"/>
    <col min="14185" max="14189" width="9.27734375" bestFit="1" customWidth="1"/>
    <col min="14190" max="14190" width="9.83203125" bestFit="1" customWidth="1"/>
    <col min="14192" max="14192" width="4.1640625" customWidth="1"/>
    <col min="14193" max="14193" width="9.27734375" customWidth="1"/>
    <col min="14194" max="14194" width="4.1640625" customWidth="1"/>
    <col min="14195" max="14195" width="5.71875" customWidth="1"/>
    <col min="14338" max="14338" width="7" customWidth="1"/>
    <col min="14339" max="14339" width="0" hidden="1" customWidth="1"/>
    <col min="14340" max="14341" width="16.83203125" customWidth="1"/>
    <col min="14342" max="14342" width="14.1640625" customWidth="1"/>
    <col min="14343" max="14343" width="13.71875" customWidth="1"/>
    <col min="14344" max="14344" width="11.71875" customWidth="1"/>
    <col min="14345" max="14345" width="12.27734375" customWidth="1"/>
    <col min="14346" max="14346" width="11.71875" customWidth="1"/>
    <col min="14347" max="14347" width="13.27734375" customWidth="1"/>
    <col min="14348" max="14349" width="8.71875" customWidth="1"/>
    <col min="14350" max="14350" width="14.44140625" bestFit="1" customWidth="1"/>
    <col min="14351" max="14351" width="0" hidden="1" customWidth="1"/>
    <col min="14352" max="14352" width="14.1640625" bestFit="1" customWidth="1"/>
    <col min="14398" max="14398" width="10.27734375" customWidth="1"/>
    <col min="14399" max="14399" width="10.1640625" customWidth="1"/>
    <col min="14412" max="14412" width="20.44140625" customWidth="1"/>
    <col min="14413" max="14414" width="11.44140625" bestFit="1" customWidth="1"/>
    <col min="14415" max="14415" width="11.27734375" customWidth="1"/>
    <col min="14416" max="14416" width="10" customWidth="1"/>
    <col min="14417" max="14417" width="9.71875" customWidth="1"/>
    <col min="14421" max="14421" width="10.1640625" bestFit="1" customWidth="1"/>
    <col min="14422" max="14425" width="9.27734375" bestFit="1" customWidth="1"/>
    <col min="14426" max="14426" width="9.5546875" customWidth="1"/>
    <col min="14427" max="14429" width="9.27734375" bestFit="1" customWidth="1"/>
    <col min="14430" max="14430" width="9.83203125" bestFit="1" customWidth="1"/>
    <col min="14431" max="14439" width="9.27734375" bestFit="1" customWidth="1"/>
    <col min="14440" max="14440" width="24.71875" customWidth="1"/>
    <col min="14441" max="14445" width="9.27734375" bestFit="1" customWidth="1"/>
    <col min="14446" max="14446" width="9.83203125" bestFit="1" customWidth="1"/>
    <col min="14448" max="14448" width="4.1640625" customWidth="1"/>
    <col min="14449" max="14449" width="9.27734375" customWidth="1"/>
    <col min="14450" max="14450" width="4.1640625" customWidth="1"/>
    <col min="14451" max="14451" width="5.71875" customWidth="1"/>
    <col min="14594" max="14594" width="7" customWidth="1"/>
    <col min="14595" max="14595" width="0" hidden="1" customWidth="1"/>
    <col min="14596" max="14597" width="16.83203125" customWidth="1"/>
    <col min="14598" max="14598" width="14.1640625" customWidth="1"/>
    <col min="14599" max="14599" width="13.71875" customWidth="1"/>
    <col min="14600" max="14600" width="11.71875" customWidth="1"/>
    <col min="14601" max="14601" width="12.27734375" customWidth="1"/>
    <col min="14602" max="14602" width="11.71875" customWidth="1"/>
    <col min="14603" max="14603" width="13.27734375" customWidth="1"/>
    <col min="14604" max="14605" width="8.71875" customWidth="1"/>
    <col min="14606" max="14606" width="14.44140625" bestFit="1" customWidth="1"/>
    <col min="14607" max="14607" width="0" hidden="1" customWidth="1"/>
    <col min="14608" max="14608" width="14.1640625" bestFit="1" customWidth="1"/>
    <col min="14654" max="14654" width="10.27734375" customWidth="1"/>
    <col min="14655" max="14655" width="10.1640625" customWidth="1"/>
    <col min="14668" max="14668" width="20.44140625" customWidth="1"/>
    <col min="14669" max="14670" width="11.44140625" bestFit="1" customWidth="1"/>
    <col min="14671" max="14671" width="11.27734375" customWidth="1"/>
    <col min="14672" max="14672" width="10" customWidth="1"/>
    <col min="14673" max="14673" width="9.71875" customWidth="1"/>
    <col min="14677" max="14677" width="10.1640625" bestFit="1" customWidth="1"/>
    <col min="14678" max="14681" width="9.27734375" bestFit="1" customWidth="1"/>
    <col min="14682" max="14682" width="9.5546875" customWidth="1"/>
    <col min="14683" max="14685" width="9.27734375" bestFit="1" customWidth="1"/>
    <col min="14686" max="14686" width="9.83203125" bestFit="1" customWidth="1"/>
    <col min="14687" max="14695" width="9.27734375" bestFit="1" customWidth="1"/>
    <col min="14696" max="14696" width="24.71875" customWidth="1"/>
    <col min="14697" max="14701" width="9.27734375" bestFit="1" customWidth="1"/>
    <col min="14702" max="14702" width="9.83203125" bestFit="1" customWidth="1"/>
    <col min="14704" max="14704" width="4.1640625" customWidth="1"/>
    <col min="14705" max="14705" width="9.27734375" customWidth="1"/>
    <col min="14706" max="14706" width="4.1640625" customWidth="1"/>
    <col min="14707" max="14707" width="5.71875" customWidth="1"/>
    <col min="14850" max="14850" width="7" customWidth="1"/>
    <col min="14851" max="14851" width="0" hidden="1" customWidth="1"/>
    <col min="14852" max="14853" width="16.83203125" customWidth="1"/>
    <col min="14854" max="14854" width="14.1640625" customWidth="1"/>
    <col min="14855" max="14855" width="13.71875" customWidth="1"/>
    <col min="14856" max="14856" width="11.71875" customWidth="1"/>
    <col min="14857" max="14857" width="12.27734375" customWidth="1"/>
    <col min="14858" max="14858" width="11.71875" customWidth="1"/>
    <col min="14859" max="14859" width="13.27734375" customWidth="1"/>
    <col min="14860" max="14861" width="8.71875" customWidth="1"/>
    <col min="14862" max="14862" width="14.44140625" bestFit="1" customWidth="1"/>
    <col min="14863" max="14863" width="0" hidden="1" customWidth="1"/>
    <col min="14864" max="14864" width="14.1640625" bestFit="1" customWidth="1"/>
    <col min="14910" max="14910" width="10.27734375" customWidth="1"/>
    <col min="14911" max="14911" width="10.1640625" customWidth="1"/>
    <col min="14924" max="14924" width="20.44140625" customWidth="1"/>
    <col min="14925" max="14926" width="11.44140625" bestFit="1" customWidth="1"/>
    <col min="14927" max="14927" width="11.27734375" customWidth="1"/>
    <col min="14928" max="14928" width="10" customWidth="1"/>
    <col min="14929" max="14929" width="9.71875" customWidth="1"/>
    <col min="14933" max="14933" width="10.1640625" bestFit="1" customWidth="1"/>
    <col min="14934" max="14937" width="9.27734375" bestFit="1" customWidth="1"/>
    <col min="14938" max="14938" width="9.5546875" customWidth="1"/>
    <col min="14939" max="14941" width="9.27734375" bestFit="1" customWidth="1"/>
    <col min="14942" max="14942" width="9.83203125" bestFit="1" customWidth="1"/>
    <col min="14943" max="14951" width="9.27734375" bestFit="1" customWidth="1"/>
    <col min="14952" max="14952" width="24.71875" customWidth="1"/>
    <col min="14953" max="14957" width="9.27734375" bestFit="1" customWidth="1"/>
    <col min="14958" max="14958" width="9.83203125" bestFit="1" customWidth="1"/>
    <col min="14960" max="14960" width="4.1640625" customWidth="1"/>
    <col min="14961" max="14961" width="9.27734375" customWidth="1"/>
    <col min="14962" max="14962" width="4.1640625" customWidth="1"/>
    <col min="14963" max="14963" width="5.71875" customWidth="1"/>
    <col min="15106" max="15106" width="7" customWidth="1"/>
    <col min="15107" max="15107" width="0" hidden="1" customWidth="1"/>
    <col min="15108" max="15109" width="16.83203125" customWidth="1"/>
    <col min="15110" max="15110" width="14.1640625" customWidth="1"/>
    <col min="15111" max="15111" width="13.71875" customWidth="1"/>
    <col min="15112" max="15112" width="11.71875" customWidth="1"/>
    <col min="15113" max="15113" width="12.27734375" customWidth="1"/>
    <col min="15114" max="15114" width="11.71875" customWidth="1"/>
    <col min="15115" max="15115" width="13.27734375" customWidth="1"/>
    <col min="15116" max="15117" width="8.71875" customWidth="1"/>
    <col min="15118" max="15118" width="14.44140625" bestFit="1" customWidth="1"/>
    <col min="15119" max="15119" width="0" hidden="1" customWidth="1"/>
    <col min="15120" max="15120" width="14.1640625" bestFit="1" customWidth="1"/>
    <col min="15166" max="15166" width="10.27734375" customWidth="1"/>
    <col min="15167" max="15167" width="10.1640625" customWidth="1"/>
    <col min="15180" max="15180" width="20.44140625" customWidth="1"/>
    <col min="15181" max="15182" width="11.44140625" bestFit="1" customWidth="1"/>
    <col min="15183" max="15183" width="11.27734375" customWidth="1"/>
    <col min="15184" max="15184" width="10" customWidth="1"/>
    <col min="15185" max="15185" width="9.71875" customWidth="1"/>
    <col min="15189" max="15189" width="10.1640625" bestFit="1" customWidth="1"/>
    <col min="15190" max="15193" width="9.27734375" bestFit="1" customWidth="1"/>
    <col min="15194" max="15194" width="9.5546875" customWidth="1"/>
    <col min="15195" max="15197" width="9.27734375" bestFit="1" customWidth="1"/>
    <col min="15198" max="15198" width="9.83203125" bestFit="1" customWidth="1"/>
    <col min="15199" max="15207" width="9.27734375" bestFit="1" customWidth="1"/>
    <col min="15208" max="15208" width="24.71875" customWidth="1"/>
    <col min="15209" max="15213" width="9.27734375" bestFit="1" customWidth="1"/>
    <col min="15214" max="15214" width="9.83203125" bestFit="1" customWidth="1"/>
    <col min="15216" max="15216" width="4.1640625" customWidth="1"/>
    <col min="15217" max="15217" width="9.27734375" customWidth="1"/>
    <col min="15218" max="15218" width="4.1640625" customWidth="1"/>
    <col min="15219" max="15219" width="5.71875" customWidth="1"/>
    <col min="15362" max="15362" width="7" customWidth="1"/>
    <col min="15363" max="15363" width="0" hidden="1" customWidth="1"/>
    <col min="15364" max="15365" width="16.83203125" customWidth="1"/>
    <col min="15366" max="15366" width="14.1640625" customWidth="1"/>
    <col min="15367" max="15367" width="13.71875" customWidth="1"/>
    <col min="15368" max="15368" width="11.71875" customWidth="1"/>
    <col min="15369" max="15369" width="12.27734375" customWidth="1"/>
    <col min="15370" max="15370" width="11.71875" customWidth="1"/>
    <col min="15371" max="15371" width="13.27734375" customWidth="1"/>
    <col min="15372" max="15373" width="8.71875" customWidth="1"/>
    <col min="15374" max="15374" width="14.44140625" bestFit="1" customWidth="1"/>
    <col min="15375" max="15375" width="0" hidden="1" customWidth="1"/>
    <col min="15376" max="15376" width="14.1640625" bestFit="1" customWidth="1"/>
    <col min="15422" max="15422" width="10.27734375" customWidth="1"/>
    <col min="15423" max="15423" width="10.1640625" customWidth="1"/>
    <col min="15436" max="15436" width="20.44140625" customWidth="1"/>
    <col min="15437" max="15438" width="11.44140625" bestFit="1" customWidth="1"/>
    <col min="15439" max="15439" width="11.27734375" customWidth="1"/>
    <col min="15440" max="15440" width="10" customWidth="1"/>
    <col min="15441" max="15441" width="9.71875" customWidth="1"/>
    <col min="15445" max="15445" width="10.1640625" bestFit="1" customWidth="1"/>
    <col min="15446" max="15449" width="9.27734375" bestFit="1" customWidth="1"/>
    <col min="15450" max="15450" width="9.5546875" customWidth="1"/>
    <col min="15451" max="15453" width="9.27734375" bestFit="1" customWidth="1"/>
    <col min="15454" max="15454" width="9.83203125" bestFit="1" customWidth="1"/>
    <col min="15455" max="15463" width="9.27734375" bestFit="1" customWidth="1"/>
    <col min="15464" max="15464" width="24.71875" customWidth="1"/>
    <col min="15465" max="15469" width="9.27734375" bestFit="1" customWidth="1"/>
    <col min="15470" max="15470" width="9.83203125" bestFit="1" customWidth="1"/>
    <col min="15472" max="15472" width="4.1640625" customWidth="1"/>
    <col min="15473" max="15473" width="9.27734375" customWidth="1"/>
    <col min="15474" max="15474" width="4.1640625" customWidth="1"/>
    <col min="15475" max="15475" width="5.71875" customWidth="1"/>
    <col min="15618" max="15618" width="7" customWidth="1"/>
    <col min="15619" max="15619" width="0" hidden="1" customWidth="1"/>
    <col min="15620" max="15621" width="16.83203125" customWidth="1"/>
    <col min="15622" max="15622" width="14.1640625" customWidth="1"/>
    <col min="15623" max="15623" width="13.71875" customWidth="1"/>
    <col min="15624" max="15624" width="11.71875" customWidth="1"/>
    <col min="15625" max="15625" width="12.27734375" customWidth="1"/>
    <col min="15626" max="15626" width="11.71875" customWidth="1"/>
    <col min="15627" max="15627" width="13.27734375" customWidth="1"/>
    <col min="15628" max="15629" width="8.71875" customWidth="1"/>
    <col min="15630" max="15630" width="14.44140625" bestFit="1" customWidth="1"/>
    <col min="15631" max="15631" width="0" hidden="1" customWidth="1"/>
    <col min="15632" max="15632" width="14.1640625" bestFit="1" customWidth="1"/>
    <col min="15678" max="15678" width="10.27734375" customWidth="1"/>
    <col min="15679" max="15679" width="10.1640625" customWidth="1"/>
    <col min="15692" max="15692" width="20.44140625" customWidth="1"/>
    <col min="15693" max="15694" width="11.44140625" bestFit="1" customWidth="1"/>
    <col min="15695" max="15695" width="11.27734375" customWidth="1"/>
    <col min="15696" max="15696" width="10" customWidth="1"/>
    <col min="15697" max="15697" width="9.71875" customWidth="1"/>
    <col min="15701" max="15701" width="10.1640625" bestFit="1" customWidth="1"/>
    <col min="15702" max="15705" width="9.27734375" bestFit="1" customWidth="1"/>
    <col min="15706" max="15706" width="9.5546875" customWidth="1"/>
    <col min="15707" max="15709" width="9.27734375" bestFit="1" customWidth="1"/>
    <col min="15710" max="15710" width="9.83203125" bestFit="1" customWidth="1"/>
    <col min="15711" max="15719" width="9.27734375" bestFit="1" customWidth="1"/>
    <col min="15720" max="15720" width="24.71875" customWidth="1"/>
    <col min="15721" max="15725" width="9.27734375" bestFit="1" customWidth="1"/>
    <col min="15726" max="15726" width="9.83203125" bestFit="1" customWidth="1"/>
    <col min="15728" max="15728" width="4.1640625" customWidth="1"/>
    <col min="15729" max="15729" width="9.27734375" customWidth="1"/>
    <col min="15730" max="15730" width="4.1640625" customWidth="1"/>
    <col min="15731" max="15731" width="5.71875" customWidth="1"/>
    <col min="15874" max="15874" width="7" customWidth="1"/>
    <col min="15875" max="15875" width="0" hidden="1" customWidth="1"/>
    <col min="15876" max="15877" width="16.83203125" customWidth="1"/>
    <col min="15878" max="15878" width="14.1640625" customWidth="1"/>
    <col min="15879" max="15879" width="13.71875" customWidth="1"/>
    <col min="15880" max="15880" width="11.71875" customWidth="1"/>
    <col min="15881" max="15881" width="12.27734375" customWidth="1"/>
    <col min="15882" max="15882" width="11.71875" customWidth="1"/>
    <col min="15883" max="15883" width="13.27734375" customWidth="1"/>
    <col min="15884" max="15885" width="8.71875" customWidth="1"/>
    <col min="15886" max="15886" width="14.44140625" bestFit="1" customWidth="1"/>
    <col min="15887" max="15887" width="0" hidden="1" customWidth="1"/>
    <col min="15888" max="15888" width="14.1640625" bestFit="1" customWidth="1"/>
    <col min="15934" max="15934" width="10.27734375" customWidth="1"/>
    <col min="15935" max="15935" width="10.1640625" customWidth="1"/>
    <col min="15948" max="15948" width="20.44140625" customWidth="1"/>
    <col min="15949" max="15950" width="11.44140625" bestFit="1" customWidth="1"/>
    <col min="15951" max="15951" width="11.27734375" customWidth="1"/>
    <col min="15952" max="15952" width="10" customWidth="1"/>
    <col min="15953" max="15953" width="9.71875" customWidth="1"/>
    <col min="15957" max="15957" width="10.1640625" bestFit="1" customWidth="1"/>
    <col min="15958" max="15961" width="9.27734375" bestFit="1" customWidth="1"/>
    <col min="15962" max="15962" width="9.5546875" customWidth="1"/>
    <col min="15963" max="15965" width="9.27734375" bestFit="1" customWidth="1"/>
    <col min="15966" max="15966" width="9.83203125" bestFit="1" customWidth="1"/>
    <col min="15967" max="15975" width="9.27734375" bestFit="1" customWidth="1"/>
    <col min="15976" max="15976" width="24.71875" customWidth="1"/>
    <col min="15977" max="15981" width="9.27734375" bestFit="1" customWidth="1"/>
    <col min="15982" max="15982" width="9.83203125" bestFit="1" customWidth="1"/>
    <col min="15984" max="15984" width="4.1640625" customWidth="1"/>
    <col min="15985" max="15985" width="9.27734375" customWidth="1"/>
    <col min="15986" max="15986" width="4.1640625" customWidth="1"/>
    <col min="15987" max="15987" width="5.71875" customWidth="1"/>
    <col min="16130" max="16130" width="7" customWidth="1"/>
    <col min="16131" max="16131" width="0" hidden="1" customWidth="1"/>
    <col min="16132" max="16133" width="16.83203125" customWidth="1"/>
    <col min="16134" max="16134" width="14.1640625" customWidth="1"/>
    <col min="16135" max="16135" width="13.71875" customWidth="1"/>
    <col min="16136" max="16136" width="11.71875" customWidth="1"/>
    <col min="16137" max="16137" width="12.27734375" customWidth="1"/>
    <col min="16138" max="16138" width="11.71875" customWidth="1"/>
    <col min="16139" max="16139" width="13.27734375" customWidth="1"/>
    <col min="16140" max="16141" width="8.71875" customWidth="1"/>
    <col min="16142" max="16142" width="14.44140625" bestFit="1" customWidth="1"/>
    <col min="16143" max="16143" width="0" hidden="1" customWidth="1"/>
    <col min="16144" max="16144" width="14.1640625" bestFit="1" customWidth="1"/>
    <col min="16190" max="16190" width="10.27734375" customWidth="1"/>
    <col min="16191" max="16191" width="10.1640625" customWidth="1"/>
    <col min="16204" max="16204" width="20.44140625" customWidth="1"/>
    <col min="16205" max="16206" width="11.44140625" bestFit="1" customWidth="1"/>
    <col min="16207" max="16207" width="11.27734375" customWidth="1"/>
    <col min="16208" max="16208" width="10" customWidth="1"/>
    <col min="16209" max="16209" width="9.71875" customWidth="1"/>
    <col min="16213" max="16213" width="10.1640625" bestFit="1" customWidth="1"/>
    <col min="16214" max="16217" width="9.27734375" bestFit="1" customWidth="1"/>
    <col min="16218" max="16218" width="9.5546875" customWidth="1"/>
    <col min="16219" max="16221" width="9.27734375" bestFit="1" customWidth="1"/>
    <col min="16222" max="16222" width="9.83203125" bestFit="1" customWidth="1"/>
    <col min="16223" max="16231" width="9.27734375" bestFit="1" customWidth="1"/>
    <col min="16232" max="16232" width="24.71875" customWidth="1"/>
    <col min="16233" max="16237" width="9.27734375" bestFit="1" customWidth="1"/>
    <col min="16238" max="16238" width="9.83203125" bestFit="1" customWidth="1"/>
    <col min="16240" max="16240" width="4.1640625" customWidth="1"/>
    <col min="16241" max="16241" width="9.27734375" customWidth="1"/>
    <col min="16242" max="16242" width="4.1640625" customWidth="1"/>
    <col min="16243" max="16243" width="5.71875" customWidth="1"/>
  </cols>
  <sheetData>
    <row r="1" spans="1:165" x14ac:dyDescent="0.4">
      <c r="V1" s="1232">
        <v>53207125</v>
      </c>
      <c r="W1" s="1232">
        <v>53207125</v>
      </c>
      <c r="X1" s="1232">
        <v>53208386</v>
      </c>
      <c r="Y1" s="1232">
        <v>53208386</v>
      </c>
      <c r="Z1" s="1232">
        <v>53208386</v>
      </c>
      <c r="AA1" s="1232">
        <v>53208386</v>
      </c>
      <c r="AB1" s="1232">
        <v>53208386</v>
      </c>
      <c r="AC1" s="1232">
        <v>53208386</v>
      </c>
      <c r="AD1" s="1232">
        <v>53208386</v>
      </c>
      <c r="AE1" s="1232">
        <v>53208386</v>
      </c>
      <c r="AF1" s="1232">
        <v>53208386</v>
      </c>
      <c r="AG1" s="1232">
        <v>53208386</v>
      </c>
      <c r="AH1" s="1232">
        <v>53208386</v>
      </c>
      <c r="AI1" s="1232">
        <v>53208386</v>
      </c>
      <c r="AJ1" s="1232">
        <v>53208386</v>
      </c>
      <c r="AK1" s="1232">
        <v>53208386</v>
      </c>
      <c r="AL1" s="1232">
        <v>53208386</v>
      </c>
      <c r="AM1" s="1232">
        <v>53208386</v>
      </c>
      <c r="AN1" s="1232">
        <v>53208386</v>
      </c>
      <c r="AO1" s="1232">
        <v>53208386</v>
      </c>
      <c r="AP1" s="1232">
        <v>53208386</v>
      </c>
      <c r="AQ1" s="1232">
        <v>53208386</v>
      </c>
      <c r="AR1" s="1232">
        <v>53208386</v>
      </c>
      <c r="AS1" s="1232">
        <v>53208386</v>
      </c>
      <c r="AX1" s="1232">
        <v>53207280</v>
      </c>
      <c r="AY1" s="1232">
        <v>53207280</v>
      </c>
      <c r="AZ1" s="1232">
        <v>53207280</v>
      </c>
      <c r="BA1" s="1232">
        <v>53207280</v>
      </c>
      <c r="BB1" s="1232">
        <v>53207280</v>
      </c>
      <c r="BC1" s="1232">
        <v>53207280</v>
      </c>
      <c r="BD1" s="1232">
        <v>53207280</v>
      </c>
      <c r="BE1" s="1232">
        <v>53207280</v>
      </c>
      <c r="BF1" s="1232">
        <v>53207280</v>
      </c>
      <c r="BG1" s="1232">
        <v>53207280</v>
      </c>
      <c r="BH1" s="1232">
        <v>53207280</v>
      </c>
      <c r="BI1" s="1232">
        <v>53207280</v>
      </c>
      <c r="BJ1" s="1232">
        <v>53207280</v>
      </c>
      <c r="BK1" s="1232">
        <v>53207280</v>
      </c>
      <c r="BL1" s="1232">
        <v>53207280</v>
      </c>
      <c r="BM1" s="1232">
        <v>53207280</v>
      </c>
      <c r="BR1" s="1232">
        <v>53208386</v>
      </c>
      <c r="BS1" s="1232">
        <v>53208386</v>
      </c>
      <c r="BT1" s="1232">
        <v>53208386</v>
      </c>
      <c r="BU1" s="1232">
        <v>53208384</v>
      </c>
      <c r="BV1" s="1232">
        <v>53208384</v>
      </c>
      <c r="BW1" s="1232">
        <v>53208384</v>
      </c>
      <c r="BX1" s="1232">
        <v>53208540</v>
      </c>
      <c r="BY1" s="1232">
        <v>53208540</v>
      </c>
      <c r="BZ1" s="1232">
        <v>53208540</v>
      </c>
      <c r="DU1" s="1232">
        <v>53207280</v>
      </c>
      <c r="DV1" s="1232">
        <v>53207280</v>
      </c>
      <c r="DW1" s="1232">
        <v>53207280</v>
      </c>
      <c r="DX1" s="1232"/>
      <c r="DY1" s="1232">
        <v>53207280</v>
      </c>
      <c r="DZ1" s="1232"/>
      <c r="EA1" s="1232"/>
      <c r="EB1" s="1232"/>
    </row>
    <row r="2" spans="1:165" x14ac:dyDescent="0.4">
      <c r="V2" s="1232" t="s">
        <v>1016</v>
      </c>
      <c r="W2" s="1232" t="s">
        <v>1016</v>
      </c>
      <c r="X2" s="1232" t="s">
        <v>981</v>
      </c>
      <c r="Y2" s="1232" t="s">
        <v>981</v>
      </c>
      <c r="Z2" s="1232" t="s">
        <v>981</v>
      </c>
      <c r="AA2" s="1232" t="s">
        <v>981</v>
      </c>
      <c r="AB2" s="1232" t="s">
        <v>981</v>
      </c>
      <c r="AC2" s="1232" t="s">
        <v>981</v>
      </c>
      <c r="AD2" s="1232" t="s">
        <v>981</v>
      </c>
      <c r="AE2" s="1232" t="s">
        <v>981</v>
      </c>
      <c r="AF2" s="1232" t="s">
        <v>981</v>
      </c>
      <c r="AG2" s="1232" t="s">
        <v>981</v>
      </c>
      <c r="AH2" s="1232" t="s">
        <v>981</v>
      </c>
      <c r="AI2" s="1232" t="s">
        <v>981</v>
      </c>
      <c r="AJ2" s="1232" t="s">
        <v>981</v>
      </c>
      <c r="AK2" s="1232" t="s">
        <v>981</v>
      </c>
      <c r="AL2" s="1232" t="s">
        <v>981</v>
      </c>
      <c r="AM2" s="1232" t="s">
        <v>981</v>
      </c>
      <c r="AN2" s="1232" t="s">
        <v>981</v>
      </c>
      <c r="AO2" s="1232" t="s">
        <v>981</v>
      </c>
      <c r="AP2" s="1232" t="s">
        <v>981</v>
      </c>
      <c r="AQ2" s="1232" t="s">
        <v>981</v>
      </c>
      <c r="AR2" s="1232" t="s">
        <v>981</v>
      </c>
      <c r="AS2" s="1232" t="s">
        <v>981</v>
      </c>
      <c r="AX2" s="1232" t="s">
        <v>1006</v>
      </c>
      <c r="AY2" s="1232" t="s">
        <v>1006</v>
      </c>
      <c r="AZ2" s="1232" t="s">
        <v>1006</v>
      </c>
      <c r="BA2" s="1232" t="s">
        <v>1006</v>
      </c>
      <c r="BB2" s="1232" t="s">
        <v>1006</v>
      </c>
      <c r="BC2" s="1232" t="s">
        <v>1006</v>
      </c>
      <c r="BD2" s="1232" t="s">
        <v>1006</v>
      </c>
      <c r="BE2" s="1232" t="s">
        <v>1006</v>
      </c>
      <c r="BF2" s="1232" t="s">
        <v>1006</v>
      </c>
      <c r="BG2" s="1232" t="s">
        <v>1006</v>
      </c>
      <c r="BH2" s="1232" t="s">
        <v>1006</v>
      </c>
      <c r="BI2" s="1232" t="s">
        <v>1006</v>
      </c>
      <c r="BJ2" s="1232" t="s">
        <v>1006</v>
      </c>
      <c r="BK2" s="1232" t="s">
        <v>1006</v>
      </c>
      <c r="BL2" s="1232" t="s">
        <v>1006</v>
      </c>
      <c r="BM2" s="1232" t="s">
        <v>1006</v>
      </c>
      <c r="BR2" s="1232" t="s">
        <v>981</v>
      </c>
      <c r="BS2" s="1232" t="s">
        <v>981</v>
      </c>
      <c r="BT2" s="1232" t="s">
        <v>981</v>
      </c>
      <c r="BU2" s="1232" t="s">
        <v>1000</v>
      </c>
      <c r="BV2" s="1232" t="s">
        <v>1000</v>
      </c>
      <c r="BW2" s="1232" t="s">
        <v>1000</v>
      </c>
      <c r="BX2" s="1232" t="s">
        <v>1003</v>
      </c>
      <c r="BY2" s="1232" t="s">
        <v>1003</v>
      </c>
      <c r="BZ2" s="1232" t="s">
        <v>1003</v>
      </c>
      <c r="DU2" s="1232" t="s">
        <v>1006</v>
      </c>
      <c r="DV2" s="1232" t="s">
        <v>1006</v>
      </c>
      <c r="DW2" s="1232" t="s">
        <v>1006</v>
      </c>
      <c r="DX2" s="1232"/>
      <c r="DY2" s="1232" t="s">
        <v>1006</v>
      </c>
      <c r="DZ2" s="1232"/>
      <c r="EA2" s="1232"/>
      <c r="EB2" s="1232"/>
    </row>
    <row r="3" spans="1:165" x14ac:dyDescent="0.4">
      <c r="V3" s="1232">
        <v>50856762</v>
      </c>
      <c r="W3" s="1232">
        <v>50856764</v>
      </c>
      <c r="X3" s="1232">
        <v>50967495</v>
      </c>
      <c r="Y3" s="1233" t="s">
        <v>992</v>
      </c>
      <c r="Z3" s="1232">
        <v>50966329</v>
      </c>
      <c r="AA3" s="1232">
        <v>50966330</v>
      </c>
      <c r="AB3" s="1232">
        <v>50966331</v>
      </c>
      <c r="AC3" s="1232">
        <v>50966332</v>
      </c>
      <c r="AD3" s="1232">
        <v>50966334</v>
      </c>
      <c r="AE3" s="1232">
        <v>50966335</v>
      </c>
      <c r="AF3" s="1232">
        <v>50966336</v>
      </c>
      <c r="AG3" s="1232">
        <v>50966349</v>
      </c>
      <c r="AH3" s="1232">
        <v>50966349</v>
      </c>
      <c r="AI3" s="1232" t="s">
        <v>994</v>
      </c>
      <c r="AJ3" s="1232" t="s">
        <v>994</v>
      </c>
      <c r="AK3" s="1232">
        <v>50966354</v>
      </c>
      <c r="AL3" s="1232">
        <v>50966354</v>
      </c>
      <c r="AM3" s="1232">
        <v>50966355</v>
      </c>
      <c r="AN3" s="1232">
        <v>50966355</v>
      </c>
      <c r="AO3" s="1232">
        <v>50966356</v>
      </c>
      <c r="AP3" s="1232">
        <v>50966356</v>
      </c>
      <c r="AQ3" s="1232">
        <v>50966358</v>
      </c>
      <c r="AR3" s="1232">
        <v>50966358</v>
      </c>
      <c r="AS3" s="1232">
        <v>50966358</v>
      </c>
      <c r="AX3" s="1232">
        <v>96989047</v>
      </c>
      <c r="AY3" s="1232">
        <v>96989048</v>
      </c>
      <c r="AZ3" s="1232">
        <v>96989049</v>
      </c>
      <c r="BA3" s="1232">
        <v>96989050</v>
      </c>
      <c r="BB3" s="1232">
        <v>96989051</v>
      </c>
      <c r="BC3" s="1232">
        <v>96989052</v>
      </c>
      <c r="BD3" s="1232">
        <v>96989053</v>
      </c>
      <c r="BE3" s="1232">
        <v>96989054</v>
      </c>
      <c r="BF3" s="1232">
        <v>96989055</v>
      </c>
      <c r="BG3" s="1232">
        <v>96989056</v>
      </c>
      <c r="BH3" s="1232">
        <v>96989057</v>
      </c>
      <c r="BI3" s="1232">
        <v>96989058</v>
      </c>
      <c r="BJ3" s="1232">
        <v>96989059</v>
      </c>
      <c r="BK3" s="1232">
        <v>96989060</v>
      </c>
      <c r="BL3" s="1232">
        <v>96989061</v>
      </c>
      <c r="BM3" s="1232">
        <v>96989062</v>
      </c>
      <c r="BR3" s="1232">
        <v>50967487</v>
      </c>
      <c r="BS3" s="1232" t="s">
        <v>1009</v>
      </c>
      <c r="BT3" s="1232">
        <v>50967493</v>
      </c>
      <c r="BU3" s="1232">
        <v>50967572</v>
      </c>
      <c r="BV3" s="1232" t="s">
        <v>1012</v>
      </c>
      <c r="BW3" s="1232">
        <v>50967577</v>
      </c>
      <c r="BX3" s="1232">
        <v>96975281</v>
      </c>
      <c r="BY3" s="1232" t="s">
        <v>1014</v>
      </c>
      <c r="BZ3" s="1232">
        <v>96975286</v>
      </c>
      <c r="DG3" s="836" t="s">
        <v>1021</v>
      </c>
      <c r="DU3" s="1232">
        <v>50859346</v>
      </c>
      <c r="DV3" s="1232">
        <v>50859377</v>
      </c>
      <c r="DW3" s="1232"/>
      <c r="DX3" s="1232"/>
      <c r="DY3" s="1232">
        <v>96989044</v>
      </c>
      <c r="DZ3" s="1232"/>
      <c r="EA3" s="1232"/>
      <c r="EB3" s="1232"/>
    </row>
    <row r="4" spans="1:165" x14ac:dyDescent="0.4">
      <c r="V4" s="1232" t="s">
        <v>1017</v>
      </c>
      <c r="W4" s="1232" t="s">
        <v>1018</v>
      </c>
      <c r="X4" s="1232" t="s">
        <v>982</v>
      </c>
      <c r="Y4" s="1232" t="s">
        <v>983</v>
      </c>
      <c r="Z4" s="1232" t="s">
        <v>985</v>
      </c>
      <c r="AA4" s="1232" t="s">
        <v>986</v>
      </c>
      <c r="AB4" s="1232" t="s">
        <v>987</v>
      </c>
      <c r="AC4" s="1232" t="s">
        <v>988</v>
      </c>
      <c r="AD4" s="1232" t="s">
        <v>989</v>
      </c>
      <c r="AE4" s="1232" t="s">
        <v>990</v>
      </c>
      <c r="AF4" s="1232" t="s">
        <v>991</v>
      </c>
      <c r="AG4" s="1232" t="s">
        <v>993</v>
      </c>
      <c r="AH4" s="1232" t="s">
        <v>993</v>
      </c>
      <c r="AI4" s="1232" t="s">
        <v>995</v>
      </c>
      <c r="AJ4" s="1232" t="s">
        <v>995</v>
      </c>
      <c r="AK4" s="1232" t="s">
        <v>996</v>
      </c>
      <c r="AL4" s="1232" t="s">
        <v>996</v>
      </c>
      <c r="AM4" s="1232" t="s">
        <v>997</v>
      </c>
      <c r="AN4" s="1232" t="s">
        <v>997</v>
      </c>
      <c r="AO4" s="1232" t="s">
        <v>1020</v>
      </c>
      <c r="AP4" s="1232" t="s">
        <v>1020</v>
      </c>
      <c r="AQ4" s="1232" t="s">
        <v>998</v>
      </c>
      <c r="AR4" s="1232" t="s">
        <v>998</v>
      </c>
      <c r="AS4" s="1232" t="s">
        <v>998</v>
      </c>
      <c r="AX4" s="1232" t="s">
        <v>751</v>
      </c>
      <c r="AY4" s="1232" t="s">
        <v>752</v>
      </c>
      <c r="AZ4" s="1232" t="s">
        <v>753</v>
      </c>
      <c r="BA4" s="1232" t="s">
        <v>754</v>
      </c>
      <c r="BB4" s="1232" t="s">
        <v>755</v>
      </c>
      <c r="BC4" s="1232" t="s">
        <v>756</v>
      </c>
      <c r="BD4" s="1232" t="s">
        <v>757</v>
      </c>
      <c r="BE4" s="1232" t="s">
        <v>758</v>
      </c>
      <c r="BF4" s="1232" t="s">
        <v>759</v>
      </c>
      <c r="BG4" s="1232" t="s">
        <v>760</v>
      </c>
      <c r="BH4" s="1232" t="s">
        <v>761</v>
      </c>
      <c r="BI4" s="1232" t="s">
        <v>762</v>
      </c>
      <c r="BJ4" s="1232" t="s">
        <v>763</v>
      </c>
      <c r="BK4" s="1232" t="s">
        <v>764</v>
      </c>
      <c r="BL4" s="1232" t="s">
        <v>765</v>
      </c>
      <c r="BM4" s="1232" t="s">
        <v>766</v>
      </c>
      <c r="BR4" s="1232" t="s">
        <v>999</v>
      </c>
      <c r="BS4" s="1232" t="s">
        <v>1010</v>
      </c>
      <c r="BT4" s="1232" t="s">
        <v>1011</v>
      </c>
      <c r="BU4" s="1232" t="s">
        <v>1001</v>
      </c>
      <c r="BV4" s="1232" t="s">
        <v>1013</v>
      </c>
      <c r="BW4" s="1232" t="s">
        <v>1002</v>
      </c>
      <c r="BX4" s="1232" t="s">
        <v>1004</v>
      </c>
      <c r="BY4" s="1232" t="s">
        <v>1015</v>
      </c>
      <c r="BZ4" s="1232" t="s">
        <v>1005</v>
      </c>
      <c r="DU4" s="1232" t="s">
        <v>1007</v>
      </c>
      <c r="DV4" s="1232" t="s">
        <v>1008</v>
      </c>
      <c r="DW4" s="1232"/>
      <c r="DX4" s="1232"/>
      <c r="DY4" s="1232" t="s">
        <v>1019</v>
      </c>
      <c r="DZ4" s="1232"/>
      <c r="EA4" s="1232"/>
      <c r="EB4" s="1232"/>
    </row>
    <row r="5" spans="1:165" ht="12.6" thickBot="1" x14ac:dyDescent="0.45">
      <c r="V5">
        <v>24</v>
      </c>
      <c r="W5">
        <v>24</v>
      </c>
      <c r="X5">
        <v>24</v>
      </c>
      <c r="Y5" t="s">
        <v>984</v>
      </c>
      <c r="Z5">
        <v>24</v>
      </c>
      <c r="AA5">
        <v>24</v>
      </c>
      <c r="AB5">
        <v>24</v>
      </c>
      <c r="AC5">
        <v>24</v>
      </c>
      <c r="AD5">
        <v>24</v>
      </c>
      <c r="AE5">
        <v>24</v>
      </c>
      <c r="AF5">
        <v>24</v>
      </c>
      <c r="AG5">
        <v>24</v>
      </c>
      <c r="AH5">
        <v>24</v>
      </c>
      <c r="AI5">
        <v>24</v>
      </c>
      <c r="AJ5">
        <v>24</v>
      </c>
      <c r="AK5">
        <v>24</v>
      </c>
      <c r="AL5">
        <v>24</v>
      </c>
      <c r="AM5">
        <v>24</v>
      </c>
      <c r="AN5">
        <v>24</v>
      </c>
      <c r="AO5">
        <v>24</v>
      </c>
      <c r="AP5">
        <v>24</v>
      </c>
      <c r="AQ5">
        <v>24</v>
      </c>
      <c r="AR5">
        <v>24</v>
      </c>
      <c r="AS5">
        <v>24</v>
      </c>
      <c r="AX5" s="1232">
        <v>1</v>
      </c>
      <c r="AY5" s="1232">
        <v>1</v>
      </c>
      <c r="AZ5" s="1232">
        <v>1</v>
      </c>
      <c r="BA5" s="1232">
        <v>1</v>
      </c>
      <c r="BB5" s="1232">
        <v>1</v>
      </c>
      <c r="BC5" s="1232">
        <v>1</v>
      </c>
      <c r="BD5" s="1232">
        <v>1</v>
      </c>
      <c r="BE5" s="1232">
        <v>1</v>
      </c>
      <c r="BF5" s="1232">
        <v>1</v>
      </c>
      <c r="BG5" s="1232">
        <v>1</v>
      </c>
      <c r="BH5" s="1232">
        <v>1</v>
      </c>
      <c r="BI5" s="1232">
        <v>1</v>
      </c>
      <c r="BJ5" s="1232">
        <v>1</v>
      </c>
      <c r="BK5" s="1232">
        <v>1</v>
      </c>
      <c r="BL5" s="1232">
        <v>1</v>
      </c>
      <c r="BM5" s="1232">
        <v>1</v>
      </c>
      <c r="BR5" s="1232">
        <v>24</v>
      </c>
      <c r="BS5" s="1232">
        <v>24</v>
      </c>
      <c r="BT5" s="1232">
        <v>24</v>
      </c>
      <c r="BU5" s="1232">
        <v>2</v>
      </c>
      <c r="BV5" s="1232">
        <v>2</v>
      </c>
      <c r="BW5" s="1232">
        <v>2</v>
      </c>
      <c r="BX5" s="1232">
        <v>4</v>
      </c>
      <c r="BY5" s="1232">
        <v>4</v>
      </c>
      <c r="BZ5" s="1232">
        <v>4</v>
      </c>
      <c r="DU5" s="1232">
        <v>1</v>
      </c>
      <c r="DV5" s="1232">
        <v>1</v>
      </c>
      <c r="DW5" s="1232"/>
      <c r="DX5" s="1232"/>
      <c r="DY5" s="1232">
        <v>1</v>
      </c>
      <c r="DZ5" s="1232"/>
      <c r="EA5" s="1232"/>
      <c r="EB5" s="1232"/>
    </row>
    <row r="6" spans="1:165" ht="61.8" thickBot="1" x14ac:dyDescent="0.65">
      <c r="A6" s="1192" t="s">
        <v>723</v>
      </c>
      <c r="B6" s="1192"/>
      <c r="C6" s="1193"/>
      <c r="D6" s="1193"/>
      <c r="E6" s="1193"/>
      <c r="F6" s="1193"/>
      <c r="G6" s="1193"/>
      <c r="H6" s="1193"/>
      <c r="I6" s="1193"/>
      <c r="J6" s="1193"/>
      <c r="K6" s="1193"/>
      <c r="L6" s="1193"/>
      <c r="M6" s="1193"/>
      <c r="T6" s="752" t="s">
        <v>724</v>
      </c>
      <c r="U6" s="752" t="s">
        <v>725</v>
      </c>
      <c r="V6" s="752" t="s">
        <v>726</v>
      </c>
      <c r="W6" s="752" t="s">
        <v>727</v>
      </c>
      <c r="X6" s="752" t="s">
        <v>728</v>
      </c>
      <c r="Y6" s="752" t="s">
        <v>729</v>
      </c>
      <c r="Z6" s="752" t="s">
        <v>730</v>
      </c>
      <c r="AA6" s="752" t="s">
        <v>731</v>
      </c>
      <c r="AB6" s="752" t="s">
        <v>732</v>
      </c>
      <c r="AC6" s="753" t="s">
        <v>733</v>
      </c>
      <c r="AD6" s="753" t="s">
        <v>734</v>
      </c>
      <c r="AE6" s="753" t="s">
        <v>735</v>
      </c>
      <c r="AF6" s="752" t="s">
        <v>736</v>
      </c>
      <c r="AG6" s="752" t="s">
        <v>737</v>
      </c>
      <c r="AH6" s="752" t="s">
        <v>738</v>
      </c>
      <c r="AI6" s="752" t="s">
        <v>739</v>
      </c>
      <c r="AJ6" s="752" t="s">
        <v>740</v>
      </c>
      <c r="AK6" s="752" t="s">
        <v>741</v>
      </c>
      <c r="AL6" s="752" t="s">
        <v>742</v>
      </c>
      <c r="AM6" s="752" t="s">
        <v>743</v>
      </c>
      <c r="AN6" s="752" t="s">
        <v>744</v>
      </c>
      <c r="AO6" s="752" t="s">
        <v>745</v>
      </c>
      <c r="AP6" s="752" t="s">
        <v>746</v>
      </c>
      <c r="AQ6" s="752" t="s">
        <v>747</v>
      </c>
      <c r="AR6" s="752" t="s">
        <v>748</v>
      </c>
      <c r="AS6" s="752" t="s">
        <v>749</v>
      </c>
      <c r="AV6" s="752" t="s">
        <v>750</v>
      </c>
      <c r="AW6" s="752"/>
      <c r="AX6" s="752" t="s">
        <v>751</v>
      </c>
      <c r="AY6" s="752" t="s">
        <v>752</v>
      </c>
      <c r="AZ6" s="752" t="s">
        <v>753</v>
      </c>
      <c r="BA6" s="752" t="s">
        <v>754</v>
      </c>
      <c r="BB6" s="752" t="s">
        <v>755</v>
      </c>
      <c r="BC6" s="752" t="s">
        <v>756</v>
      </c>
      <c r="BD6" s="752" t="s">
        <v>757</v>
      </c>
      <c r="BE6" s="752" t="s">
        <v>758</v>
      </c>
      <c r="BF6" s="752" t="s">
        <v>759</v>
      </c>
      <c r="BG6" s="752" t="s">
        <v>760</v>
      </c>
      <c r="BH6" s="753" t="s">
        <v>761</v>
      </c>
      <c r="BI6" s="753" t="s">
        <v>762</v>
      </c>
      <c r="BJ6" s="753" t="s">
        <v>763</v>
      </c>
      <c r="BK6" s="753" t="s">
        <v>764</v>
      </c>
      <c r="BL6" s="753" t="s">
        <v>765</v>
      </c>
      <c r="BM6" s="753" t="s">
        <v>766</v>
      </c>
      <c r="BQ6" s="754" t="s">
        <v>140</v>
      </c>
      <c r="BR6" s="1194" t="s">
        <v>78</v>
      </c>
      <c r="BS6" s="1195"/>
      <c r="BT6" s="1195"/>
      <c r="BU6" s="362" t="s">
        <v>81</v>
      </c>
      <c r="BV6" s="362"/>
      <c r="BW6" s="362"/>
      <c r="BX6" s="363" t="s">
        <v>82</v>
      </c>
      <c r="BY6" s="362"/>
      <c r="BZ6" s="364"/>
      <c r="CA6" s="1196" t="s">
        <v>767</v>
      </c>
      <c r="CB6" s="1191"/>
      <c r="CC6" s="1197" t="s">
        <v>768</v>
      </c>
      <c r="CD6" s="1198"/>
      <c r="CE6" s="755" t="s">
        <v>769</v>
      </c>
      <c r="CF6" s="1199" t="s">
        <v>770</v>
      </c>
      <c r="CG6" s="1200"/>
      <c r="CH6" s="1190" t="s">
        <v>771</v>
      </c>
      <c r="CI6" s="1191"/>
      <c r="CJ6" s="1210" t="s">
        <v>772</v>
      </c>
      <c r="CK6" s="1211"/>
      <c r="CL6" s="756" t="s">
        <v>773</v>
      </c>
      <c r="CM6" s="1212" t="s">
        <v>774</v>
      </c>
      <c r="CN6" s="1213"/>
      <c r="CO6" s="1214"/>
      <c r="CP6" s="757" t="s">
        <v>775</v>
      </c>
      <c r="CQ6" s="1212" t="s">
        <v>776</v>
      </c>
      <c r="CR6" s="1214"/>
      <c r="CS6" s="1190" t="s">
        <v>777</v>
      </c>
      <c r="CT6" s="1191"/>
      <c r="CU6" s="1215" t="s">
        <v>778</v>
      </c>
      <c r="CV6" s="1216"/>
      <c r="CW6" s="1215" t="s">
        <v>779</v>
      </c>
      <c r="CX6" s="1216"/>
      <c r="CY6" s="1201" t="s">
        <v>780</v>
      </c>
      <c r="CZ6" s="1202"/>
      <c r="DA6" s="1202"/>
      <c r="DB6" s="1202"/>
      <c r="DC6" s="1202"/>
      <c r="DD6" s="1203"/>
      <c r="DE6" s="758" t="s">
        <v>781</v>
      </c>
      <c r="DF6" s="758" t="s">
        <v>782</v>
      </c>
      <c r="DG6" s="1093" t="s">
        <v>783</v>
      </c>
      <c r="DH6" s="1093" t="s">
        <v>965</v>
      </c>
      <c r="DI6" s="1093" t="s">
        <v>784</v>
      </c>
      <c r="DJ6" s="1093" t="s">
        <v>964</v>
      </c>
      <c r="DK6" s="759"/>
      <c r="DL6" s="759"/>
      <c r="DM6" s="759"/>
      <c r="DN6" s="759"/>
      <c r="DO6" s="760"/>
      <c r="DP6" s="761"/>
      <c r="DR6" s="762"/>
      <c r="DS6" s="763"/>
    </row>
    <row r="7" spans="1:165" ht="15" customHeight="1" thickBot="1" x14ac:dyDescent="0.6">
      <c r="D7" s="764" t="s">
        <v>785</v>
      </c>
      <c r="G7" s="764"/>
      <c r="S7">
        <v>1</v>
      </c>
      <c r="T7" s="765">
        <v>27.98</v>
      </c>
      <c r="U7" s="765">
        <v>26.04</v>
      </c>
      <c r="V7" s="766">
        <v>11.86</v>
      </c>
      <c r="W7">
        <v>11.7</v>
      </c>
      <c r="X7" s="766">
        <v>13.02</v>
      </c>
      <c r="Y7">
        <v>0.4</v>
      </c>
      <c r="Z7">
        <v>0.2</v>
      </c>
      <c r="AA7">
        <v>1.6</v>
      </c>
      <c r="AB7">
        <v>1.8</v>
      </c>
      <c r="AC7">
        <v>3</v>
      </c>
      <c r="AD7">
        <v>2.74</v>
      </c>
      <c r="AG7">
        <v>7.36</v>
      </c>
      <c r="AH7">
        <v>7.12</v>
      </c>
      <c r="AI7">
        <v>6.29</v>
      </c>
      <c r="AJ7">
        <v>6.14</v>
      </c>
      <c r="AK7">
        <v>6.28</v>
      </c>
      <c r="AL7">
        <v>6.18</v>
      </c>
      <c r="AM7">
        <v>7.79</v>
      </c>
      <c r="AN7">
        <v>7.35</v>
      </c>
      <c r="AO7">
        <v>7.78</v>
      </c>
      <c r="AP7">
        <v>7.59</v>
      </c>
      <c r="AQ7">
        <v>7.91</v>
      </c>
      <c r="AR7">
        <v>7.74</v>
      </c>
      <c r="AS7">
        <v>7.83</v>
      </c>
      <c r="AT7" s="335" t="s">
        <v>0</v>
      </c>
      <c r="AV7" s="765">
        <f>('User Data'!T7/1440)/('1940 - Plant Op.'!J16*704)*1000000</f>
        <v>2.760022095959596</v>
      </c>
      <c r="AW7" s="765"/>
      <c r="AX7">
        <v>0</v>
      </c>
      <c r="AY7">
        <v>0</v>
      </c>
      <c r="AZ7">
        <v>0</v>
      </c>
      <c r="BA7">
        <v>0</v>
      </c>
      <c r="BB7">
        <v>0</v>
      </c>
      <c r="BC7">
        <v>94</v>
      </c>
      <c r="BD7">
        <v>76</v>
      </c>
      <c r="BE7">
        <v>34</v>
      </c>
      <c r="BF7">
        <v>57</v>
      </c>
      <c r="BG7">
        <v>96.5</v>
      </c>
      <c r="BH7">
        <v>82.5</v>
      </c>
      <c r="BI7">
        <v>98.5</v>
      </c>
      <c r="BJ7">
        <v>70</v>
      </c>
      <c r="BK7">
        <v>0</v>
      </c>
      <c r="BL7">
        <v>46</v>
      </c>
      <c r="BM7">
        <v>30</v>
      </c>
      <c r="BQ7" s="767"/>
      <c r="BR7" s="1204" t="s">
        <v>91</v>
      </c>
      <c r="BS7" s="1206" t="s">
        <v>92</v>
      </c>
      <c r="BT7" s="1208" t="s">
        <v>93</v>
      </c>
      <c r="BU7" s="1204" t="s">
        <v>102</v>
      </c>
      <c r="BV7" s="1206" t="s">
        <v>103</v>
      </c>
      <c r="BW7" s="1208" t="s">
        <v>104</v>
      </c>
      <c r="BX7" s="1204" t="s">
        <v>102</v>
      </c>
      <c r="BY7" s="1206" t="s">
        <v>103</v>
      </c>
      <c r="BZ7" s="1208" t="s">
        <v>105</v>
      </c>
      <c r="CA7" s="768" t="s">
        <v>786</v>
      </c>
      <c r="CB7" s="768" t="s">
        <v>787</v>
      </c>
      <c r="CC7" s="769" t="s">
        <v>786</v>
      </c>
      <c r="CD7" s="769" t="s">
        <v>787</v>
      </c>
      <c r="CE7" s="770" t="s">
        <v>786</v>
      </c>
      <c r="CF7" s="769" t="s">
        <v>786</v>
      </c>
      <c r="CG7" s="769" t="s">
        <v>787</v>
      </c>
      <c r="CH7" s="771" t="s">
        <v>786</v>
      </c>
      <c r="CI7" s="768" t="s">
        <v>787</v>
      </c>
      <c r="CJ7" s="772" t="s">
        <v>786</v>
      </c>
      <c r="CK7" s="773" t="s">
        <v>787</v>
      </c>
      <c r="CL7" s="774" t="s">
        <v>787</v>
      </c>
      <c r="CM7" s="768" t="s">
        <v>788</v>
      </c>
      <c r="CN7" s="768" t="s">
        <v>788</v>
      </c>
      <c r="CO7" s="775" t="s">
        <v>789</v>
      </c>
      <c r="CP7" s="776" t="s">
        <v>790</v>
      </c>
      <c r="CQ7" s="768" t="s">
        <v>786</v>
      </c>
      <c r="CR7" s="768" t="s">
        <v>787</v>
      </c>
      <c r="CS7" s="1217" t="s">
        <v>787</v>
      </c>
      <c r="CT7" s="1218"/>
      <c r="CU7" s="777" t="s">
        <v>786</v>
      </c>
      <c r="CV7" s="777" t="s">
        <v>787</v>
      </c>
      <c r="CW7" s="777" t="s">
        <v>786</v>
      </c>
      <c r="CX7" s="777" t="s">
        <v>787</v>
      </c>
      <c r="CY7" s="1219" t="s">
        <v>791</v>
      </c>
      <c r="CZ7" s="1220"/>
      <c r="DA7" s="1219" t="s">
        <v>791</v>
      </c>
      <c r="DB7" s="1220"/>
      <c r="DC7" s="778" t="s">
        <v>792</v>
      </c>
      <c r="DD7" s="778" t="s">
        <v>793</v>
      </c>
      <c r="DE7" s="779"/>
      <c r="DF7" s="779"/>
      <c r="DG7" s="1094">
        <v>43530</v>
      </c>
      <c r="DH7" s="1095">
        <v>598</v>
      </c>
      <c r="DI7" s="1095" t="s">
        <v>966</v>
      </c>
      <c r="DJ7" s="1095">
        <v>1.23</v>
      </c>
      <c r="DK7" s="782"/>
      <c r="DL7" s="782"/>
      <c r="DM7" s="782"/>
      <c r="DN7" s="782"/>
      <c r="DO7" s="782"/>
      <c r="DP7" s="782"/>
      <c r="DQ7" s="783"/>
      <c r="DR7" s="784"/>
      <c r="DT7" s="785"/>
      <c r="DU7" s="1221" t="s">
        <v>794</v>
      </c>
      <c r="DV7" s="785"/>
      <c r="DW7" s="786" t="s">
        <v>788</v>
      </c>
      <c r="DX7" s="786" t="s">
        <v>788</v>
      </c>
      <c r="DY7" s="785"/>
      <c r="DZ7" s="785"/>
      <c r="EA7" s="787" t="s">
        <v>35</v>
      </c>
      <c r="EB7" s="788"/>
      <c r="EC7" s="788"/>
      <c r="ED7" s="788"/>
      <c r="EE7" s="788"/>
      <c r="EF7" s="788"/>
      <c r="EG7" s="788"/>
      <c r="EH7" s="787" t="s">
        <v>795</v>
      </c>
      <c r="EI7" s="788"/>
      <c r="EJ7" s="788"/>
      <c r="EK7" s="788"/>
      <c r="EL7" s="788"/>
      <c r="EM7" s="788"/>
      <c r="EN7" s="788"/>
      <c r="EO7" s="788"/>
      <c r="EP7" s="789"/>
      <c r="EQ7" s="787" t="s">
        <v>795</v>
      </c>
      <c r="ER7" s="788"/>
      <c r="ES7" s="788"/>
      <c r="ET7" s="788"/>
      <c r="EU7" s="788"/>
      <c r="EV7" s="787" t="s">
        <v>796</v>
      </c>
      <c r="EW7" s="788"/>
      <c r="EX7" s="788"/>
      <c r="EY7" s="788"/>
      <c r="EZ7" s="788"/>
      <c r="FA7" s="788"/>
      <c r="FB7" s="788"/>
      <c r="FC7" s="788"/>
      <c r="FD7" s="788"/>
      <c r="FE7" s="788"/>
      <c r="FF7" s="788"/>
      <c r="FG7" s="788"/>
      <c r="FH7" s="788"/>
      <c r="FI7" s="789"/>
    </row>
    <row r="8" spans="1:165" ht="15" customHeight="1" thickBot="1" x14ac:dyDescent="0.6">
      <c r="D8" s="764" t="s">
        <v>797</v>
      </c>
      <c r="G8" s="764"/>
      <c r="S8">
        <v>2</v>
      </c>
      <c r="T8" s="765">
        <v>25.46</v>
      </c>
      <c r="U8" s="765">
        <v>23.67</v>
      </c>
      <c r="V8" s="766">
        <v>13.52</v>
      </c>
      <c r="W8">
        <v>13.67</v>
      </c>
      <c r="X8" s="766">
        <v>12.94</v>
      </c>
      <c r="Y8">
        <v>0.4</v>
      </c>
      <c r="Z8">
        <v>0.2</v>
      </c>
      <c r="AA8">
        <v>1.76</v>
      </c>
      <c r="AB8">
        <v>1</v>
      </c>
      <c r="AC8">
        <v>3.06</v>
      </c>
      <c r="AD8">
        <v>2.56</v>
      </c>
      <c r="AG8">
        <v>7.27</v>
      </c>
      <c r="AH8">
        <v>7</v>
      </c>
      <c r="AI8">
        <v>6.31</v>
      </c>
      <c r="AJ8">
        <v>6.16</v>
      </c>
      <c r="AK8">
        <v>6.33</v>
      </c>
      <c r="AL8">
        <v>6.21</v>
      </c>
      <c r="AM8">
        <v>7.99</v>
      </c>
      <c r="AN8">
        <v>7.32</v>
      </c>
      <c r="AO8">
        <v>7.88</v>
      </c>
      <c r="AP8">
        <v>7.52</v>
      </c>
      <c r="AQ8">
        <v>7.92</v>
      </c>
      <c r="AR8">
        <v>7.72</v>
      </c>
      <c r="AS8">
        <v>7.81</v>
      </c>
      <c r="AV8" s="765">
        <f>('User Data'!T8/1440)/('1940 - Plant Op.'!J17*704)*1000000</f>
        <v>2.5114425505050506</v>
      </c>
      <c r="AW8" s="765"/>
      <c r="AX8">
        <v>0</v>
      </c>
      <c r="AY8">
        <v>0</v>
      </c>
      <c r="AZ8">
        <v>0</v>
      </c>
      <c r="BA8">
        <v>0</v>
      </c>
      <c r="BB8">
        <v>0</v>
      </c>
      <c r="BC8">
        <v>95</v>
      </c>
      <c r="BD8">
        <v>100</v>
      </c>
      <c r="BE8">
        <v>58</v>
      </c>
      <c r="BF8">
        <v>81</v>
      </c>
      <c r="BG8">
        <v>45.5</v>
      </c>
      <c r="BH8">
        <v>101.5</v>
      </c>
      <c r="BI8">
        <v>32</v>
      </c>
      <c r="BJ8">
        <v>94</v>
      </c>
      <c r="BK8">
        <v>0</v>
      </c>
      <c r="BL8">
        <v>70</v>
      </c>
      <c r="BM8">
        <v>54</v>
      </c>
      <c r="BQ8" s="767"/>
      <c r="BR8" s="1205"/>
      <c r="BS8" s="1207"/>
      <c r="BT8" s="1209"/>
      <c r="BU8" s="1205"/>
      <c r="BV8" s="1207"/>
      <c r="BW8" s="1209"/>
      <c r="BX8" s="1205"/>
      <c r="BY8" s="1207"/>
      <c r="BZ8" s="1209"/>
      <c r="CA8" s="770"/>
      <c r="CB8" s="770"/>
      <c r="CC8" s="790"/>
      <c r="CD8" s="790"/>
      <c r="CE8" s="770"/>
      <c r="CF8" s="790"/>
      <c r="CG8" s="790"/>
      <c r="CH8" s="791"/>
      <c r="CI8" s="770"/>
      <c r="CJ8" s="792"/>
      <c r="CK8" s="793"/>
      <c r="CL8" s="794"/>
      <c r="CM8" s="770" t="s">
        <v>786</v>
      </c>
      <c r="CN8" s="770" t="s">
        <v>787</v>
      </c>
      <c r="CO8" s="795" t="s">
        <v>787</v>
      </c>
      <c r="CP8" s="776"/>
      <c r="CQ8" s="770"/>
      <c r="CR8" s="770"/>
      <c r="CS8" s="768" t="s">
        <v>798</v>
      </c>
      <c r="CT8" s="768" t="s">
        <v>788</v>
      </c>
      <c r="CU8" s="796"/>
      <c r="CV8" s="796"/>
      <c r="CW8" s="796"/>
      <c r="CX8" s="796"/>
      <c r="CY8" s="1224" t="s">
        <v>384</v>
      </c>
      <c r="CZ8" s="1225"/>
      <c r="DA8" s="1224" t="s">
        <v>799</v>
      </c>
      <c r="DB8" s="1225"/>
      <c r="DC8" s="797"/>
      <c r="DD8" s="797"/>
      <c r="DE8" s="770"/>
      <c r="DF8" s="770"/>
      <c r="DG8" s="1094">
        <v>43530</v>
      </c>
      <c r="DH8" s="1095">
        <v>602</v>
      </c>
      <c r="DI8" s="1095" t="s">
        <v>967</v>
      </c>
      <c r="DJ8" s="1095">
        <v>2.38</v>
      </c>
      <c r="DK8" s="782"/>
      <c r="DL8" s="782"/>
      <c r="DM8" s="782"/>
      <c r="DN8" s="782"/>
      <c r="DO8" s="782"/>
      <c r="DP8" s="782"/>
      <c r="DQ8" s="783"/>
      <c r="DR8" s="784"/>
      <c r="DT8" s="798" t="s">
        <v>140</v>
      </c>
      <c r="DU8" s="1222"/>
      <c r="DV8" s="798" t="s">
        <v>800</v>
      </c>
      <c r="DW8" s="798" t="s">
        <v>801</v>
      </c>
      <c r="DX8" s="798" t="s">
        <v>787</v>
      </c>
      <c r="DY8" s="798" t="s">
        <v>802</v>
      </c>
      <c r="DZ8" s="799" t="s">
        <v>803</v>
      </c>
      <c r="EA8" s="787" t="s">
        <v>804</v>
      </c>
      <c r="EB8" s="788"/>
      <c r="EC8" s="789"/>
      <c r="ED8" s="787" t="s">
        <v>805</v>
      </c>
      <c r="EE8" s="788"/>
      <c r="EF8" s="788"/>
      <c r="EG8" s="788"/>
      <c r="EH8" s="800" t="s">
        <v>806</v>
      </c>
      <c r="EI8" s="787" t="s">
        <v>807</v>
      </c>
      <c r="EJ8" s="789"/>
      <c r="EK8" s="787" t="s">
        <v>808</v>
      </c>
      <c r="EL8" s="789"/>
      <c r="EM8" s="787" t="s">
        <v>809</v>
      </c>
      <c r="EN8" s="788"/>
      <c r="EO8" s="788"/>
      <c r="EP8" s="789"/>
      <c r="EQ8" s="787" t="s">
        <v>809</v>
      </c>
      <c r="ER8" s="788"/>
      <c r="ES8" s="788"/>
      <c r="ET8" s="801"/>
      <c r="EU8" s="802"/>
      <c r="EV8" s="785"/>
      <c r="EW8" s="803"/>
      <c r="EX8" s="802"/>
      <c r="EY8" s="803"/>
      <c r="EZ8" s="802"/>
      <c r="FA8" s="785"/>
      <c r="FB8" s="785"/>
      <c r="FC8" s="785"/>
      <c r="FD8" s="785"/>
      <c r="FE8" s="785"/>
      <c r="FF8" s="786"/>
      <c r="FG8" s="786"/>
      <c r="FH8" s="804"/>
      <c r="FI8" s="804"/>
    </row>
    <row r="9" spans="1:165" ht="15" customHeight="1" thickBot="1" x14ac:dyDescent="0.6">
      <c r="G9" s="764"/>
      <c r="S9">
        <v>3</v>
      </c>
      <c r="T9" s="765">
        <v>21.51</v>
      </c>
      <c r="U9" s="765">
        <v>24.88</v>
      </c>
      <c r="V9" s="766">
        <v>11.9</v>
      </c>
      <c r="W9">
        <v>12.19</v>
      </c>
      <c r="X9" s="766">
        <v>12.8</v>
      </c>
      <c r="Y9">
        <v>0.5</v>
      </c>
      <c r="Z9">
        <v>0.2</v>
      </c>
      <c r="AA9">
        <v>1.4</v>
      </c>
      <c r="AB9">
        <v>1.3</v>
      </c>
      <c r="AC9">
        <v>3.01</v>
      </c>
      <c r="AD9">
        <v>2.78</v>
      </c>
      <c r="AG9">
        <v>7.24</v>
      </c>
      <c r="AH9">
        <v>6.95</v>
      </c>
      <c r="AI9">
        <v>6.26</v>
      </c>
      <c r="AJ9">
        <v>6.14</v>
      </c>
      <c r="AK9">
        <v>6.27</v>
      </c>
      <c r="AL9">
        <v>6.07</v>
      </c>
      <c r="AM9">
        <v>7.96</v>
      </c>
      <c r="AN9">
        <v>7.47</v>
      </c>
      <c r="AO9">
        <v>7.94</v>
      </c>
      <c r="AP9">
        <v>7.66</v>
      </c>
      <c r="AQ9">
        <v>8.02</v>
      </c>
      <c r="AR9">
        <v>7.74</v>
      </c>
      <c r="AS9">
        <v>7.85</v>
      </c>
      <c r="AT9" s="335" t="s">
        <v>0</v>
      </c>
      <c r="AV9" s="765">
        <f>('User Data'!T9/1440)/('1940 - Plant Op.'!J18*704)*1000000</f>
        <v>2.1218039772727275</v>
      </c>
      <c r="AW9" s="765"/>
      <c r="AX9">
        <v>0</v>
      </c>
      <c r="AY9">
        <v>0</v>
      </c>
      <c r="AZ9">
        <v>0</v>
      </c>
      <c r="BA9">
        <v>0</v>
      </c>
      <c r="BB9">
        <v>0</v>
      </c>
      <c r="BC9">
        <v>47</v>
      </c>
      <c r="BD9">
        <v>101.5</v>
      </c>
      <c r="BE9">
        <v>82</v>
      </c>
      <c r="BF9">
        <v>105</v>
      </c>
      <c r="BG9">
        <v>69.5</v>
      </c>
      <c r="BH9">
        <v>29</v>
      </c>
      <c r="BI9">
        <v>56</v>
      </c>
      <c r="BJ9">
        <v>107</v>
      </c>
      <c r="BK9">
        <v>0</v>
      </c>
      <c r="BL9">
        <v>94</v>
      </c>
      <c r="BM9">
        <v>78</v>
      </c>
      <c r="BQ9" s="805"/>
      <c r="BR9" s="1205"/>
      <c r="BS9" s="1207"/>
      <c r="BT9" s="1209"/>
      <c r="BU9" s="1205"/>
      <c r="BV9" s="1207"/>
      <c r="BW9" s="1209"/>
      <c r="BX9" s="1205"/>
      <c r="BY9" s="1207"/>
      <c r="BZ9" s="1209"/>
      <c r="CA9" s="806"/>
      <c r="CB9" s="806"/>
      <c r="CC9" s="807"/>
      <c r="CD9" s="808"/>
      <c r="CE9" s="806"/>
      <c r="CF9" s="809"/>
      <c r="CG9" s="808"/>
      <c r="CH9" s="810"/>
      <c r="CI9" s="806"/>
      <c r="CJ9" s="811"/>
      <c r="CK9" s="812"/>
      <c r="CL9" s="813"/>
      <c r="CM9" s="806" t="s">
        <v>801</v>
      </c>
      <c r="CN9" s="806" t="s">
        <v>801</v>
      </c>
      <c r="CO9" s="814" t="s">
        <v>801</v>
      </c>
      <c r="CP9" s="770"/>
      <c r="CQ9" s="770"/>
      <c r="CR9" s="770"/>
      <c r="CS9" s="810"/>
      <c r="CT9" s="806"/>
      <c r="CU9" s="815"/>
      <c r="CV9" s="815"/>
      <c r="CW9" s="815"/>
      <c r="CX9" s="815"/>
      <c r="CY9" s="1226" t="s">
        <v>810</v>
      </c>
      <c r="CZ9" s="1227"/>
      <c r="DA9" s="1224"/>
      <c r="DB9" s="1225"/>
      <c r="DC9" s="797"/>
      <c r="DD9" s="797"/>
      <c r="DE9" s="806"/>
      <c r="DF9" s="806"/>
      <c r="DG9" s="1094">
        <v>43530</v>
      </c>
      <c r="DH9" s="1095">
        <v>613</v>
      </c>
      <c r="DI9" s="1095" t="s">
        <v>968</v>
      </c>
      <c r="DJ9" s="1095">
        <v>1.73</v>
      </c>
      <c r="DK9" s="782"/>
      <c r="DL9" s="782"/>
      <c r="DM9" s="782"/>
      <c r="DN9" s="782"/>
      <c r="DO9" s="782"/>
      <c r="DP9" s="782"/>
      <c r="DQ9" s="783"/>
      <c r="DR9" s="784"/>
      <c r="DT9" s="799"/>
      <c r="DU9" s="1222"/>
      <c r="DV9" s="798" t="s">
        <v>811</v>
      </c>
      <c r="DW9" s="798" t="s">
        <v>812</v>
      </c>
      <c r="DX9" s="798" t="s">
        <v>801</v>
      </c>
      <c r="DY9" s="798" t="s">
        <v>813</v>
      </c>
      <c r="DZ9" s="798" t="s">
        <v>814</v>
      </c>
      <c r="EA9" s="786" t="s">
        <v>63</v>
      </c>
      <c r="EB9" s="786" t="s">
        <v>62</v>
      </c>
      <c r="EC9" s="786" t="s">
        <v>61</v>
      </c>
      <c r="ED9" s="785" t="s">
        <v>815</v>
      </c>
      <c r="EE9" s="785" t="s">
        <v>815</v>
      </c>
      <c r="EF9" s="785" t="s">
        <v>816</v>
      </c>
      <c r="EG9" s="786" t="s">
        <v>817</v>
      </c>
      <c r="EH9" s="785"/>
      <c r="EI9" s="787" t="s">
        <v>818</v>
      </c>
      <c r="EJ9" s="789"/>
      <c r="EK9" s="785"/>
      <c r="EL9" s="785"/>
      <c r="EM9" s="785" t="s">
        <v>771</v>
      </c>
      <c r="EN9" s="785" t="s">
        <v>777</v>
      </c>
      <c r="EO9" s="785" t="s">
        <v>819</v>
      </c>
      <c r="EP9" s="785" t="s">
        <v>820</v>
      </c>
      <c r="EQ9" s="785" t="s">
        <v>821</v>
      </c>
      <c r="ER9" s="785" t="s">
        <v>822</v>
      </c>
      <c r="ES9" s="786" t="s">
        <v>823</v>
      </c>
      <c r="ET9" s="786" t="s">
        <v>824</v>
      </c>
      <c r="EU9" s="786" t="s">
        <v>825</v>
      </c>
      <c r="EV9" s="798" t="s">
        <v>806</v>
      </c>
      <c r="EW9" s="816" t="s">
        <v>826</v>
      </c>
      <c r="EX9" s="817" t="s">
        <v>0</v>
      </c>
      <c r="EY9" s="816" t="s">
        <v>808</v>
      </c>
      <c r="EZ9" s="817"/>
      <c r="FA9" s="799" t="s">
        <v>771</v>
      </c>
      <c r="FB9" s="799" t="s">
        <v>777</v>
      </c>
      <c r="FC9" s="798" t="s">
        <v>827</v>
      </c>
      <c r="FD9" s="798" t="s">
        <v>820</v>
      </c>
      <c r="FE9" s="798" t="s">
        <v>828</v>
      </c>
      <c r="FF9" s="798" t="s">
        <v>803</v>
      </c>
      <c r="FG9" s="798" t="s">
        <v>829</v>
      </c>
      <c r="FH9" s="804" t="s">
        <v>824</v>
      </c>
      <c r="FI9" s="804" t="s">
        <v>825</v>
      </c>
    </row>
    <row r="10" spans="1:165" ht="15" customHeight="1" thickBot="1" x14ac:dyDescent="0.6">
      <c r="G10" s="764"/>
      <c r="S10">
        <v>4</v>
      </c>
      <c r="T10" s="765">
        <v>25.53</v>
      </c>
      <c r="U10" s="765">
        <v>29.03</v>
      </c>
      <c r="V10" s="766">
        <v>12.14</v>
      </c>
      <c r="W10">
        <v>12.47</v>
      </c>
      <c r="X10" s="766">
        <v>12.8</v>
      </c>
      <c r="Y10">
        <v>0.6</v>
      </c>
      <c r="Z10">
        <v>0.4</v>
      </c>
      <c r="AA10">
        <v>1.8</v>
      </c>
      <c r="AB10">
        <v>1.6</v>
      </c>
      <c r="AC10">
        <v>3.17</v>
      </c>
      <c r="AD10">
        <v>2.68</v>
      </c>
      <c r="AG10">
        <v>7.29</v>
      </c>
      <c r="AH10">
        <v>7.13</v>
      </c>
      <c r="AI10">
        <v>6.39</v>
      </c>
      <c r="AJ10">
        <v>6.1</v>
      </c>
      <c r="AK10">
        <v>6.28</v>
      </c>
      <c r="AL10">
        <v>6.13</v>
      </c>
      <c r="AM10">
        <v>7.79</v>
      </c>
      <c r="AN10">
        <v>7.28</v>
      </c>
      <c r="AO10">
        <v>8.2100000000000009</v>
      </c>
      <c r="AP10">
        <v>7.59</v>
      </c>
      <c r="AQ10">
        <v>8.11</v>
      </c>
      <c r="AR10">
        <v>7.53</v>
      </c>
      <c r="AS10">
        <v>7.87</v>
      </c>
      <c r="AT10" t="s">
        <v>0</v>
      </c>
      <c r="AV10" s="765">
        <f>('User Data'!T10/1440)/('1940 - Plant Op.'!J19*704)*1000000</f>
        <v>2.5183475378787881</v>
      </c>
      <c r="AW10" s="765"/>
      <c r="AX10">
        <v>0</v>
      </c>
      <c r="AY10">
        <v>0</v>
      </c>
      <c r="AZ10">
        <v>0</v>
      </c>
      <c r="BA10">
        <v>0</v>
      </c>
      <c r="BB10">
        <v>0</v>
      </c>
      <c r="BC10">
        <v>71</v>
      </c>
      <c r="BD10">
        <v>46.5</v>
      </c>
      <c r="BE10">
        <v>95</v>
      </c>
      <c r="BF10">
        <v>106.5</v>
      </c>
      <c r="BG10">
        <v>93.5</v>
      </c>
      <c r="BH10">
        <v>53</v>
      </c>
      <c r="BI10">
        <v>80</v>
      </c>
      <c r="BJ10">
        <v>35</v>
      </c>
      <c r="BK10">
        <v>0</v>
      </c>
      <c r="BL10">
        <v>100.5</v>
      </c>
      <c r="BM10">
        <v>96.5</v>
      </c>
      <c r="BQ10" s="805"/>
      <c r="BR10" s="1205"/>
      <c r="BS10" s="1207"/>
      <c r="BT10" s="1209"/>
      <c r="BU10" s="1205"/>
      <c r="BV10" s="1207"/>
      <c r="BW10" s="1209"/>
      <c r="BX10" s="1205"/>
      <c r="BY10" s="1207"/>
      <c r="BZ10" s="1209"/>
      <c r="CA10" s="768"/>
      <c r="CB10" s="768"/>
      <c r="CC10" s="769" t="s">
        <v>830</v>
      </c>
      <c r="CD10" s="769" t="s">
        <v>830</v>
      </c>
      <c r="CE10" s="768" t="s">
        <v>830</v>
      </c>
      <c r="CF10" s="818" t="s">
        <v>830</v>
      </c>
      <c r="CG10" s="818" t="s">
        <v>830</v>
      </c>
      <c r="CH10" s="771" t="s">
        <v>830</v>
      </c>
      <c r="CI10" s="768" t="s">
        <v>830</v>
      </c>
      <c r="CJ10" s="772" t="s">
        <v>830</v>
      </c>
      <c r="CK10" s="773" t="s">
        <v>830</v>
      </c>
      <c r="CL10" s="774" t="s">
        <v>830</v>
      </c>
      <c r="CM10" s="768" t="s">
        <v>830</v>
      </c>
      <c r="CN10" s="768" t="s">
        <v>830</v>
      </c>
      <c r="CO10" s="775" t="s">
        <v>830</v>
      </c>
      <c r="CP10" s="819" t="s">
        <v>830</v>
      </c>
      <c r="CQ10" s="819" t="s">
        <v>831</v>
      </c>
      <c r="CR10" s="819" t="s">
        <v>831</v>
      </c>
      <c r="CS10" s="820" t="s">
        <v>830</v>
      </c>
      <c r="CT10" s="819" t="s">
        <v>830</v>
      </c>
      <c r="CU10" s="821" t="s">
        <v>830</v>
      </c>
      <c r="CV10" s="821" t="s">
        <v>830</v>
      </c>
      <c r="CW10" s="821" t="s">
        <v>830</v>
      </c>
      <c r="CX10" s="821" t="s">
        <v>830</v>
      </c>
      <c r="CY10" s="1228"/>
      <c r="CZ10" s="1229"/>
      <c r="DA10" s="1230"/>
      <c r="DB10" s="1231"/>
      <c r="DC10" s="822"/>
      <c r="DD10" s="823"/>
      <c r="DE10" s="819" t="s">
        <v>830</v>
      </c>
      <c r="DF10" s="819" t="s">
        <v>830</v>
      </c>
      <c r="DG10" s="1094">
        <v>43530</v>
      </c>
      <c r="DH10" s="1095">
        <v>574</v>
      </c>
      <c r="DI10" s="1095" t="s">
        <v>969</v>
      </c>
      <c r="DJ10" s="1095">
        <v>0.61</v>
      </c>
      <c r="DK10" s="782"/>
      <c r="DL10" s="782"/>
      <c r="DM10" s="782"/>
      <c r="DN10" s="782"/>
      <c r="DO10" s="782"/>
      <c r="DP10" s="782"/>
      <c r="DQ10" s="783"/>
      <c r="DR10" s="784"/>
      <c r="DT10" s="824"/>
      <c r="DU10" s="1223"/>
      <c r="DV10" s="824" t="s">
        <v>832</v>
      </c>
      <c r="DW10" s="824"/>
      <c r="DX10" s="824"/>
      <c r="DY10" s="824" t="s">
        <v>833</v>
      </c>
      <c r="DZ10" s="824" t="s">
        <v>834</v>
      </c>
      <c r="EA10" s="825" t="s">
        <v>802</v>
      </c>
      <c r="EB10" s="825" t="s">
        <v>802</v>
      </c>
      <c r="EC10" s="825" t="s">
        <v>802</v>
      </c>
      <c r="ED10" s="825" t="s">
        <v>835</v>
      </c>
      <c r="EE10" s="824" t="s">
        <v>836</v>
      </c>
      <c r="EF10" s="825" t="s">
        <v>817</v>
      </c>
      <c r="EG10" s="824" t="s">
        <v>837</v>
      </c>
      <c r="EH10" s="825" t="s">
        <v>838</v>
      </c>
      <c r="EI10" s="826" t="s">
        <v>839</v>
      </c>
      <c r="EJ10" s="826" t="s">
        <v>840</v>
      </c>
      <c r="EK10" s="824" t="s">
        <v>839</v>
      </c>
      <c r="EL10" s="824" t="s">
        <v>840</v>
      </c>
      <c r="EM10" s="824"/>
      <c r="EN10" s="824"/>
      <c r="EO10" s="825" t="s">
        <v>841</v>
      </c>
      <c r="EP10" s="824"/>
      <c r="EQ10" s="825" t="s">
        <v>842</v>
      </c>
      <c r="ER10" s="825" t="s">
        <v>842</v>
      </c>
      <c r="ES10" s="824" t="s">
        <v>843</v>
      </c>
      <c r="ET10" s="825" t="s">
        <v>395</v>
      </c>
      <c r="EU10" s="825" t="s">
        <v>395</v>
      </c>
      <c r="EV10" s="824"/>
      <c r="EW10" s="826" t="s">
        <v>839</v>
      </c>
      <c r="EX10" s="826" t="s">
        <v>840</v>
      </c>
      <c r="EY10" s="826" t="s">
        <v>839</v>
      </c>
      <c r="EZ10" s="826" t="s">
        <v>840</v>
      </c>
      <c r="FA10" s="824"/>
      <c r="FB10" s="824"/>
      <c r="FC10" s="825" t="s">
        <v>844</v>
      </c>
      <c r="FD10" s="824"/>
      <c r="FE10" s="824" t="s">
        <v>845</v>
      </c>
      <c r="FF10" s="824" t="s">
        <v>845</v>
      </c>
      <c r="FG10" s="825" t="s">
        <v>846</v>
      </c>
      <c r="FH10" s="827" t="s">
        <v>395</v>
      </c>
      <c r="FI10" s="827" t="s">
        <v>395</v>
      </c>
    </row>
    <row r="11" spans="1:165" ht="15" customHeight="1" thickBot="1" x14ac:dyDescent="0.6">
      <c r="S11">
        <v>5</v>
      </c>
      <c r="T11" s="765">
        <v>25.43</v>
      </c>
      <c r="U11" s="765">
        <v>28.46</v>
      </c>
      <c r="V11" s="766">
        <v>13.13</v>
      </c>
      <c r="W11">
        <v>13.45</v>
      </c>
      <c r="X11" s="766">
        <v>12.84</v>
      </c>
      <c r="Y11">
        <v>0.6</v>
      </c>
      <c r="Z11">
        <v>0.3</v>
      </c>
      <c r="AA11">
        <v>1.8</v>
      </c>
      <c r="AB11">
        <v>1.3</v>
      </c>
      <c r="AC11">
        <v>3.22</v>
      </c>
      <c r="AD11">
        <v>2.93</v>
      </c>
      <c r="AG11">
        <v>7.27</v>
      </c>
      <c r="AH11">
        <v>7.04</v>
      </c>
      <c r="AI11">
        <v>6.33</v>
      </c>
      <c r="AJ11">
        <v>6.19</v>
      </c>
      <c r="AK11">
        <v>6.33</v>
      </c>
      <c r="AL11">
        <v>6.18</v>
      </c>
      <c r="AM11">
        <v>7.96</v>
      </c>
      <c r="AN11">
        <v>7.44</v>
      </c>
      <c r="AO11">
        <v>8.08</v>
      </c>
      <c r="AP11">
        <v>7.5</v>
      </c>
      <c r="AQ11">
        <v>8.11</v>
      </c>
      <c r="AR11">
        <v>7.81</v>
      </c>
      <c r="AS11">
        <v>7.94</v>
      </c>
      <c r="AV11" s="765">
        <f>('User Data'!T11/1440)/('1940 - Plant Op.'!J20*704)*1000000</f>
        <v>2.5084832702020203</v>
      </c>
      <c r="AW11" s="765"/>
      <c r="AX11">
        <v>0</v>
      </c>
      <c r="AY11">
        <v>0</v>
      </c>
      <c r="AZ11">
        <v>0</v>
      </c>
      <c r="BA11">
        <v>0</v>
      </c>
      <c r="BB11">
        <v>0</v>
      </c>
      <c r="BC11">
        <v>95</v>
      </c>
      <c r="BD11">
        <v>70.5</v>
      </c>
      <c r="BE11">
        <v>35</v>
      </c>
      <c r="BF11">
        <v>46.5</v>
      </c>
      <c r="BG11">
        <v>97.5</v>
      </c>
      <c r="BH11">
        <v>77</v>
      </c>
      <c r="BI11">
        <v>96</v>
      </c>
      <c r="BJ11">
        <v>59</v>
      </c>
      <c r="BK11">
        <v>0</v>
      </c>
      <c r="BL11">
        <v>41.5</v>
      </c>
      <c r="BM11">
        <v>29.5</v>
      </c>
      <c r="BP11" s="258"/>
      <c r="BQ11" s="828">
        <v>1</v>
      </c>
      <c r="BR11" s="829">
        <v>21</v>
      </c>
      <c r="BS11" s="830">
        <v>0.77</v>
      </c>
      <c r="BT11" s="831">
        <v>23</v>
      </c>
      <c r="BU11" s="832">
        <v>0.97</v>
      </c>
      <c r="BV11" s="832">
        <v>2.38</v>
      </c>
      <c r="BW11" s="832">
        <v>0.98</v>
      </c>
      <c r="BX11" s="832">
        <v>25.58</v>
      </c>
      <c r="BY11" s="832">
        <v>13.25</v>
      </c>
      <c r="BZ11" s="832">
        <v>27.75</v>
      </c>
      <c r="CA11" s="1092">
        <v>103</v>
      </c>
      <c r="CB11" s="1092">
        <v>0</v>
      </c>
      <c r="CC11" s="835">
        <f>2.497*CU11+4.118*CW11</f>
        <v>26.383362300000002</v>
      </c>
      <c r="CD11" s="835">
        <f>2.497*CV11+4.118*CX11</f>
        <v>26.785938099999999</v>
      </c>
      <c r="CE11" s="834">
        <v>9.65</v>
      </c>
      <c r="CF11" s="1098">
        <v>0.94920000000000004</v>
      </c>
      <c r="CG11" s="836">
        <v>0</v>
      </c>
      <c r="CH11" s="1081">
        <v>0</v>
      </c>
      <c r="CI11" s="834">
        <v>0.76500000000000001</v>
      </c>
      <c r="CK11" s="834">
        <v>11.8</v>
      </c>
      <c r="CL11" s="834"/>
      <c r="CN11" s="834"/>
      <c r="CO11" s="837"/>
      <c r="CP11" s="782"/>
      <c r="CQ11" s="834">
        <v>103</v>
      </c>
      <c r="CR11" s="834">
        <v>185</v>
      </c>
      <c r="CS11" s="834">
        <v>0</v>
      </c>
      <c r="CT11" s="834">
        <v>0</v>
      </c>
      <c r="CU11" s="1098">
        <v>6.3056999999999999</v>
      </c>
      <c r="CV11" s="1098">
        <v>6.6955</v>
      </c>
      <c r="CW11" s="1098">
        <v>2.5832999999999999</v>
      </c>
      <c r="CX11" s="1098">
        <v>2.4447000000000001</v>
      </c>
      <c r="CY11" s="838"/>
      <c r="CZ11" s="782">
        <v>387.3</v>
      </c>
      <c r="DB11" s="782">
        <v>47.3</v>
      </c>
      <c r="DC11" s="782" t="s">
        <v>363</v>
      </c>
      <c r="DD11" s="782" t="s">
        <v>363</v>
      </c>
      <c r="DE11" s="834"/>
      <c r="DF11" s="782"/>
      <c r="DG11" s="1094">
        <v>43530</v>
      </c>
      <c r="DH11" s="1095">
        <v>599</v>
      </c>
      <c r="DI11" s="1095" t="s">
        <v>970</v>
      </c>
      <c r="DJ11" s="1095">
        <v>0.54</v>
      </c>
      <c r="DK11" s="782"/>
      <c r="DL11" s="782"/>
      <c r="DM11" s="782"/>
      <c r="DN11" s="782"/>
      <c r="DO11" s="782"/>
      <c r="DP11" s="782"/>
      <c r="DQ11" s="783"/>
      <c r="DR11" s="784"/>
      <c r="DS11" s="197"/>
      <c r="DT11" s="840">
        <v>1</v>
      </c>
      <c r="DU11" s="841">
        <v>25.64</v>
      </c>
      <c r="DV11" s="842">
        <v>23.22</v>
      </c>
      <c r="DW11" s="843">
        <v>22.94</v>
      </c>
      <c r="DX11" s="842">
        <v>20.23</v>
      </c>
      <c r="DY11" s="844">
        <v>24</v>
      </c>
      <c r="DZ11" s="845"/>
      <c r="EA11" s="846">
        <v>8</v>
      </c>
      <c r="EB11" s="846">
        <v>98.5</v>
      </c>
      <c r="EC11" s="846"/>
      <c r="ED11" s="843">
        <v>10</v>
      </c>
      <c r="EE11" s="843">
        <v>2</v>
      </c>
      <c r="EF11" s="846"/>
      <c r="EG11" s="847">
        <v>490</v>
      </c>
      <c r="EH11" s="848" t="s">
        <v>0</v>
      </c>
      <c r="EI11" s="849"/>
      <c r="EJ11" s="849" t="s">
        <v>0</v>
      </c>
      <c r="EK11" s="849" t="s">
        <v>0</v>
      </c>
      <c r="EL11" s="847" t="s">
        <v>0</v>
      </c>
      <c r="EM11" s="850">
        <v>773</v>
      </c>
      <c r="EN11" s="849"/>
      <c r="EO11" s="849"/>
      <c r="EP11" s="851"/>
      <c r="EQ11" s="852"/>
      <c r="ER11" s="849"/>
      <c r="ES11" s="849"/>
      <c r="ET11" s="849"/>
      <c r="EU11" s="853"/>
      <c r="EV11" s="714">
        <v>58.56</v>
      </c>
      <c r="EW11" s="854">
        <v>9.1300000000000008</v>
      </c>
      <c r="EX11" s="714">
        <v>11.93</v>
      </c>
      <c r="EY11" s="854">
        <v>0.84</v>
      </c>
      <c r="EZ11" s="854">
        <v>2.52</v>
      </c>
      <c r="FA11" s="854">
        <v>0.79</v>
      </c>
      <c r="FB11" s="854">
        <v>0</v>
      </c>
      <c r="FC11" s="854">
        <v>2.76</v>
      </c>
      <c r="FD11" s="854">
        <v>30.17</v>
      </c>
      <c r="FE11" s="854">
        <v>0.11</v>
      </c>
      <c r="FF11" s="854">
        <v>0.13</v>
      </c>
      <c r="FG11" s="854"/>
      <c r="FH11" s="854">
        <v>4.99</v>
      </c>
      <c r="FI11" s="855"/>
    </row>
    <row r="12" spans="1:165" ht="15" customHeight="1" thickBot="1" x14ac:dyDescent="0.6">
      <c r="C12" t="s">
        <v>847</v>
      </c>
      <c r="D12" s="856" t="s">
        <v>848</v>
      </c>
      <c r="H12" s="346" t="s">
        <v>849</v>
      </c>
      <c r="I12" s="856" t="s">
        <v>713</v>
      </c>
      <c r="S12">
        <v>6</v>
      </c>
      <c r="T12" s="765">
        <v>21.35</v>
      </c>
      <c r="U12" s="765">
        <v>25.09</v>
      </c>
      <c r="V12" s="766">
        <v>13.1</v>
      </c>
      <c r="W12">
        <v>13.33</v>
      </c>
      <c r="X12" s="766">
        <v>12.56</v>
      </c>
      <c r="Y12">
        <v>0.5</v>
      </c>
      <c r="Z12">
        <v>0.3</v>
      </c>
      <c r="AA12">
        <v>1.6</v>
      </c>
      <c r="AB12">
        <v>1.7</v>
      </c>
      <c r="AC12">
        <v>3.3</v>
      </c>
      <c r="AD12">
        <v>2.87</v>
      </c>
      <c r="AG12">
        <v>7.32</v>
      </c>
      <c r="AH12">
        <v>7.08</v>
      </c>
      <c r="AI12">
        <v>6.38</v>
      </c>
      <c r="AJ12">
        <v>6.19</v>
      </c>
      <c r="AK12">
        <v>6.33</v>
      </c>
      <c r="AL12">
        <v>6.2</v>
      </c>
      <c r="AM12">
        <v>7.7</v>
      </c>
      <c r="AN12">
        <v>7.45</v>
      </c>
      <c r="AO12">
        <v>7.64</v>
      </c>
      <c r="AP12">
        <v>7.54</v>
      </c>
      <c r="AQ12">
        <v>7.85</v>
      </c>
      <c r="AR12">
        <v>7.6</v>
      </c>
      <c r="AS12">
        <v>7.69</v>
      </c>
      <c r="AV12" s="765">
        <f>('User Data'!T12/1440)/('1940 - Plant Op.'!J21*704)*1000000</f>
        <v>2.1060211489898992</v>
      </c>
      <c r="AW12" s="765"/>
      <c r="AX12">
        <v>0</v>
      </c>
      <c r="AY12">
        <v>0</v>
      </c>
      <c r="AZ12">
        <v>0</v>
      </c>
      <c r="BA12">
        <v>0</v>
      </c>
      <c r="BB12">
        <v>0</v>
      </c>
      <c r="BC12">
        <v>96</v>
      </c>
      <c r="BD12">
        <v>94.5</v>
      </c>
      <c r="BE12">
        <v>59</v>
      </c>
      <c r="BF12">
        <v>70.5</v>
      </c>
      <c r="BG12">
        <v>44</v>
      </c>
      <c r="BH12">
        <v>91</v>
      </c>
      <c r="BI12">
        <v>32</v>
      </c>
      <c r="BJ12">
        <v>83</v>
      </c>
      <c r="BK12">
        <v>0</v>
      </c>
      <c r="BL12">
        <v>65.5</v>
      </c>
      <c r="BM12">
        <v>53.5</v>
      </c>
      <c r="BP12" s="258"/>
      <c r="BQ12" s="857">
        <v>2</v>
      </c>
      <c r="BR12" s="829">
        <v>22.2</v>
      </c>
      <c r="BS12" s="830">
        <v>0.68</v>
      </c>
      <c r="BT12" s="831">
        <v>24</v>
      </c>
      <c r="BU12" s="832">
        <v>1.24</v>
      </c>
      <c r="BV12" s="832">
        <v>2.31</v>
      </c>
      <c r="BW12" s="832">
        <v>1.1000000000000001</v>
      </c>
      <c r="BX12" s="832">
        <v>24.17</v>
      </c>
      <c r="BY12" s="832">
        <v>15.33</v>
      </c>
      <c r="BZ12" s="832">
        <v>25</v>
      </c>
      <c r="CA12" s="1092">
        <v>99</v>
      </c>
      <c r="CB12" s="1092">
        <v>0</v>
      </c>
      <c r="CC12" s="835">
        <f t="shared" ref="CC12:CC41" si="0">2.497*CU12+4.118*CW12</f>
        <v>26.610054699999999</v>
      </c>
      <c r="CD12" s="835">
        <f t="shared" ref="CD12:CD41" si="1">2.497*CV12+4.118*CX12</f>
        <v>27.284466900000002</v>
      </c>
      <c r="CE12" s="834"/>
      <c r="CF12" s="1098">
        <v>0.86609999999999998</v>
      </c>
      <c r="CG12" s="836">
        <v>0</v>
      </c>
      <c r="CH12" s="1081">
        <v>0</v>
      </c>
      <c r="CI12" s="834">
        <v>0.80400000000000005</v>
      </c>
      <c r="CK12"/>
      <c r="CL12" s="834"/>
      <c r="CN12"/>
      <c r="CO12" s="837"/>
      <c r="CP12" s="782"/>
      <c r="CQ12" s="834">
        <v>101</v>
      </c>
      <c r="CR12" s="834">
        <v>184</v>
      </c>
      <c r="CS12" s="834"/>
      <c r="CT12" s="834"/>
      <c r="CU12" s="1098">
        <v>6.3982999999999999</v>
      </c>
      <c r="CV12" s="1098">
        <v>6.8371000000000004</v>
      </c>
      <c r="CW12" s="1098">
        <v>2.5821999999999998</v>
      </c>
      <c r="CX12" s="1098">
        <v>2.4799000000000002</v>
      </c>
      <c r="CY12" s="838"/>
      <c r="CZ12" s="782">
        <v>325.5</v>
      </c>
      <c r="DB12" s="782">
        <v>9.6999999999999993</v>
      </c>
      <c r="DC12" s="782" t="s">
        <v>363</v>
      </c>
      <c r="DD12" s="782" t="s">
        <v>363</v>
      </c>
      <c r="DE12" s="858"/>
      <c r="DF12" s="859"/>
      <c r="DG12" s="1094">
        <v>43530</v>
      </c>
      <c r="DH12" s="1095">
        <v>559</v>
      </c>
      <c r="DI12" s="1095" t="s">
        <v>971</v>
      </c>
      <c r="DJ12" s="1095">
        <v>2.11</v>
      </c>
      <c r="DK12" s="782"/>
      <c r="DL12" s="782"/>
      <c r="DM12" s="782"/>
      <c r="DN12" s="782"/>
      <c r="DO12" s="782"/>
      <c r="DP12" s="782"/>
      <c r="DQ12" s="783"/>
      <c r="DR12" s="784"/>
      <c r="DS12" s="197"/>
      <c r="DT12" s="840">
        <v>2</v>
      </c>
      <c r="DU12" s="841">
        <v>23.9</v>
      </c>
      <c r="DV12" s="842">
        <v>21.15</v>
      </c>
      <c r="DW12" s="843">
        <v>20.9</v>
      </c>
      <c r="DX12" s="842">
        <v>18.63</v>
      </c>
      <c r="DY12" s="844">
        <v>24</v>
      </c>
      <c r="DZ12" s="845"/>
      <c r="EA12" s="846">
        <v>5</v>
      </c>
      <c r="EB12" s="846">
        <v>101.5</v>
      </c>
      <c r="EC12" s="846"/>
      <c r="ED12" s="843">
        <v>10</v>
      </c>
      <c r="EE12" s="843">
        <v>2</v>
      </c>
      <c r="EF12" s="846"/>
      <c r="EG12" s="847">
        <v>480</v>
      </c>
      <c r="EH12" s="848" t="s">
        <v>0</v>
      </c>
      <c r="EI12" s="849"/>
      <c r="EJ12" s="849" t="s">
        <v>0</v>
      </c>
      <c r="EK12" s="849" t="s">
        <v>0</v>
      </c>
      <c r="EL12" s="847" t="s">
        <v>0</v>
      </c>
      <c r="EM12" s="850">
        <v>673</v>
      </c>
      <c r="EN12" s="849"/>
      <c r="EO12" s="849"/>
      <c r="EP12" s="851"/>
      <c r="EQ12" s="852"/>
      <c r="ER12" s="849"/>
      <c r="ES12" s="849"/>
      <c r="ET12" s="849"/>
      <c r="EU12" s="853"/>
      <c r="EV12" s="714">
        <v>57.22</v>
      </c>
      <c r="EW12" s="854">
        <v>9.5</v>
      </c>
      <c r="EX12" s="714">
        <v>12.5</v>
      </c>
      <c r="EY12" s="854">
        <v>0.85</v>
      </c>
      <c r="EZ12" s="854">
        <v>2.74</v>
      </c>
      <c r="FA12" s="854">
        <v>0.8</v>
      </c>
      <c r="FB12" s="854">
        <v>0</v>
      </c>
      <c r="FC12" s="854">
        <v>2.83</v>
      </c>
      <c r="FD12" s="854">
        <v>29.92</v>
      </c>
      <c r="FE12" s="854">
        <v>0.11</v>
      </c>
      <c r="FF12" s="854">
        <v>0.12</v>
      </c>
      <c r="FG12" s="854"/>
      <c r="FH12" s="854">
        <v>5</v>
      </c>
      <c r="FI12" s="855"/>
    </row>
    <row r="13" spans="1:165" ht="15" customHeight="1" thickBot="1" x14ac:dyDescent="0.6">
      <c r="D13" s="856"/>
      <c r="H13" s="839"/>
      <c r="I13" s="860"/>
      <c r="S13">
        <v>7</v>
      </c>
      <c r="T13" s="765">
        <v>23.63</v>
      </c>
      <c r="U13" s="765">
        <v>25.15</v>
      </c>
      <c r="V13" s="766">
        <v>12.92</v>
      </c>
      <c r="W13">
        <v>12.97</v>
      </c>
      <c r="X13" s="766">
        <v>12.1</v>
      </c>
      <c r="Y13">
        <v>0.5</v>
      </c>
      <c r="Z13">
        <v>0.2</v>
      </c>
      <c r="AA13">
        <v>1.6</v>
      </c>
      <c r="AB13">
        <v>1.3</v>
      </c>
      <c r="AC13">
        <v>3.06</v>
      </c>
      <c r="AD13">
        <v>2.95</v>
      </c>
      <c r="AG13">
        <v>7.28</v>
      </c>
      <c r="AH13">
        <v>7.1</v>
      </c>
      <c r="AI13">
        <v>6.32</v>
      </c>
      <c r="AJ13">
        <v>6.21</v>
      </c>
      <c r="AK13">
        <v>6.35</v>
      </c>
      <c r="AL13">
        <v>6.23</v>
      </c>
      <c r="AM13">
        <v>7.81</v>
      </c>
      <c r="AN13">
        <v>7.55</v>
      </c>
      <c r="AO13">
        <v>7.94</v>
      </c>
      <c r="AP13">
        <v>7.6</v>
      </c>
      <c r="AQ13">
        <v>8.06</v>
      </c>
      <c r="AR13">
        <v>7.77</v>
      </c>
      <c r="AS13">
        <v>7.94</v>
      </c>
      <c r="AV13" s="765">
        <f>('User Data'!T13/1440)/('1940 - Plant Op.'!J22*704)*1000000</f>
        <v>2.330926452020202</v>
      </c>
      <c r="AW13" s="765"/>
      <c r="AX13">
        <v>0</v>
      </c>
      <c r="AY13">
        <v>0</v>
      </c>
      <c r="AZ13">
        <v>0</v>
      </c>
      <c r="BA13">
        <v>0</v>
      </c>
      <c r="BB13">
        <v>0</v>
      </c>
      <c r="BC13">
        <v>47</v>
      </c>
      <c r="BD13">
        <v>96.5</v>
      </c>
      <c r="BE13">
        <v>83</v>
      </c>
      <c r="BF13">
        <v>91.5</v>
      </c>
      <c r="BG13">
        <v>68</v>
      </c>
      <c r="BH13">
        <v>34</v>
      </c>
      <c r="BI13">
        <v>56</v>
      </c>
      <c r="BJ13">
        <v>96</v>
      </c>
      <c r="BK13">
        <v>0</v>
      </c>
      <c r="BL13">
        <v>89.5</v>
      </c>
      <c r="BM13">
        <v>77.5</v>
      </c>
      <c r="BP13" s="258"/>
      <c r="BQ13" s="857">
        <v>3</v>
      </c>
      <c r="BR13" s="829">
        <v>22.3</v>
      </c>
      <c r="BS13" s="830">
        <v>0.78</v>
      </c>
      <c r="BT13" s="831">
        <v>21</v>
      </c>
      <c r="BU13" s="832">
        <v>1.39</v>
      </c>
      <c r="BV13" s="832">
        <v>1.53</v>
      </c>
      <c r="BW13" s="832">
        <v>1.7</v>
      </c>
      <c r="BX13" s="832">
        <v>26.9</v>
      </c>
      <c r="BY13" s="832">
        <v>13</v>
      </c>
      <c r="BZ13" s="832">
        <v>29.3</v>
      </c>
      <c r="CA13" s="1092">
        <v>119</v>
      </c>
      <c r="CB13" s="1092">
        <v>0</v>
      </c>
      <c r="CC13" s="835">
        <f t="shared" si="0"/>
        <v>24.8111204</v>
      </c>
      <c r="CD13" s="835">
        <f t="shared" si="1"/>
        <v>27.1185762</v>
      </c>
      <c r="CE13" s="834"/>
      <c r="CF13" s="1098">
        <v>1.1463000000000001</v>
      </c>
      <c r="CG13" s="836">
        <v>0</v>
      </c>
      <c r="CH13" s="1081">
        <v>0</v>
      </c>
      <c r="CI13" s="834">
        <v>0.79200000000000004</v>
      </c>
      <c r="CK13"/>
      <c r="CL13" s="834"/>
      <c r="CN13"/>
      <c r="CQ13" s="834">
        <v>93</v>
      </c>
      <c r="CR13" s="834">
        <v>184</v>
      </c>
      <c r="CS13" s="834"/>
      <c r="CT13" s="834"/>
      <c r="CU13" s="1098">
        <v>5.8220000000000001</v>
      </c>
      <c r="CV13" s="1098">
        <v>6.8490000000000002</v>
      </c>
      <c r="CW13" s="1098">
        <v>2.4948000000000001</v>
      </c>
      <c r="CX13" s="1098">
        <v>2.4323999999999999</v>
      </c>
      <c r="CY13" s="838"/>
      <c r="CZ13" s="782">
        <v>387.3</v>
      </c>
      <c r="DB13" s="782">
        <v>21.6</v>
      </c>
      <c r="DC13" s="782" t="s">
        <v>363</v>
      </c>
      <c r="DD13" s="782" t="s">
        <v>363</v>
      </c>
      <c r="DE13" s="862"/>
      <c r="DF13" s="863"/>
      <c r="DG13" s="1094">
        <v>43537</v>
      </c>
      <c r="DH13" s="1095">
        <v>574</v>
      </c>
      <c r="DI13" s="1095" t="s">
        <v>969</v>
      </c>
      <c r="DJ13" s="1095">
        <v>1.34</v>
      </c>
      <c r="DK13" s="782"/>
      <c r="DL13" s="782"/>
      <c r="DM13" s="782"/>
      <c r="DN13" s="782"/>
      <c r="DO13" s="782"/>
      <c r="DP13" s="782"/>
      <c r="DQ13" s="783"/>
      <c r="DR13" s="784"/>
      <c r="DS13" s="197"/>
      <c r="DT13" s="840">
        <v>3</v>
      </c>
      <c r="DU13" s="841">
        <v>22</v>
      </c>
      <c r="DV13" s="842">
        <v>18.5</v>
      </c>
      <c r="DW13" s="843">
        <v>17.97</v>
      </c>
      <c r="DX13" s="842">
        <v>17.55</v>
      </c>
      <c r="DY13" s="844">
        <v>24</v>
      </c>
      <c r="DZ13" s="845"/>
      <c r="EA13" s="846">
        <v>11</v>
      </c>
      <c r="EB13" s="846">
        <v>107</v>
      </c>
      <c r="EC13" s="846"/>
      <c r="ED13" s="843">
        <v>10</v>
      </c>
      <c r="EE13" s="843">
        <v>2</v>
      </c>
      <c r="EF13" s="846"/>
      <c r="EG13" s="847">
        <v>510</v>
      </c>
      <c r="EH13" s="848" t="s">
        <v>0</v>
      </c>
      <c r="EI13" s="849"/>
      <c r="EJ13" s="849" t="s">
        <v>0</v>
      </c>
      <c r="EK13" s="849" t="s">
        <v>0</v>
      </c>
      <c r="EL13" s="847" t="s">
        <v>0</v>
      </c>
      <c r="EM13" s="850">
        <v>530</v>
      </c>
      <c r="EN13" s="849"/>
      <c r="EO13" s="849"/>
      <c r="EP13" s="851"/>
      <c r="EQ13" s="852"/>
      <c r="ER13" s="849"/>
      <c r="ES13" s="849"/>
      <c r="ET13" s="849"/>
      <c r="EU13" s="853"/>
      <c r="EV13" s="714">
        <v>59.38</v>
      </c>
      <c r="EW13" s="854">
        <v>8.8000000000000007</v>
      </c>
      <c r="EX13" s="714">
        <v>12.48</v>
      </c>
      <c r="EY13" s="854">
        <v>0.92</v>
      </c>
      <c r="EZ13" s="854">
        <v>2.9</v>
      </c>
      <c r="FA13" s="854">
        <v>0.86</v>
      </c>
      <c r="FB13" s="854">
        <v>0</v>
      </c>
      <c r="FC13" s="854">
        <v>2.78</v>
      </c>
      <c r="FD13" s="854">
        <v>24.44</v>
      </c>
      <c r="FE13" s="854">
        <v>0.11</v>
      </c>
      <c r="FF13" s="854">
        <v>0.12</v>
      </c>
      <c r="FG13" s="854"/>
      <c r="FH13" s="854">
        <v>3.96</v>
      </c>
      <c r="FI13" s="855"/>
    </row>
    <row r="14" spans="1:165" ht="15" customHeight="1" thickBot="1" x14ac:dyDescent="0.6">
      <c r="C14" t="s">
        <v>850</v>
      </c>
      <c r="D14" s="856" t="s">
        <v>851</v>
      </c>
      <c r="S14">
        <v>8</v>
      </c>
      <c r="T14" s="765">
        <v>23.69</v>
      </c>
      <c r="U14" s="765">
        <v>24.35</v>
      </c>
      <c r="V14" s="766">
        <v>13.47</v>
      </c>
      <c r="W14">
        <v>13.46</v>
      </c>
      <c r="X14" s="766">
        <v>12.1</v>
      </c>
      <c r="Y14">
        <v>0.6</v>
      </c>
      <c r="Z14">
        <v>0.4</v>
      </c>
      <c r="AA14">
        <v>1.7</v>
      </c>
      <c r="AB14">
        <v>1.6</v>
      </c>
      <c r="AC14">
        <v>3.1</v>
      </c>
      <c r="AD14">
        <v>2.71</v>
      </c>
      <c r="AG14">
        <v>7.44</v>
      </c>
      <c r="AH14">
        <v>7.15</v>
      </c>
      <c r="AI14">
        <v>6.67</v>
      </c>
      <c r="AJ14">
        <v>6.27</v>
      </c>
      <c r="AK14">
        <v>6.47</v>
      </c>
      <c r="AL14">
        <v>6.3</v>
      </c>
      <c r="AM14">
        <v>7.9</v>
      </c>
      <c r="AN14">
        <v>7.46</v>
      </c>
      <c r="AO14">
        <v>7.95</v>
      </c>
      <c r="AP14">
        <v>7.64</v>
      </c>
      <c r="AQ14">
        <v>8.02</v>
      </c>
      <c r="AR14">
        <v>7.78</v>
      </c>
      <c r="AS14">
        <v>7.92</v>
      </c>
      <c r="AV14" s="765">
        <f>('User Data'!T14/1440)/('1940 - Plant Op.'!J23*704)*1000000</f>
        <v>2.3368450126262625</v>
      </c>
      <c r="AW14" s="765"/>
      <c r="AX14">
        <v>0</v>
      </c>
      <c r="AY14">
        <v>0</v>
      </c>
      <c r="AZ14">
        <v>0</v>
      </c>
      <c r="BA14">
        <v>0</v>
      </c>
      <c r="BB14">
        <v>0</v>
      </c>
      <c r="BC14">
        <v>71</v>
      </c>
      <c r="BD14">
        <v>46</v>
      </c>
      <c r="BE14">
        <v>101</v>
      </c>
      <c r="BF14">
        <v>27</v>
      </c>
      <c r="BG14">
        <v>92</v>
      </c>
      <c r="BH14">
        <v>58</v>
      </c>
      <c r="BI14">
        <v>80</v>
      </c>
      <c r="BJ14">
        <v>35</v>
      </c>
      <c r="BK14">
        <v>0</v>
      </c>
      <c r="BL14">
        <v>96</v>
      </c>
      <c r="BM14">
        <v>101.5</v>
      </c>
      <c r="BP14" s="258"/>
      <c r="BQ14" s="857">
        <v>4</v>
      </c>
      <c r="BR14" s="829">
        <v>22.2</v>
      </c>
      <c r="BS14" s="830">
        <v>0.97</v>
      </c>
      <c r="BT14" s="831">
        <v>23</v>
      </c>
      <c r="BU14" s="832">
        <v>0.9</v>
      </c>
      <c r="BV14" s="832">
        <v>2.62</v>
      </c>
      <c r="BW14" s="832">
        <v>1.29</v>
      </c>
      <c r="BX14" s="832">
        <v>25.5</v>
      </c>
      <c r="BY14" s="832">
        <v>13.5</v>
      </c>
      <c r="BZ14" s="832">
        <v>28.7</v>
      </c>
      <c r="CA14" s="1092">
        <v>104</v>
      </c>
      <c r="CB14" s="1092">
        <v>0</v>
      </c>
      <c r="CC14" s="835">
        <f t="shared" si="0"/>
        <v>25.313717400000002</v>
      </c>
      <c r="CD14" s="835">
        <f t="shared" si="1"/>
        <v>26.1546533</v>
      </c>
      <c r="CE14" s="834">
        <v>9.6</v>
      </c>
      <c r="CF14" s="1098">
        <v>0.95279999999999998</v>
      </c>
      <c r="CG14" s="836">
        <v>0</v>
      </c>
      <c r="CH14" s="1081">
        <v>0</v>
      </c>
      <c r="CI14" s="834">
        <v>0.745</v>
      </c>
      <c r="CK14"/>
      <c r="CL14" s="834"/>
      <c r="CN14" s="1081"/>
      <c r="CO14" s="864"/>
      <c r="CQ14" s="834">
        <v>97</v>
      </c>
      <c r="CR14" s="834">
        <v>180</v>
      </c>
      <c r="CS14" s="834"/>
      <c r="CT14" s="834"/>
      <c r="CU14" s="1098">
        <v>6.0339999999999998</v>
      </c>
      <c r="CV14" s="1098">
        <v>6.5385</v>
      </c>
      <c r="CW14" s="1098">
        <v>2.4883000000000002</v>
      </c>
      <c r="CX14" s="1098">
        <v>2.3866000000000001</v>
      </c>
      <c r="CY14" s="838"/>
      <c r="CZ14" s="782">
        <v>203.5</v>
      </c>
      <c r="DB14" s="782">
        <v>24.6</v>
      </c>
      <c r="DC14" s="782" t="s">
        <v>363</v>
      </c>
      <c r="DD14" s="782" t="s">
        <v>363</v>
      </c>
      <c r="DE14" s="858"/>
      <c r="DF14" s="863"/>
      <c r="DG14" s="1094">
        <v>43537</v>
      </c>
      <c r="DH14" s="1095">
        <v>555</v>
      </c>
      <c r="DI14" s="1095" t="s">
        <v>972</v>
      </c>
      <c r="DJ14" s="1095">
        <v>1.37</v>
      </c>
      <c r="DK14" s="782"/>
      <c r="DL14" s="782"/>
      <c r="DM14" s="782"/>
      <c r="DN14" s="782"/>
      <c r="DO14" s="782"/>
      <c r="DP14" s="782"/>
      <c r="DQ14" s="783"/>
      <c r="DR14" s="784"/>
      <c r="DS14" s="197"/>
      <c r="DT14" s="840">
        <v>4</v>
      </c>
      <c r="DU14" s="841">
        <v>25.17</v>
      </c>
      <c r="DV14" s="842">
        <v>23.05</v>
      </c>
      <c r="DW14" s="843">
        <v>22.8</v>
      </c>
      <c r="DX14" s="842">
        <v>19.79</v>
      </c>
      <c r="DY14" s="844">
        <v>24</v>
      </c>
      <c r="DZ14" s="845"/>
      <c r="EA14" s="846">
        <v>5.5</v>
      </c>
      <c r="EB14" s="846">
        <v>106.5</v>
      </c>
      <c r="EC14" s="846"/>
      <c r="ED14" s="843">
        <v>10</v>
      </c>
      <c r="EE14" s="843">
        <v>4</v>
      </c>
      <c r="EF14" s="846"/>
      <c r="EG14" s="847">
        <v>970</v>
      </c>
      <c r="EH14" s="848" t="s">
        <v>0</v>
      </c>
      <c r="EI14" s="849"/>
      <c r="EJ14" s="849" t="s">
        <v>0</v>
      </c>
      <c r="EK14" s="849" t="s">
        <v>0</v>
      </c>
      <c r="EL14" s="847" t="s">
        <v>0</v>
      </c>
      <c r="EM14" s="850">
        <v>751</v>
      </c>
      <c r="EN14" s="849"/>
      <c r="EO14" s="849"/>
      <c r="EP14" s="851"/>
      <c r="EQ14" s="852"/>
      <c r="ER14" s="849"/>
      <c r="ES14" s="849"/>
      <c r="ET14" s="849"/>
      <c r="EU14" s="853"/>
      <c r="EV14" s="714">
        <v>57.42</v>
      </c>
      <c r="EW14" s="854">
        <v>8.7100000000000009</v>
      </c>
      <c r="EX14" s="714">
        <v>12.38</v>
      </c>
      <c r="EY14" s="854">
        <v>1.1000000000000001</v>
      </c>
      <c r="EZ14" s="854">
        <v>3.1</v>
      </c>
      <c r="FA14" s="854">
        <v>0.82</v>
      </c>
      <c r="FB14" s="854">
        <v>0</v>
      </c>
      <c r="FC14" s="854">
        <v>2.85</v>
      </c>
      <c r="FD14" s="854">
        <v>30.32</v>
      </c>
      <c r="FE14" s="854">
        <v>0.11</v>
      </c>
      <c r="FF14" s="854">
        <v>0.12</v>
      </c>
      <c r="FG14" s="854"/>
      <c r="FH14" s="854">
        <v>5.01</v>
      </c>
      <c r="FI14" s="855"/>
    </row>
    <row r="15" spans="1:165" ht="15" customHeight="1" thickBot="1" x14ac:dyDescent="0.6">
      <c r="D15" s="856" t="s">
        <v>852</v>
      </c>
      <c r="E15" s="860"/>
      <c r="H15" s="839"/>
      <c r="I15" s="860"/>
      <c r="S15">
        <v>9</v>
      </c>
      <c r="T15" s="765">
        <v>22.98</v>
      </c>
      <c r="U15" s="765">
        <v>24.54</v>
      </c>
      <c r="V15" s="766">
        <v>12.34</v>
      </c>
      <c r="W15">
        <v>12.46</v>
      </c>
      <c r="X15" s="766">
        <v>12.11</v>
      </c>
      <c r="Y15">
        <v>0.6</v>
      </c>
      <c r="Z15">
        <v>0.4</v>
      </c>
      <c r="AA15">
        <v>1.5</v>
      </c>
      <c r="AB15">
        <v>1.3</v>
      </c>
      <c r="AC15">
        <v>2.99</v>
      </c>
      <c r="AD15">
        <v>2.72</v>
      </c>
      <c r="AG15">
        <v>7.36</v>
      </c>
      <c r="AH15">
        <v>7.09</v>
      </c>
      <c r="AI15">
        <v>6.38</v>
      </c>
      <c r="AJ15">
        <v>6.2</v>
      </c>
      <c r="AK15">
        <v>6.38</v>
      </c>
      <c r="AL15">
        <v>6.23</v>
      </c>
      <c r="AM15">
        <v>7.75</v>
      </c>
      <c r="AN15">
        <v>7.28</v>
      </c>
      <c r="AO15">
        <v>7.78</v>
      </c>
      <c r="AP15">
        <v>7.54</v>
      </c>
      <c r="AQ15">
        <v>7.88</v>
      </c>
      <c r="AR15">
        <v>7.65</v>
      </c>
      <c r="AS15">
        <v>7.76</v>
      </c>
      <c r="AV15" s="765">
        <f>('User Data'!T15/1440)/('1940 - Plant Op.'!J24*704)*1000000</f>
        <v>2.2668087121212124</v>
      </c>
      <c r="AW15" s="765"/>
      <c r="AX15">
        <v>0</v>
      </c>
      <c r="AY15">
        <v>0</v>
      </c>
      <c r="AZ15">
        <v>0</v>
      </c>
      <c r="BA15">
        <v>0</v>
      </c>
      <c r="BB15">
        <v>0</v>
      </c>
      <c r="BC15">
        <v>95</v>
      </c>
      <c r="BD15">
        <v>70</v>
      </c>
      <c r="BE15">
        <v>30</v>
      </c>
      <c r="BF15">
        <v>51</v>
      </c>
      <c r="BG15">
        <v>97.5</v>
      </c>
      <c r="BH15">
        <v>82</v>
      </c>
      <c r="BI15">
        <v>98</v>
      </c>
      <c r="BJ15">
        <v>59</v>
      </c>
      <c r="BK15">
        <v>0</v>
      </c>
      <c r="BL15">
        <v>41.5</v>
      </c>
      <c r="BM15">
        <v>103</v>
      </c>
      <c r="BP15" s="258"/>
      <c r="BQ15" s="857">
        <v>5</v>
      </c>
      <c r="BR15" s="829">
        <v>22.3</v>
      </c>
      <c r="BS15" s="830">
        <v>0.88</v>
      </c>
      <c r="BT15" s="831">
        <v>22</v>
      </c>
      <c r="BU15" s="832">
        <v>1.74</v>
      </c>
      <c r="BV15" s="832">
        <v>3.96</v>
      </c>
      <c r="BW15" s="832">
        <v>1.92</v>
      </c>
      <c r="BX15" s="832">
        <v>28.81</v>
      </c>
      <c r="BY15" s="832">
        <v>12.6</v>
      </c>
      <c r="BZ15" s="832">
        <v>28.8</v>
      </c>
      <c r="CA15" s="1092">
        <v>118</v>
      </c>
      <c r="CB15" s="1092">
        <v>0</v>
      </c>
      <c r="CC15" s="835">
        <f t="shared" si="0"/>
        <v>24.1623214</v>
      </c>
      <c r="CD15" s="835">
        <f t="shared" si="1"/>
        <v>26.252169799999997</v>
      </c>
      <c r="CE15" s="834">
        <v>9.1999999999999993</v>
      </c>
      <c r="CF15" s="1098">
        <v>1.2061999999999999</v>
      </c>
      <c r="CG15" s="836">
        <v>0</v>
      </c>
      <c r="CH15" s="1081">
        <v>0</v>
      </c>
      <c r="CI15" s="834">
        <v>0.79300000000000004</v>
      </c>
      <c r="CK15"/>
      <c r="CL15" s="834"/>
      <c r="CM15" s="1081"/>
      <c r="CN15" s="1081"/>
      <c r="CO15" s="1083"/>
      <c r="CQ15" s="834">
        <v>92</v>
      </c>
      <c r="CR15" s="834">
        <v>182</v>
      </c>
      <c r="CS15" s="834"/>
      <c r="CT15" s="834"/>
      <c r="CU15" s="1098">
        <v>5.6597999999999997</v>
      </c>
      <c r="CV15" s="1098">
        <v>6.6045999999999996</v>
      </c>
      <c r="CW15" s="1098">
        <v>2.4356</v>
      </c>
      <c r="CX15" s="1098">
        <v>2.3702000000000001</v>
      </c>
      <c r="CY15" s="838"/>
      <c r="CZ15" s="782">
        <v>209.8</v>
      </c>
      <c r="DB15" s="782">
        <v>13.4</v>
      </c>
      <c r="DC15" s="782" t="s">
        <v>363</v>
      </c>
      <c r="DD15" s="782" t="s">
        <v>363</v>
      </c>
      <c r="DE15" s="858"/>
      <c r="DF15" s="863"/>
      <c r="DG15" s="1094">
        <v>43537</v>
      </c>
      <c r="DH15" s="1095">
        <v>606</v>
      </c>
      <c r="DI15" s="1095" t="s">
        <v>973</v>
      </c>
      <c r="DJ15" s="1095">
        <v>1.39</v>
      </c>
      <c r="DK15" s="782"/>
      <c r="DL15" s="782"/>
      <c r="DM15" s="782"/>
      <c r="DN15" s="782"/>
      <c r="DO15" s="782"/>
      <c r="DP15" s="782"/>
      <c r="DQ15" s="783">
        <f ca="1">+DN15:DQ27</f>
        <v>0</v>
      </c>
      <c r="DR15" s="784"/>
      <c r="DS15" s="197"/>
      <c r="DT15" s="840">
        <v>5</v>
      </c>
      <c r="DU15" s="841">
        <v>24.63</v>
      </c>
      <c r="DV15" s="842">
        <v>22.89</v>
      </c>
      <c r="DW15" s="843">
        <v>21.66</v>
      </c>
      <c r="DX15" s="842">
        <v>19.91</v>
      </c>
      <c r="DY15" s="844">
        <v>24</v>
      </c>
      <c r="DZ15" s="845"/>
      <c r="EA15" s="846">
        <v>8</v>
      </c>
      <c r="EB15" s="846">
        <v>97.5</v>
      </c>
      <c r="EC15" s="846"/>
      <c r="ED15" s="843">
        <v>10</v>
      </c>
      <c r="EE15" s="843">
        <v>2</v>
      </c>
      <c r="EF15" s="846"/>
      <c r="EG15" s="847">
        <v>490</v>
      </c>
      <c r="EH15" s="848" t="s">
        <v>0</v>
      </c>
      <c r="EI15" s="849"/>
      <c r="EJ15" s="849" t="s">
        <v>0</v>
      </c>
      <c r="EK15" s="849" t="s">
        <v>0</v>
      </c>
      <c r="EL15" s="847" t="s">
        <v>0</v>
      </c>
      <c r="EM15" s="850">
        <v>731</v>
      </c>
      <c r="EN15" s="849"/>
      <c r="EO15" s="849"/>
      <c r="EP15" s="851"/>
      <c r="EQ15" s="852"/>
      <c r="ER15" s="849"/>
      <c r="ES15" s="849"/>
      <c r="ET15" s="849"/>
      <c r="EU15" s="853"/>
      <c r="EV15" s="714">
        <v>57.88</v>
      </c>
      <c r="EW15" s="854">
        <v>9.15</v>
      </c>
      <c r="EX15" s="714">
        <v>11.37</v>
      </c>
      <c r="EY15" s="854">
        <v>1.04</v>
      </c>
      <c r="EZ15" s="854">
        <v>3.03</v>
      </c>
      <c r="FA15" s="854">
        <v>0.8</v>
      </c>
      <c r="FB15" s="854">
        <v>0</v>
      </c>
      <c r="FC15" s="854">
        <v>2.86</v>
      </c>
      <c r="FD15" s="854">
        <v>30.21</v>
      </c>
      <c r="FE15" s="854">
        <v>0.12</v>
      </c>
      <c r="FF15" s="854">
        <v>0.11</v>
      </c>
      <c r="FG15" s="854"/>
      <c r="FH15" s="854">
        <v>4.6100000000000003</v>
      </c>
      <c r="FI15" s="855"/>
    </row>
    <row r="16" spans="1:165" ht="15" customHeight="1" thickBot="1" x14ac:dyDescent="0.6">
      <c r="D16" s="856" t="s">
        <v>853</v>
      </c>
      <c r="E16" s="860"/>
      <c r="H16" t="s">
        <v>854</v>
      </c>
      <c r="I16" s="856" t="s">
        <v>855</v>
      </c>
      <c r="S16">
        <v>10</v>
      </c>
      <c r="T16" s="765">
        <v>23.65</v>
      </c>
      <c r="U16" s="765">
        <v>25.46</v>
      </c>
      <c r="V16" s="766">
        <v>12.92</v>
      </c>
      <c r="W16">
        <v>13.18</v>
      </c>
      <c r="X16" s="766">
        <v>12.39</v>
      </c>
      <c r="Y16">
        <v>0.4</v>
      </c>
      <c r="Z16">
        <v>0.3</v>
      </c>
      <c r="AA16">
        <v>1.8</v>
      </c>
      <c r="AB16">
        <v>1.6</v>
      </c>
      <c r="AC16">
        <v>2.96</v>
      </c>
      <c r="AD16">
        <v>2.7</v>
      </c>
      <c r="AG16">
        <v>7.41</v>
      </c>
      <c r="AH16">
        <v>7.1</v>
      </c>
      <c r="AI16">
        <v>6.4</v>
      </c>
      <c r="AJ16">
        <v>6.13</v>
      </c>
      <c r="AK16">
        <v>6.45</v>
      </c>
      <c r="AL16">
        <v>6.18</v>
      </c>
      <c r="AM16">
        <v>7.67</v>
      </c>
      <c r="AN16">
        <v>7.4</v>
      </c>
      <c r="AO16">
        <v>7.69</v>
      </c>
      <c r="AP16">
        <v>7.52</v>
      </c>
      <c r="AQ16">
        <v>7.88</v>
      </c>
      <c r="AR16">
        <v>7.61</v>
      </c>
      <c r="AS16">
        <v>7.72</v>
      </c>
      <c r="AV16" s="765">
        <f>('User Data'!T16/1440)/('1940 - Plant Op.'!J25*704)*1000000</f>
        <v>2.3328993055555554</v>
      </c>
      <c r="AW16" s="765"/>
      <c r="AX16">
        <v>0</v>
      </c>
      <c r="AY16">
        <v>0</v>
      </c>
      <c r="AZ16">
        <v>0</v>
      </c>
      <c r="BA16">
        <v>0</v>
      </c>
      <c r="BB16">
        <v>0</v>
      </c>
      <c r="BC16">
        <v>99</v>
      </c>
      <c r="BD16">
        <v>94</v>
      </c>
      <c r="BE16">
        <v>54</v>
      </c>
      <c r="BF16">
        <v>75</v>
      </c>
      <c r="BG16">
        <v>42.5</v>
      </c>
      <c r="BH16">
        <v>100</v>
      </c>
      <c r="BI16">
        <v>30</v>
      </c>
      <c r="BJ16">
        <v>83</v>
      </c>
      <c r="BK16">
        <v>0</v>
      </c>
      <c r="BL16">
        <v>65.5</v>
      </c>
      <c r="BM16">
        <v>46.5</v>
      </c>
      <c r="BP16" s="258"/>
      <c r="BQ16" s="857">
        <v>6</v>
      </c>
      <c r="BR16" s="829">
        <v>21</v>
      </c>
      <c r="BS16" s="830">
        <v>0.96</v>
      </c>
      <c r="BT16" s="831">
        <v>23</v>
      </c>
      <c r="BU16" s="832">
        <v>0.97</v>
      </c>
      <c r="BV16" s="832">
        <v>1.64</v>
      </c>
      <c r="BW16" s="832">
        <v>0.93</v>
      </c>
      <c r="BX16" s="832">
        <v>24.55</v>
      </c>
      <c r="BY16" s="832">
        <v>14</v>
      </c>
      <c r="BZ16" s="832">
        <v>29.75</v>
      </c>
      <c r="CA16" s="1092">
        <v>99</v>
      </c>
      <c r="CB16" s="1092">
        <v>0</v>
      </c>
      <c r="CC16" s="835">
        <f t="shared" si="0"/>
        <v>25.845624100000002</v>
      </c>
      <c r="CD16" s="835">
        <f t="shared" si="1"/>
        <v>25.572814000000001</v>
      </c>
      <c r="CE16" s="834">
        <v>9.6</v>
      </c>
      <c r="CF16" s="1098">
        <v>0.98060000000000003</v>
      </c>
      <c r="CG16" s="836">
        <v>0</v>
      </c>
      <c r="CH16" s="1081">
        <v>0</v>
      </c>
      <c r="CI16" s="834">
        <v>0.79300000000000004</v>
      </c>
      <c r="CK16" s="834">
        <v>10.9</v>
      </c>
      <c r="CL16" s="1081"/>
      <c r="CM16"/>
      <c r="CP16" s="782">
        <v>0</v>
      </c>
      <c r="CQ16" s="834">
        <v>95</v>
      </c>
      <c r="CR16" s="834">
        <v>175</v>
      </c>
      <c r="CS16" s="834"/>
      <c r="CT16" s="834"/>
      <c r="CU16" s="1098">
        <v>6.1733000000000002</v>
      </c>
      <c r="CV16" s="1098">
        <v>6.3952</v>
      </c>
      <c r="CW16" s="1098">
        <v>2.5329999999999999</v>
      </c>
      <c r="CX16" s="1098">
        <v>2.3321999999999998</v>
      </c>
      <c r="CY16" s="838"/>
      <c r="CZ16" s="782">
        <v>166.4</v>
      </c>
      <c r="DB16" s="782">
        <v>6.3</v>
      </c>
      <c r="DC16" s="782" t="s">
        <v>363</v>
      </c>
      <c r="DD16" s="782" t="s">
        <v>363</v>
      </c>
      <c r="DE16" s="858"/>
      <c r="DF16" s="863"/>
      <c r="DG16" s="1094">
        <v>43537</v>
      </c>
      <c r="DH16" s="1095">
        <v>604</v>
      </c>
      <c r="DI16" s="1095" t="s">
        <v>974</v>
      </c>
      <c r="DJ16" s="1095">
        <v>1.83</v>
      </c>
      <c r="DK16" s="782"/>
      <c r="DL16" s="782"/>
      <c r="DM16" s="782"/>
      <c r="DN16" s="782"/>
      <c r="DO16" s="782"/>
      <c r="DP16" s="782"/>
      <c r="DQ16" s="783"/>
      <c r="DR16" s="784"/>
      <c r="DS16" s="197"/>
      <c r="DT16" s="840">
        <v>6</v>
      </c>
      <c r="DU16" s="841">
        <v>24.06</v>
      </c>
      <c r="DV16" s="842">
        <v>20.61</v>
      </c>
      <c r="DW16" s="843">
        <v>20.65</v>
      </c>
      <c r="DX16" s="842">
        <v>18.510000000000002</v>
      </c>
      <c r="DY16" s="844">
        <v>24</v>
      </c>
      <c r="DZ16" s="845"/>
      <c r="EA16" s="846">
        <v>10</v>
      </c>
      <c r="EB16" s="846">
        <v>96</v>
      </c>
      <c r="EC16" s="846"/>
      <c r="ED16" s="843">
        <v>10</v>
      </c>
      <c r="EE16" s="843">
        <v>2</v>
      </c>
      <c r="EF16" s="846"/>
      <c r="EG16" s="847">
        <v>480</v>
      </c>
      <c r="EH16" s="848" t="s">
        <v>0</v>
      </c>
      <c r="EI16" s="849"/>
      <c r="EJ16" s="849" t="s">
        <v>0</v>
      </c>
      <c r="EK16" s="849" t="s">
        <v>0</v>
      </c>
      <c r="EL16" s="847" t="s">
        <v>0</v>
      </c>
      <c r="EM16" s="850">
        <v>686</v>
      </c>
      <c r="EN16" s="849"/>
      <c r="EO16" s="849"/>
      <c r="EP16" s="851"/>
      <c r="EQ16" s="852"/>
      <c r="ER16" s="849"/>
      <c r="ES16" s="849"/>
      <c r="ET16" s="849"/>
      <c r="EU16" s="853"/>
      <c r="EV16" s="714">
        <v>57.85</v>
      </c>
      <c r="EW16" s="854">
        <v>8.4</v>
      </c>
      <c r="EX16" s="714">
        <v>11.08</v>
      </c>
      <c r="EY16" s="854">
        <v>1.07</v>
      </c>
      <c r="EZ16" s="854">
        <v>2.61</v>
      </c>
      <c r="FA16" s="854">
        <v>0.84</v>
      </c>
      <c r="FB16" s="854">
        <v>0</v>
      </c>
      <c r="FC16" s="854">
        <v>2.92</v>
      </c>
      <c r="FD16" s="854">
        <v>29.97</v>
      </c>
      <c r="FE16" s="854">
        <v>0.13</v>
      </c>
      <c r="FF16" s="854">
        <v>0.12</v>
      </c>
      <c r="FG16" s="854"/>
      <c r="FH16" s="854">
        <v>5</v>
      </c>
      <c r="FI16" s="855"/>
    </row>
    <row r="17" spans="3:165" ht="15" customHeight="1" thickBot="1" x14ac:dyDescent="0.6">
      <c r="D17" s="865"/>
      <c r="E17" s="860"/>
      <c r="H17" s="839"/>
      <c r="I17" s="860"/>
      <c r="S17">
        <v>11</v>
      </c>
      <c r="T17" s="765">
        <v>22.9</v>
      </c>
      <c r="U17" s="765">
        <v>25.96</v>
      </c>
      <c r="V17" s="766">
        <v>12.37</v>
      </c>
      <c r="W17">
        <v>12.51</v>
      </c>
      <c r="X17" s="766">
        <v>12.97</v>
      </c>
      <c r="Y17">
        <v>0.4</v>
      </c>
      <c r="Z17">
        <v>0.3</v>
      </c>
      <c r="AA17">
        <v>1.2</v>
      </c>
      <c r="AB17">
        <v>1.3</v>
      </c>
      <c r="AC17">
        <v>2.93</v>
      </c>
      <c r="AD17">
        <v>2.76</v>
      </c>
      <c r="AG17">
        <v>7.45</v>
      </c>
      <c r="AH17">
        <v>7.02</v>
      </c>
      <c r="AI17">
        <v>6.3</v>
      </c>
      <c r="AJ17">
        <v>6.13</v>
      </c>
      <c r="AK17">
        <v>6.33</v>
      </c>
      <c r="AL17">
        <v>6.19</v>
      </c>
      <c r="AM17">
        <v>8.1</v>
      </c>
      <c r="AN17">
        <v>7.29</v>
      </c>
      <c r="AO17">
        <v>7.66</v>
      </c>
      <c r="AP17">
        <v>7.5</v>
      </c>
      <c r="AQ17">
        <v>7.74</v>
      </c>
      <c r="AR17">
        <v>7.6</v>
      </c>
      <c r="AS17">
        <v>7.66</v>
      </c>
      <c r="AV17" s="765">
        <f>('User Data'!T17/1440)/('1940 - Plant Op.'!J26*704)*1000000</f>
        <v>2.2589172979797976</v>
      </c>
      <c r="AW17" s="765"/>
      <c r="AX17">
        <v>0</v>
      </c>
      <c r="AY17">
        <v>0</v>
      </c>
      <c r="AZ17">
        <v>0</v>
      </c>
      <c r="BA17">
        <v>0</v>
      </c>
      <c r="BB17">
        <v>0</v>
      </c>
      <c r="BC17">
        <v>44</v>
      </c>
      <c r="BD17">
        <v>96</v>
      </c>
      <c r="BE17">
        <v>78</v>
      </c>
      <c r="BF17">
        <v>94.5</v>
      </c>
      <c r="BG17">
        <v>66.5</v>
      </c>
      <c r="BH17">
        <v>30</v>
      </c>
      <c r="BI17">
        <v>54</v>
      </c>
      <c r="BJ17">
        <v>96</v>
      </c>
      <c r="BK17">
        <v>0</v>
      </c>
      <c r="BL17">
        <v>89.5</v>
      </c>
      <c r="BM17">
        <v>70.5</v>
      </c>
      <c r="BP17" s="258"/>
      <c r="BQ17" s="857">
        <v>7</v>
      </c>
      <c r="BR17" s="829">
        <v>20.8</v>
      </c>
      <c r="BS17" s="830">
        <v>0.98</v>
      </c>
      <c r="BT17" s="831">
        <v>24</v>
      </c>
      <c r="BU17" s="832">
        <v>2.08</v>
      </c>
      <c r="BV17" s="832">
        <v>2.39</v>
      </c>
      <c r="BW17" s="832">
        <v>1.02</v>
      </c>
      <c r="BX17" s="832">
        <v>24.8</v>
      </c>
      <c r="BY17" s="832">
        <v>14</v>
      </c>
      <c r="BZ17" s="832">
        <v>28.7</v>
      </c>
      <c r="CA17" s="1092">
        <v>103</v>
      </c>
      <c r="CB17" s="1092">
        <v>0</v>
      </c>
      <c r="CC17" s="835">
        <f t="shared" si="0"/>
        <v>24.9121442</v>
      </c>
      <c r="CD17" s="835">
        <f t="shared" si="1"/>
        <v>25.820477099999998</v>
      </c>
      <c r="CE17" s="834">
        <v>9.7100000000000009</v>
      </c>
      <c r="CF17" s="1098">
        <v>1.0286999999999999</v>
      </c>
      <c r="CG17" s="836">
        <v>0</v>
      </c>
      <c r="CH17" s="1081">
        <v>0</v>
      </c>
      <c r="CI17" s="834">
        <v>0.72599999999999998</v>
      </c>
      <c r="CK17"/>
      <c r="CL17" s="1081"/>
      <c r="CM17" s="834">
        <v>0</v>
      </c>
      <c r="CN17" s="834">
        <v>0.251</v>
      </c>
      <c r="CO17" s="1083">
        <v>0.64259999999999995</v>
      </c>
      <c r="CP17" s="782">
        <v>0</v>
      </c>
      <c r="CQ17" s="834">
        <v>94</v>
      </c>
      <c r="CR17" s="834">
        <v>180</v>
      </c>
      <c r="CS17" s="834"/>
      <c r="CT17" s="834"/>
      <c r="CU17" s="1098">
        <v>5.9088000000000003</v>
      </c>
      <c r="CV17" s="1098">
        <v>6.4928999999999997</v>
      </c>
      <c r="CW17" s="1098">
        <v>2.4666999999999999</v>
      </c>
      <c r="CX17" s="1098">
        <v>2.3331</v>
      </c>
      <c r="CY17" s="834"/>
      <c r="CZ17" s="782">
        <v>325.5</v>
      </c>
      <c r="DB17" s="782">
        <v>8.5</v>
      </c>
      <c r="DC17" s="782" t="s">
        <v>363</v>
      </c>
      <c r="DD17" s="782" t="s">
        <v>363</v>
      </c>
      <c r="DE17" s="858"/>
      <c r="DF17" s="863"/>
      <c r="DG17" s="1094">
        <v>43537</v>
      </c>
      <c r="DH17" s="1095">
        <v>601</v>
      </c>
      <c r="DI17" s="1095" t="s">
        <v>975</v>
      </c>
      <c r="DJ17" s="1095">
        <v>1.43</v>
      </c>
      <c r="DK17" s="782"/>
      <c r="DL17" s="782"/>
      <c r="DM17" s="782"/>
      <c r="DN17" s="782"/>
      <c r="DO17" s="782"/>
      <c r="DP17" s="782"/>
      <c r="DQ17" s="783"/>
      <c r="DR17" s="784"/>
      <c r="DS17" s="197"/>
      <c r="DT17" s="840">
        <v>7</v>
      </c>
      <c r="DU17" s="841">
        <v>23.97</v>
      </c>
      <c r="DV17" s="842">
        <v>21.59</v>
      </c>
      <c r="DW17" s="843">
        <v>21.38</v>
      </c>
      <c r="DX17" s="842">
        <v>19.010000000000002</v>
      </c>
      <c r="DY17" s="844">
        <v>24</v>
      </c>
      <c r="DZ17" s="845"/>
      <c r="EA17" s="846">
        <v>3</v>
      </c>
      <c r="EB17" s="846">
        <v>96.5</v>
      </c>
      <c r="EC17" s="846"/>
      <c r="ED17" s="843">
        <v>10</v>
      </c>
      <c r="EE17" s="843">
        <v>3</v>
      </c>
      <c r="EF17" s="846"/>
      <c r="EG17" s="847">
        <v>750</v>
      </c>
      <c r="EH17" s="848" t="s">
        <v>0</v>
      </c>
      <c r="EI17" s="849"/>
      <c r="EJ17" s="849" t="s">
        <v>0</v>
      </c>
      <c r="EK17" s="849" t="s">
        <v>0</v>
      </c>
      <c r="EL17" s="847" t="s">
        <v>0</v>
      </c>
      <c r="EM17" s="850">
        <v>710</v>
      </c>
      <c r="EN17" s="849"/>
      <c r="EO17" s="849"/>
      <c r="EP17" s="851"/>
      <c r="EQ17" s="852"/>
      <c r="ER17" s="849"/>
      <c r="ES17" s="849"/>
      <c r="ET17" s="849"/>
      <c r="EU17" s="853"/>
      <c r="EV17" s="714">
        <v>59.17</v>
      </c>
      <c r="EW17" s="854">
        <v>9.86</v>
      </c>
      <c r="EX17" s="714">
        <v>12.1</v>
      </c>
      <c r="EY17" s="854">
        <v>1.04</v>
      </c>
      <c r="EZ17" s="854">
        <v>3.06</v>
      </c>
      <c r="FA17" s="854">
        <v>0.82</v>
      </c>
      <c r="FB17" s="854">
        <v>0</v>
      </c>
      <c r="FC17" s="854">
        <v>2.9</v>
      </c>
      <c r="FD17" s="854">
        <v>28.24</v>
      </c>
      <c r="FE17" s="854">
        <v>0.14000000000000001</v>
      </c>
      <c r="FF17" s="854">
        <v>0.11</v>
      </c>
      <c r="FG17" s="854"/>
      <c r="FH17" s="854">
        <v>4.62</v>
      </c>
      <c r="FI17" s="855"/>
    </row>
    <row r="18" spans="3:165" ht="15" customHeight="1" thickBot="1" x14ac:dyDescent="0.6">
      <c r="C18" t="s">
        <v>856</v>
      </c>
      <c r="D18" s="856" t="s">
        <v>857</v>
      </c>
      <c r="E18" s="860"/>
      <c r="H18" s="346" t="s">
        <v>858</v>
      </c>
      <c r="I18" s="856" t="s">
        <v>859</v>
      </c>
      <c r="S18">
        <v>12</v>
      </c>
      <c r="T18" s="765">
        <v>25.27</v>
      </c>
      <c r="U18" s="765">
        <v>25.55</v>
      </c>
      <c r="V18" s="766">
        <v>12.3</v>
      </c>
      <c r="W18">
        <v>12.43</v>
      </c>
      <c r="X18" s="766">
        <v>13.13</v>
      </c>
      <c r="Y18">
        <v>0.4</v>
      </c>
      <c r="Z18">
        <v>0.3</v>
      </c>
      <c r="AA18">
        <v>1.9</v>
      </c>
      <c r="AB18">
        <v>1.6</v>
      </c>
      <c r="AC18">
        <v>2.96</v>
      </c>
      <c r="AD18">
        <v>2.63</v>
      </c>
      <c r="AG18">
        <v>7.24</v>
      </c>
      <c r="AH18">
        <v>7</v>
      </c>
      <c r="AI18">
        <v>6.38</v>
      </c>
      <c r="AJ18">
        <v>6.28</v>
      </c>
      <c r="AK18">
        <v>6.41</v>
      </c>
      <c r="AL18">
        <v>6.31</v>
      </c>
      <c r="AM18">
        <v>7.95</v>
      </c>
      <c r="AN18">
        <v>7.48</v>
      </c>
      <c r="AO18">
        <v>8</v>
      </c>
      <c r="AP18">
        <v>7.65</v>
      </c>
      <c r="AQ18">
        <v>8.1</v>
      </c>
      <c r="AR18">
        <v>7.69</v>
      </c>
      <c r="AS18">
        <v>7.85</v>
      </c>
      <c r="AV18" s="765">
        <f>('User Data'!T18/1440)/('1940 - Plant Op.'!J27*704)*1000000</f>
        <v>2.492700441919192</v>
      </c>
      <c r="AW18" s="765"/>
      <c r="AX18">
        <v>0</v>
      </c>
      <c r="AY18">
        <v>0</v>
      </c>
      <c r="AZ18">
        <v>0</v>
      </c>
      <c r="BA18">
        <v>0</v>
      </c>
      <c r="BB18">
        <v>0</v>
      </c>
      <c r="BC18">
        <v>68</v>
      </c>
      <c r="BD18">
        <v>46</v>
      </c>
      <c r="BE18">
        <v>95</v>
      </c>
      <c r="BF18">
        <v>28.5</v>
      </c>
      <c r="BG18">
        <v>90.5</v>
      </c>
      <c r="BH18">
        <v>54</v>
      </c>
      <c r="BI18">
        <v>78</v>
      </c>
      <c r="BJ18">
        <v>35</v>
      </c>
      <c r="BK18">
        <v>0</v>
      </c>
      <c r="BL18">
        <v>91.5</v>
      </c>
      <c r="BM18">
        <v>94.5</v>
      </c>
      <c r="BP18" s="258"/>
      <c r="BQ18" s="857">
        <v>8</v>
      </c>
      <c r="BR18" s="829">
        <v>19.600000000000001</v>
      </c>
      <c r="BS18" s="830">
        <v>0.73</v>
      </c>
      <c r="BT18" s="831">
        <v>24</v>
      </c>
      <c r="BU18" s="832">
        <v>0.8</v>
      </c>
      <c r="BV18" s="832">
        <v>1.41</v>
      </c>
      <c r="BW18" s="832">
        <v>0.79</v>
      </c>
      <c r="BX18" s="832">
        <v>24.9</v>
      </c>
      <c r="BY18" s="832">
        <v>11.7</v>
      </c>
      <c r="BZ18" s="832">
        <v>21.7</v>
      </c>
      <c r="CA18" s="1092">
        <v>95</v>
      </c>
      <c r="CB18" s="1092">
        <v>0</v>
      </c>
      <c r="CC18" s="835">
        <f t="shared" si="0"/>
        <v>25.205355000000001</v>
      </c>
      <c r="CD18" s="835">
        <f t="shared" si="1"/>
        <v>25.911535700000002</v>
      </c>
      <c r="CE18" s="834">
        <v>9.99</v>
      </c>
      <c r="CF18" s="1098">
        <v>1.0156000000000001</v>
      </c>
      <c r="CG18" s="836">
        <v>0</v>
      </c>
      <c r="CH18" s="1081">
        <v>0</v>
      </c>
      <c r="CI18" s="834">
        <v>0.82099999999999995</v>
      </c>
      <c r="CK18"/>
      <c r="CL18"/>
      <c r="CM18"/>
      <c r="CN18"/>
      <c r="CP18"/>
      <c r="CQ18" s="834">
        <v>96</v>
      </c>
      <c r="CR18" s="834">
        <v>180</v>
      </c>
      <c r="CS18" s="834"/>
      <c r="CT18" s="834"/>
      <c r="CU18" s="1098">
        <v>6.0065999999999997</v>
      </c>
      <c r="CV18" s="1098">
        <v>6.5137</v>
      </c>
      <c r="CW18" s="1098">
        <v>2.4786000000000001</v>
      </c>
      <c r="CX18" s="1098">
        <v>2.3426</v>
      </c>
      <c r="CY18" s="838"/>
      <c r="CZ18" s="782">
        <v>248.1</v>
      </c>
      <c r="DB18" s="782">
        <v>5.2</v>
      </c>
      <c r="DC18" s="782" t="s">
        <v>363</v>
      </c>
      <c r="DD18" s="782" t="s">
        <v>363</v>
      </c>
      <c r="DE18" s="858"/>
      <c r="DF18" s="863"/>
      <c r="DG18" s="1094">
        <v>43537</v>
      </c>
      <c r="DH18" s="1095">
        <v>532</v>
      </c>
      <c r="DI18" s="1095" t="s">
        <v>976</v>
      </c>
      <c r="DJ18" s="1095">
        <v>2.21</v>
      </c>
      <c r="DK18" s="782"/>
      <c r="DL18" s="782"/>
      <c r="DM18" s="782"/>
      <c r="DN18" s="782"/>
      <c r="DO18" s="782"/>
      <c r="DP18" s="782"/>
      <c r="DQ18" s="783"/>
      <c r="DR18" s="784"/>
      <c r="DS18" s="197"/>
      <c r="DT18" s="840">
        <v>8</v>
      </c>
      <c r="DU18" s="841">
        <v>24.62</v>
      </c>
      <c r="DV18" s="842">
        <v>22.07</v>
      </c>
      <c r="DW18" s="843">
        <v>21.84</v>
      </c>
      <c r="DX18" s="842">
        <v>20.32</v>
      </c>
      <c r="DY18" s="844">
        <v>24</v>
      </c>
      <c r="DZ18" s="845"/>
      <c r="EA18" s="846">
        <v>6</v>
      </c>
      <c r="EB18" s="846">
        <v>101.5</v>
      </c>
      <c r="EC18" s="846"/>
      <c r="ED18" s="843">
        <v>10</v>
      </c>
      <c r="EE18" s="843">
        <v>2</v>
      </c>
      <c r="EF18" s="846"/>
      <c r="EG18" s="847">
        <v>490</v>
      </c>
      <c r="EH18" s="848" t="s">
        <v>0</v>
      </c>
      <c r="EI18" s="849"/>
      <c r="EJ18" s="849" t="s">
        <v>0</v>
      </c>
      <c r="EK18" s="849" t="s">
        <v>0</v>
      </c>
      <c r="EL18" s="847" t="s">
        <v>0</v>
      </c>
      <c r="EM18" s="850">
        <v>716</v>
      </c>
      <c r="EN18" s="849"/>
      <c r="EO18" s="849"/>
      <c r="EP18" s="851"/>
      <c r="EQ18" s="852"/>
      <c r="ER18" s="849"/>
      <c r="ES18" s="849"/>
      <c r="ET18" s="849"/>
      <c r="EU18" s="853"/>
      <c r="EV18" s="714">
        <v>58.9</v>
      </c>
      <c r="EW18" s="854">
        <v>9.9600000000000009</v>
      </c>
      <c r="EX18" s="714">
        <v>12.07</v>
      </c>
      <c r="EY18" s="854">
        <v>1.2</v>
      </c>
      <c r="EZ18" s="854">
        <v>3.6</v>
      </c>
      <c r="FA18" s="854">
        <v>0.81</v>
      </c>
      <c r="FB18" s="854">
        <v>0</v>
      </c>
      <c r="FC18" s="854">
        <v>2.81</v>
      </c>
      <c r="FD18" s="854">
        <v>30.08</v>
      </c>
      <c r="FE18" s="854">
        <v>0.14000000000000001</v>
      </c>
      <c r="FF18" s="854">
        <v>0.13</v>
      </c>
      <c r="FG18" s="854"/>
      <c r="FH18" s="854">
        <v>4.84</v>
      </c>
      <c r="FI18" s="855"/>
    </row>
    <row r="19" spans="3:165" ht="15" customHeight="1" thickBot="1" x14ac:dyDescent="0.6">
      <c r="E19" s="860"/>
      <c r="H19" s="839"/>
      <c r="I19" s="860"/>
      <c r="S19">
        <v>13</v>
      </c>
      <c r="T19" s="765">
        <v>22.58</v>
      </c>
      <c r="U19" s="765">
        <v>25.03</v>
      </c>
      <c r="V19" s="766">
        <v>12.25</v>
      </c>
      <c r="W19">
        <v>12.36</v>
      </c>
      <c r="X19" s="766">
        <v>13.4</v>
      </c>
      <c r="Y19">
        <v>0.3</v>
      </c>
      <c r="Z19">
        <v>0.2</v>
      </c>
      <c r="AA19">
        <v>1.7</v>
      </c>
      <c r="AB19">
        <v>1.2</v>
      </c>
      <c r="AC19">
        <v>2.96</v>
      </c>
      <c r="AD19">
        <v>2.66</v>
      </c>
      <c r="AG19">
        <v>7.49</v>
      </c>
      <c r="AH19">
        <v>7.1</v>
      </c>
      <c r="AI19">
        <v>6.53</v>
      </c>
      <c r="AJ19">
        <v>6.32</v>
      </c>
      <c r="AK19">
        <v>6.53</v>
      </c>
      <c r="AL19">
        <v>6.36</v>
      </c>
      <c r="AM19">
        <v>7.83</v>
      </c>
      <c r="AN19">
        <v>7.46</v>
      </c>
      <c r="AO19">
        <v>7.73</v>
      </c>
      <c r="AP19">
        <v>7.55</v>
      </c>
      <c r="AQ19">
        <v>8.17</v>
      </c>
      <c r="AR19">
        <v>7.72</v>
      </c>
      <c r="AS19">
        <v>7.9</v>
      </c>
      <c r="AV19" s="765">
        <f>('User Data'!T19/1440)/('1940 - Plant Op.'!J28*704)*1000000</f>
        <v>2.2273516414141414</v>
      </c>
      <c r="AW19" s="765"/>
      <c r="AX19">
        <v>0</v>
      </c>
      <c r="AY19">
        <v>0</v>
      </c>
      <c r="AZ19">
        <v>0</v>
      </c>
      <c r="BA19">
        <v>0</v>
      </c>
      <c r="BB19">
        <v>0</v>
      </c>
      <c r="BC19">
        <v>92</v>
      </c>
      <c r="BD19">
        <v>70</v>
      </c>
      <c r="BE19">
        <v>31</v>
      </c>
      <c r="BF19">
        <v>52.5</v>
      </c>
      <c r="BG19">
        <v>103.5</v>
      </c>
      <c r="BH19">
        <v>78</v>
      </c>
      <c r="BI19">
        <v>96</v>
      </c>
      <c r="BJ19">
        <v>59</v>
      </c>
      <c r="BK19">
        <v>0</v>
      </c>
      <c r="BL19">
        <v>46</v>
      </c>
      <c r="BM19">
        <v>21.5</v>
      </c>
      <c r="BP19" s="258"/>
      <c r="BQ19" s="857">
        <v>9</v>
      </c>
      <c r="BR19" s="829">
        <v>19.2</v>
      </c>
      <c r="BS19" s="830">
        <v>0.59</v>
      </c>
      <c r="BT19" s="831">
        <v>24</v>
      </c>
      <c r="BU19" s="832">
        <v>0.69</v>
      </c>
      <c r="BV19" s="832">
        <v>1.79</v>
      </c>
      <c r="BW19" s="832">
        <v>0.99</v>
      </c>
      <c r="BX19" s="832">
        <v>27.2</v>
      </c>
      <c r="BY19" s="832">
        <v>15</v>
      </c>
      <c r="BZ19" s="832">
        <v>29.8</v>
      </c>
      <c r="CA19" s="1092">
        <v>90</v>
      </c>
      <c r="CB19" s="1092">
        <v>0</v>
      </c>
      <c r="CC19" s="835">
        <f t="shared" si="0"/>
        <v>25.964812100000003</v>
      </c>
      <c r="CD19" s="835">
        <f t="shared" si="1"/>
        <v>26.374181399999998</v>
      </c>
      <c r="CE19" s="834"/>
      <c r="CF19" s="1098">
        <v>0.83760000000000001</v>
      </c>
      <c r="CG19" s="836">
        <v>0</v>
      </c>
      <c r="CH19" s="1081">
        <v>0</v>
      </c>
      <c r="CI19" s="834">
        <v>0.79600000000000004</v>
      </c>
      <c r="CK19"/>
      <c r="CL19"/>
      <c r="CM19"/>
      <c r="CN19"/>
      <c r="CP19"/>
      <c r="CQ19" s="834">
        <v>97</v>
      </c>
      <c r="CR19" s="834">
        <v>179</v>
      </c>
      <c r="CS19" s="834"/>
      <c r="CT19" s="834"/>
      <c r="CU19" s="1098">
        <v>6.2461000000000002</v>
      </c>
      <c r="CV19" s="1098">
        <v>6.65</v>
      </c>
      <c r="CW19" s="1098">
        <v>2.5177999999999998</v>
      </c>
      <c r="CX19" s="1098">
        <v>2.3723000000000001</v>
      </c>
      <c r="CY19" s="838"/>
      <c r="CZ19" s="782">
        <v>128.1</v>
      </c>
      <c r="DB19" s="782">
        <v>4.0999999999999996</v>
      </c>
      <c r="DC19" s="782" t="s">
        <v>363</v>
      </c>
      <c r="DD19" s="782" t="s">
        <v>363</v>
      </c>
      <c r="DE19" s="858"/>
      <c r="DF19" s="863"/>
      <c r="DG19" s="1094">
        <v>43544</v>
      </c>
      <c r="DH19" s="1095">
        <v>550</v>
      </c>
      <c r="DI19" s="1095" t="s">
        <v>977</v>
      </c>
      <c r="DJ19" s="1095">
        <v>1.79</v>
      </c>
      <c r="DK19" s="782"/>
      <c r="DL19" s="782"/>
      <c r="DM19" s="782"/>
      <c r="DN19" s="782"/>
      <c r="DO19" s="782"/>
      <c r="DP19" s="782"/>
      <c r="DQ19" s="783"/>
      <c r="DR19" s="784"/>
      <c r="DS19" s="197"/>
      <c r="DT19" s="840">
        <v>9</v>
      </c>
      <c r="DU19" s="841">
        <v>22.66</v>
      </c>
      <c r="DV19" s="842">
        <v>19.3</v>
      </c>
      <c r="DW19" s="843">
        <v>19.190000000000001</v>
      </c>
      <c r="DX19" s="842">
        <v>17.11</v>
      </c>
      <c r="DY19" s="844">
        <v>24</v>
      </c>
      <c r="DZ19" s="845"/>
      <c r="EA19" s="846">
        <v>6</v>
      </c>
      <c r="EB19" s="846">
        <v>103</v>
      </c>
      <c r="EC19" s="846"/>
      <c r="ED19" s="843">
        <v>10</v>
      </c>
      <c r="EE19" s="843">
        <v>3</v>
      </c>
      <c r="EF19" s="846"/>
      <c r="EG19" s="847">
        <v>720</v>
      </c>
      <c r="EH19" s="848" t="s">
        <v>0</v>
      </c>
      <c r="EI19" s="849"/>
      <c r="EJ19" s="849" t="s">
        <v>0</v>
      </c>
      <c r="EK19" s="849" t="s">
        <v>0</v>
      </c>
      <c r="EL19" s="847" t="s">
        <v>0</v>
      </c>
      <c r="EM19" s="850">
        <v>633</v>
      </c>
      <c r="EN19" s="849"/>
      <c r="EO19" s="849"/>
      <c r="EP19" s="851"/>
      <c r="EQ19" s="852"/>
      <c r="ER19" s="849"/>
      <c r="ES19" s="849"/>
      <c r="ET19" s="849"/>
      <c r="EU19" s="853"/>
      <c r="EV19" s="714">
        <v>56.17</v>
      </c>
      <c r="EW19" s="854">
        <v>9.15</v>
      </c>
      <c r="EX19" s="714">
        <v>11.04</v>
      </c>
      <c r="EY19" s="854">
        <v>1.25</v>
      </c>
      <c r="EZ19" s="854">
        <v>2.95</v>
      </c>
      <c r="FA19" s="854">
        <v>0.84</v>
      </c>
      <c r="FB19" s="854">
        <v>0</v>
      </c>
      <c r="FC19" s="854">
        <v>2.81</v>
      </c>
      <c r="FD19" s="854">
        <v>30.12</v>
      </c>
      <c r="FE19" s="854">
        <v>0.13</v>
      </c>
      <c r="FF19" s="854">
        <v>0.11</v>
      </c>
      <c r="FG19" s="854"/>
      <c r="FH19" s="854">
        <v>5.04</v>
      </c>
      <c r="FI19" s="855"/>
    </row>
    <row r="20" spans="3:165" ht="15" customHeight="1" thickBot="1" x14ac:dyDescent="0.6">
      <c r="E20" s="860"/>
      <c r="H20" s="839"/>
      <c r="I20" s="860"/>
      <c r="S20">
        <v>14</v>
      </c>
      <c r="T20" s="765">
        <v>25.93</v>
      </c>
      <c r="U20" s="765">
        <v>28.6</v>
      </c>
      <c r="V20" s="766">
        <v>12.25</v>
      </c>
      <c r="W20">
        <v>12.51</v>
      </c>
      <c r="X20" s="766">
        <v>13.73</v>
      </c>
      <c r="Y20">
        <v>0.4</v>
      </c>
      <c r="Z20">
        <v>0.3</v>
      </c>
      <c r="AA20">
        <v>1.7</v>
      </c>
      <c r="AB20">
        <v>1.6</v>
      </c>
      <c r="AC20">
        <v>3.03</v>
      </c>
      <c r="AD20">
        <v>2.65</v>
      </c>
      <c r="AG20">
        <v>7.29</v>
      </c>
      <c r="AH20">
        <v>7.05</v>
      </c>
      <c r="AI20">
        <v>6.34</v>
      </c>
      <c r="AJ20">
        <v>6.04</v>
      </c>
      <c r="AK20">
        <v>6.32</v>
      </c>
      <c r="AL20">
        <v>6.12</v>
      </c>
      <c r="AM20">
        <v>7.74</v>
      </c>
      <c r="AN20">
        <v>7.29</v>
      </c>
      <c r="AO20">
        <v>7.9</v>
      </c>
      <c r="AP20">
        <v>7.32</v>
      </c>
      <c r="AQ20">
        <v>7.9</v>
      </c>
      <c r="AR20">
        <v>7.44</v>
      </c>
      <c r="AS20">
        <v>7.64</v>
      </c>
      <c r="AV20" s="765">
        <f>('User Data'!T20/1440)/('1940 - Plant Op.'!J29*704)*1000000</f>
        <v>2.5578046085858586</v>
      </c>
      <c r="AW20" s="765"/>
      <c r="AX20">
        <v>0</v>
      </c>
      <c r="AY20">
        <v>0</v>
      </c>
      <c r="AZ20">
        <v>0</v>
      </c>
      <c r="BA20">
        <v>0</v>
      </c>
      <c r="BB20">
        <v>0</v>
      </c>
      <c r="BC20">
        <v>98</v>
      </c>
      <c r="BD20">
        <v>94</v>
      </c>
      <c r="BE20">
        <v>55</v>
      </c>
      <c r="BF20">
        <v>76.5</v>
      </c>
      <c r="BG20">
        <v>35</v>
      </c>
      <c r="BH20">
        <v>96</v>
      </c>
      <c r="BI20">
        <v>30</v>
      </c>
      <c r="BJ20">
        <v>83</v>
      </c>
      <c r="BK20">
        <v>0</v>
      </c>
      <c r="BL20">
        <v>70</v>
      </c>
      <c r="BM20">
        <v>45.5</v>
      </c>
      <c r="BP20" s="258"/>
      <c r="BQ20" s="857">
        <v>10</v>
      </c>
      <c r="BR20" s="829">
        <v>18.7</v>
      </c>
      <c r="BS20" s="830">
        <v>0.81</v>
      </c>
      <c r="BT20" s="831">
        <v>23</v>
      </c>
      <c r="BU20" s="832">
        <v>0.86</v>
      </c>
      <c r="BV20" s="832">
        <v>2.0499999999999998</v>
      </c>
      <c r="BW20" s="832">
        <v>1.01</v>
      </c>
      <c r="BX20" s="832">
        <v>26.18</v>
      </c>
      <c r="BY20" s="832">
        <v>14.25</v>
      </c>
      <c r="BZ20" s="832">
        <v>29.25</v>
      </c>
      <c r="CA20" s="1092">
        <v>85</v>
      </c>
      <c r="CB20" s="1092">
        <v>0</v>
      </c>
      <c r="CC20" s="835">
        <f t="shared" si="0"/>
        <v>25.811430899999998</v>
      </c>
      <c r="CD20" s="835">
        <f t="shared" si="1"/>
        <v>26.776226999999999</v>
      </c>
      <c r="CE20" s="834"/>
      <c r="CF20" s="1098">
        <v>0.80110000000000003</v>
      </c>
      <c r="CG20" s="836">
        <v>0</v>
      </c>
      <c r="CH20" s="1081">
        <v>0</v>
      </c>
      <c r="CI20" s="834">
        <v>0.81899999999999995</v>
      </c>
      <c r="CK20"/>
      <c r="CL20"/>
      <c r="CM20"/>
      <c r="CN20"/>
      <c r="CP20"/>
      <c r="CQ20" s="834">
        <v>97</v>
      </c>
      <c r="CR20" s="834">
        <v>178</v>
      </c>
      <c r="CS20" s="834"/>
      <c r="CT20" s="834"/>
      <c r="CU20" s="1098">
        <v>6.2324999999999999</v>
      </c>
      <c r="CV20" s="1098">
        <v>6.7838000000000003</v>
      </c>
      <c r="CW20" s="1098">
        <v>2.4887999999999999</v>
      </c>
      <c r="CX20" s="1098">
        <v>2.3887999999999998</v>
      </c>
      <c r="CY20" s="838"/>
      <c r="CZ20" s="782">
        <v>238.2</v>
      </c>
      <c r="DA20" s="472" t="s">
        <v>367</v>
      </c>
      <c r="DB20" s="782">
        <v>1</v>
      </c>
      <c r="DC20" s="782" t="s">
        <v>363</v>
      </c>
      <c r="DD20" s="782" t="s">
        <v>363</v>
      </c>
      <c r="DE20" s="862"/>
      <c r="DF20" s="863"/>
      <c r="DG20" s="1094">
        <v>43544</v>
      </c>
      <c r="DH20" s="1095">
        <v>591</v>
      </c>
      <c r="DI20" s="1095" t="s">
        <v>978</v>
      </c>
      <c r="DJ20" s="1095">
        <v>2.42</v>
      </c>
      <c r="DK20" s="782"/>
      <c r="DL20" s="782"/>
      <c r="DM20" s="782"/>
      <c r="DN20" s="782"/>
      <c r="DO20" s="782"/>
      <c r="DP20" s="782"/>
      <c r="DQ20" s="783"/>
      <c r="DR20" s="784"/>
      <c r="DS20" s="197"/>
      <c r="DT20" s="840">
        <v>10</v>
      </c>
      <c r="DU20" s="841">
        <v>22.3</v>
      </c>
      <c r="DV20" s="842">
        <v>19.190000000000001</v>
      </c>
      <c r="DW20" s="843">
        <v>19.18</v>
      </c>
      <c r="DX20" s="842">
        <v>17.54</v>
      </c>
      <c r="DY20" s="844">
        <v>24</v>
      </c>
      <c r="DZ20" s="845"/>
      <c r="EA20" s="846">
        <v>6</v>
      </c>
      <c r="EB20" s="846">
        <v>100</v>
      </c>
      <c r="EC20" s="846"/>
      <c r="ED20" s="843">
        <v>10</v>
      </c>
      <c r="EE20" s="843">
        <v>2</v>
      </c>
      <c r="EF20" s="846"/>
      <c r="EG20" s="847">
        <v>480</v>
      </c>
      <c r="EH20" s="848" t="s">
        <v>0</v>
      </c>
      <c r="EI20" s="849"/>
      <c r="EJ20" s="849" t="s">
        <v>0</v>
      </c>
      <c r="EK20" s="849" t="s">
        <v>0</v>
      </c>
      <c r="EL20" s="847" t="s">
        <v>0</v>
      </c>
      <c r="EM20" s="850">
        <v>628</v>
      </c>
      <c r="EN20" s="849"/>
      <c r="EO20" s="849"/>
      <c r="EP20" s="851"/>
      <c r="EQ20" s="852"/>
      <c r="ER20" s="849"/>
      <c r="ES20" s="849"/>
      <c r="ET20" s="849"/>
      <c r="EU20" s="853"/>
      <c r="EV20" s="714">
        <v>60.71</v>
      </c>
      <c r="EW20" s="854">
        <v>9.0399999999999991</v>
      </c>
      <c r="EX20" s="714">
        <v>12.29</v>
      </c>
      <c r="EY20" s="854">
        <v>1.1200000000000001</v>
      </c>
      <c r="EZ20" s="854">
        <v>3.48</v>
      </c>
      <c r="FA20" s="854">
        <v>0.81</v>
      </c>
      <c r="FB20" s="854">
        <v>0</v>
      </c>
      <c r="FC20" s="854">
        <v>2.79</v>
      </c>
      <c r="FD20" s="854">
        <v>30.06</v>
      </c>
      <c r="FE20" s="854">
        <v>0.14000000000000001</v>
      </c>
      <c r="FF20" s="854">
        <v>0.12</v>
      </c>
      <c r="FG20" s="854"/>
      <c r="FH20" s="854">
        <v>5</v>
      </c>
      <c r="FI20" s="855"/>
    </row>
    <row r="21" spans="3:165" ht="15" customHeight="1" thickBot="1" x14ac:dyDescent="0.6">
      <c r="C21" s="680" t="s">
        <v>860</v>
      </c>
      <c r="D21" s="860"/>
      <c r="H21" s="680" t="s">
        <v>861</v>
      </c>
      <c r="I21" s="335"/>
      <c r="J21" s="335"/>
      <c r="K21" s="472"/>
      <c r="L21" s="335"/>
      <c r="S21">
        <v>15</v>
      </c>
      <c r="T21" s="765">
        <v>21.97</v>
      </c>
      <c r="U21" s="765">
        <v>25.11</v>
      </c>
      <c r="V21" s="766">
        <v>12.42</v>
      </c>
      <c r="W21">
        <v>12.75</v>
      </c>
      <c r="X21" s="766">
        <v>13.87</v>
      </c>
      <c r="Y21">
        <v>0.5</v>
      </c>
      <c r="Z21">
        <v>0.3</v>
      </c>
      <c r="AA21">
        <v>1.9</v>
      </c>
      <c r="AB21">
        <v>1.7</v>
      </c>
      <c r="AC21">
        <v>3</v>
      </c>
      <c r="AD21">
        <v>2.77</v>
      </c>
      <c r="AG21">
        <v>7.21</v>
      </c>
      <c r="AH21">
        <v>7</v>
      </c>
      <c r="AI21">
        <v>6.27</v>
      </c>
      <c r="AJ21">
        <v>6.12</v>
      </c>
      <c r="AK21">
        <v>6.3</v>
      </c>
      <c r="AL21">
        <v>6.23</v>
      </c>
      <c r="AM21">
        <v>7.8</v>
      </c>
      <c r="AN21">
        <v>7.56</v>
      </c>
      <c r="AO21">
        <v>7.92</v>
      </c>
      <c r="AP21">
        <v>7.7</v>
      </c>
      <c r="AQ21">
        <v>7.99</v>
      </c>
      <c r="AR21">
        <v>7.74</v>
      </c>
      <c r="AS21">
        <v>7.92</v>
      </c>
      <c r="AV21" s="765">
        <f>('User Data'!T21/1440)/('1940 - Plant Op.'!J30*704)*1000000</f>
        <v>2.1671796085858586</v>
      </c>
      <c r="AW21" s="765"/>
      <c r="AX21">
        <v>0</v>
      </c>
      <c r="AY21">
        <v>0</v>
      </c>
      <c r="AZ21">
        <v>0</v>
      </c>
      <c r="BA21">
        <v>0</v>
      </c>
      <c r="BB21">
        <v>0</v>
      </c>
      <c r="BC21">
        <v>42</v>
      </c>
      <c r="BD21">
        <v>96</v>
      </c>
      <c r="BE21">
        <v>79</v>
      </c>
      <c r="BF21">
        <v>94.5</v>
      </c>
      <c r="BG21">
        <v>59</v>
      </c>
      <c r="BH21">
        <v>30</v>
      </c>
      <c r="BI21">
        <v>54</v>
      </c>
      <c r="BJ21">
        <v>96</v>
      </c>
      <c r="BK21">
        <v>0</v>
      </c>
      <c r="BL21">
        <v>94</v>
      </c>
      <c r="BM21">
        <v>69.5</v>
      </c>
      <c r="BP21" s="866"/>
      <c r="BQ21" s="857">
        <v>11</v>
      </c>
      <c r="BR21" s="829">
        <v>17.399999999999999</v>
      </c>
      <c r="BS21" s="830">
        <v>0.63</v>
      </c>
      <c r="BT21" s="831">
        <v>23</v>
      </c>
      <c r="BU21" s="832">
        <v>1.53</v>
      </c>
      <c r="BV21" s="832">
        <v>1.48</v>
      </c>
      <c r="BW21" s="832">
        <v>1.27</v>
      </c>
      <c r="BX21" s="832">
        <v>25.58</v>
      </c>
      <c r="BY21" s="832">
        <v>14.25</v>
      </c>
      <c r="BZ21" s="832">
        <v>29.75</v>
      </c>
      <c r="CA21" s="1092">
        <v>82</v>
      </c>
      <c r="CB21" s="1092">
        <v>0</v>
      </c>
      <c r="CC21" s="835">
        <f t="shared" si="0"/>
        <v>26.744946800000001</v>
      </c>
      <c r="CD21" s="835">
        <f t="shared" si="1"/>
        <v>26.654098300000001</v>
      </c>
      <c r="CE21" s="834">
        <v>9.49</v>
      </c>
      <c r="CF21" s="1098">
        <v>0.72430000000000005</v>
      </c>
      <c r="CG21" s="836">
        <v>0</v>
      </c>
      <c r="CH21" s="1081">
        <v>0</v>
      </c>
      <c r="CI21" s="834">
        <v>0.83599999999999997</v>
      </c>
      <c r="CK21" s="834">
        <v>11.7</v>
      </c>
      <c r="CL21"/>
      <c r="CM21"/>
      <c r="CN21"/>
      <c r="CP21"/>
      <c r="CQ21" s="834">
        <v>100</v>
      </c>
      <c r="CR21" s="834">
        <v>181</v>
      </c>
      <c r="CS21" s="834"/>
      <c r="CT21" s="834"/>
      <c r="CU21" s="1098">
        <v>6.4858000000000002</v>
      </c>
      <c r="CV21" s="1098">
        <v>6.7244999999999999</v>
      </c>
      <c r="CW21" s="1098">
        <v>2.5619000000000001</v>
      </c>
      <c r="CX21" s="1098">
        <v>2.3950999999999998</v>
      </c>
      <c r="CY21" s="838"/>
      <c r="CZ21" s="782">
        <v>155.30000000000001</v>
      </c>
      <c r="DB21" s="782">
        <v>5.2</v>
      </c>
      <c r="DC21" s="782" t="s">
        <v>363</v>
      </c>
      <c r="DD21" s="782" t="s">
        <v>363</v>
      </c>
      <c r="DE21" s="858"/>
      <c r="DF21" s="867"/>
      <c r="DG21" s="1094">
        <v>43544</v>
      </c>
      <c r="DH21" s="1095">
        <v>532</v>
      </c>
      <c r="DI21" s="1095" t="s">
        <v>976</v>
      </c>
      <c r="DJ21" s="1095">
        <v>1.72</v>
      </c>
      <c r="DK21" s="782"/>
      <c r="DL21" s="782"/>
      <c r="DM21" s="782"/>
      <c r="DN21" s="782"/>
      <c r="DO21" s="782"/>
      <c r="DP21" s="782"/>
      <c r="DQ21" s="783"/>
      <c r="DR21" s="784"/>
      <c r="DS21" s="197"/>
      <c r="DT21" s="840">
        <v>11</v>
      </c>
      <c r="DU21" s="841">
        <v>23.92</v>
      </c>
      <c r="DV21" s="842">
        <v>21.06</v>
      </c>
      <c r="DW21" s="843">
        <v>20.9</v>
      </c>
      <c r="DX21" s="842">
        <v>20.09</v>
      </c>
      <c r="DY21" s="844">
        <v>24</v>
      </c>
      <c r="DZ21" s="845"/>
      <c r="EA21" s="846">
        <v>4.5</v>
      </c>
      <c r="EB21" s="846">
        <v>96</v>
      </c>
      <c r="EC21" s="846"/>
      <c r="ED21" s="843">
        <v>10</v>
      </c>
      <c r="EE21" s="843">
        <v>3</v>
      </c>
      <c r="EF21" s="846"/>
      <c r="EG21" s="847">
        <v>760</v>
      </c>
      <c r="EH21" s="848" t="s">
        <v>0</v>
      </c>
      <c r="EI21" s="849"/>
      <c r="EJ21" s="849" t="s">
        <v>0</v>
      </c>
      <c r="EK21" s="849" t="s">
        <v>0</v>
      </c>
      <c r="EL21" s="847" t="s">
        <v>0</v>
      </c>
      <c r="EM21" s="850">
        <v>688</v>
      </c>
      <c r="EN21" s="849"/>
      <c r="EO21" s="849"/>
      <c r="EP21" s="851"/>
      <c r="EQ21" s="852"/>
      <c r="ER21" s="849"/>
      <c r="ES21" s="849"/>
      <c r="ET21" s="849"/>
      <c r="EU21" s="853"/>
      <c r="EV21" s="714">
        <v>62.87</v>
      </c>
      <c r="EW21" s="854">
        <v>10.14</v>
      </c>
      <c r="EX21" s="714">
        <v>12.42</v>
      </c>
      <c r="EY21" s="854">
        <v>1.1499999999999999</v>
      </c>
      <c r="EZ21" s="854">
        <v>3.2</v>
      </c>
      <c r="FA21" s="854">
        <v>0.78</v>
      </c>
      <c r="FB21" s="854">
        <v>0</v>
      </c>
      <c r="FC21" s="854">
        <v>2.67</v>
      </c>
      <c r="FD21" s="854">
        <v>29.94</v>
      </c>
      <c r="FE21" s="854">
        <v>0.12</v>
      </c>
      <c r="FF21" s="854">
        <v>0.12</v>
      </c>
      <c r="FG21" s="854"/>
      <c r="FH21" s="854">
        <v>4.91</v>
      </c>
      <c r="FI21" s="855"/>
    </row>
    <row r="22" spans="3:165" ht="15" customHeight="1" thickBot="1" x14ac:dyDescent="0.6">
      <c r="D22" s="860"/>
      <c r="H22" s="868"/>
      <c r="I22" s="335"/>
      <c r="J22" s="335"/>
      <c r="K22" s="472"/>
      <c r="L22" s="335"/>
      <c r="S22">
        <v>16</v>
      </c>
      <c r="T22" s="765">
        <v>21.26</v>
      </c>
      <c r="U22" s="765">
        <v>25.39</v>
      </c>
      <c r="V22" s="766">
        <v>13.19</v>
      </c>
      <c r="W22">
        <v>13.34</v>
      </c>
      <c r="X22" s="766">
        <v>14.06</v>
      </c>
      <c r="Y22">
        <v>0.4</v>
      </c>
      <c r="Z22">
        <v>0.1</v>
      </c>
      <c r="AA22">
        <v>1.5</v>
      </c>
      <c r="AB22">
        <v>1.4</v>
      </c>
      <c r="AC22">
        <v>3</v>
      </c>
      <c r="AD22">
        <v>2.75</v>
      </c>
      <c r="AG22">
        <v>7.19</v>
      </c>
      <c r="AH22">
        <v>6.9</v>
      </c>
      <c r="AI22">
        <v>6.3</v>
      </c>
      <c r="AJ22">
        <v>6.17</v>
      </c>
      <c r="AK22">
        <v>6.33</v>
      </c>
      <c r="AL22">
        <v>6.21</v>
      </c>
      <c r="AM22">
        <v>7.76</v>
      </c>
      <c r="AN22">
        <v>7.54</v>
      </c>
      <c r="AO22">
        <v>7.88</v>
      </c>
      <c r="AP22">
        <v>7.63</v>
      </c>
      <c r="AQ22">
        <v>7.93</v>
      </c>
      <c r="AR22">
        <v>7.65</v>
      </c>
      <c r="AS22">
        <v>7.83</v>
      </c>
      <c r="AV22" s="765">
        <f>('User Data'!T22/1440)/('1940 - Plant Op.'!J31*704)*1000000</f>
        <v>2.0971433080808084</v>
      </c>
      <c r="AW22" s="765"/>
      <c r="AX22">
        <v>0</v>
      </c>
      <c r="AY22">
        <v>0</v>
      </c>
      <c r="AZ22">
        <v>0</v>
      </c>
      <c r="BA22">
        <v>0</v>
      </c>
      <c r="BB22">
        <v>0</v>
      </c>
      <c r="BC22">
        <v>66</v>
      </c>
      <c r="BD22">
        <v>46</v>
      </c>
      <c r="BE22">
        <v>98</v>
      </c>
      <c r="BF22">
        <v>30</v>
      </c>
      <c r="BG22">
        <v>83</v>
      </c>
      <c r="BH22">
        <v>54</v>
      </c>
      <c r="BI22">
        <v>78</v>
      </c>
      <c r="BJ22">
        <v>35</v>
      </c>
      <c r="BK22">
        <v>0</v>
      </c>
      <c r="BL22">
        <v>96</v>
      </c>
      <c r="BM22">
        <v>93.5</v>
      </c>
      <c r="BP22" s="866"/>
      <c r="BQ22" s="857">
        <v>12</v>
      </c>
      <c r="BR22" s="829">
        <v>16.100000000000001</v>
      </c>
      <c r="BS22" s="830">
        <v>0.65</v>
      </c>
      <c r="BT22" s="831">
        <v>24</v>
      </c>
      <c r="BU22" s="832">
        <v>0.69</v>
      </c>
      <c r="BV22" s="832">
        <v>1.53</v>
      </c>
      <c r="BW22" s="832">
        <v>0.84</v>
      </c>
      <c r="BX22" s="832">
        <v>23.5</v>
      </c>
      <c r="BY22" s="832">
        <v>14.75</v>
      </c>
      <c r="BZ22" s="832">
        <v>27</v>
      </c>
      <c r="CA22" s="1092">
        <v>79</v>
      </c>
      <c r="CB22" s="1092">
        <v>0</v>
      </c>
      <c r="CC22" s="835">
        <f t="shared" si="0"/>
        <v>26.395684599999999</v>
      </c>
      <c r="CD22" s="835">
        <f t="shared" si="1"/>
        <v>26.627242000000003</v>
      </c>
      <c r="CE22" s="834">
        <v>10</v>
      </c>
      <c r="CF22" s="1098">
        <v>0.6573</v>
      </c>
      <c r="CG22" s="836">
        <v>0</v>
      </c>
      <c r="CH22" s="1081">
        <v>0</v>
      </c>
      <c r="CI22" s="834">
        <v>0.75600000000000001</v>
      </c>
      <c r="CK22"/>
      <c r="CL22"/>
      <c r="CM22"/>
      <c r="CN22"/>
      <c r="CP22"/>
      <c r="CQ22" s="834">
        <v>100</v>
      </c>
      <c r="CR22" s="834">
        <v>184</v>
      </c>
      <c r="CS22" s="834"/>
      <c r="CT22" s="834"/>
      <c r="CU22" s="1098">
        <v>6.4207999999999998</v>
      </c>
      <c r="CV22" s="1098">
        <v>6.6928000000000001</v>
      </c>
      <c r="CW22" s="1098">
        <v>2.5165000000000002</v>
      </c>
      <c r="CX22" s="1098">
        <v>2.4077999999999999</v>
      </c>
      <c r="CY22" s="838"/>
      <c r="CZ22" s="782">
        <v>178.9</v>
      </c>
      <c r="DB22" s="782">
        <v>2</v>
      </c>
      <c r="DC22" s="782" t="s">
        <v>363</v>
      </c>
      <c r="DD22" s="782" t="s">
        <v>363</v>
      </c>
      <c r="DE22" s="858">
        <v>4.8000000000000001E-2</v>
      </c>
      <c r="DF22" s="863" t="s">
        <v>963</v>
      </c>
      <c r="DG22" s="1094">
        <v>43544</v>
      </c>
      <c r="DH22" s="1095">
        <v>514</v>
      </c>
      <c r="DI22" s="1095" t="s">
        <v>979</v>
      </c>
      <c r="DJ22" s="1095">
        <v>2.16</v>
      </c>
      <c r="DK22" s="782"/>
      <c r="DL22" s="782"/>
      <c r="DM22" s="782"/>
      <c r="DN22" s="782"/>
      <c r="DO22" s="782"/>
      <c r="DP22" s="782"/>
      <c r="DQ22" s="783"/>
      <c r="DR22" s="784"/>
      <c r="DS22" s="197"/>
      <c r="DT22" s="840">
        <v>12</v>
      </c>
      <c r="DU22" s="841">
        <v>23.45</v>
      </c>
      <c r="DV22" s="842">
        <v>20.39</v>
      </c>
      <c r="DW22" s="843">
        <v>20.260000000000002</v>
      </c>
      <c r="DX22" s="842">
        <v>16.14</v>
      </c>
      <c r="DY22" s="844">
        <v>24</v>
      </c>
      <c r="DZ22" s="845"/>
      <c r="EA22" s="846">
        <v>7</v>
      </c>
      <c r="EB22" s="846">
        <v>95</v>
      </c>
      <c r="EC22" s="846"/>
      <c r="ED22" s="843">
        <v>10</v>
      </c>
      <c r="EE22" s="843">
        <v>2</v>
      </c>
      <c r="EF22" s="846"/>
      <c r="EG22" s="847">
        <v>480</v>
      </c>
      <c r="EH22" s="848" t="s">
        <v>0</v>
      </c>
      <c r="EI22" s="849"/>
      <c r="EJ22" s="849" t="s">
        <v>0</v>
      </c>
      <c r="EK22" s="849" t="s">
        <v>0</v>
      </c>
      <c r="EL22" s="847" t="s">
        <v>0</v>
      </c>
      <c r="EM22" s="850">
        <v>660</v>
      </c>
      <c r="EN22" s="849"/>
      <c r="EO22" s="849"/>
      <c r="EP22" s="851"/>
      <c r="EQ22" s="852"/>
      <c r="ER22" s="849"/>
      <c r="ES22" s="849"/>
      <c r="ET22" s="849"/>
      <c r="EU22" s="853"/>
      <c r="EV22" s="714">
        <v>57.13</v>
      </c>
      <c r="EW22" s="854">
        <v>9.7100000000000009</v>
      </c>
      <c r="EX22" s="714">
        <v>12.22</v>
      </c>
      <c r="EY22" s="854">
        <v>1.22</v>
      </c>
      <c r="EZ22" s="854">
        <v>3.15</v>
      </c>
      <c r="FA22" s="854">
        <v>0.81</v>
      </c>
      <c r="FB22" s="854">
        <v>0</v>
      </c>
      <c r="FC22" s="854">
        <v>2.79</v>
      </c>
      <c r="FD22" s="854">
        <v>30</v>
      </c>
      <c r="FE22" s="854">
        <v>0.13</v>
      </c>
      <c r="FF22" s="854">
        <v>0.12</v>
      </c>
      <c r="FG22" s="854"/>
      <c r="FH22" s="854">
        <v>4.96</v>
      </c>
      <c r="FI22" s="855"/>
    </row>
    <row r="23" spans="3:165" ht="15" customHeight="1" thickBot="1" x14ac:dyDescent="0.6">
      <c r="D23" s="860"/>
      <c r="H23" s="868"/>
      <c r="I23" s="335"/>
      <c r="J23" s="335"/>
      <c r="K23" s="472"/>
      <c r="L23" s="869" t="s">
        <v>862</v>
      </c>
      <c r="M23" s="869" t="s">
        <v>863</v>
      </c>
      <c r="S23">
        <v>17</v>
      </c>
      <c r="T23" s="765">
        <v>22.57</v>
      </c>
      <c r="U23" s="765">
        <v>24.47</v>
      </c>
      <c r="V23" s="766">
        <v>12.47</v>
      </c>
      <c r="W23">
        <v>12.51</v>
      </c>
      <c r="X23" s="766">
        <v>14.2</v>
      </c>
      <c r="Y23">
        <v>0.5</v>
      </c>
      <c r="Z23">
        <v>0.3</v>
      </c>
      <c r="AA23">
        <v>2.2000000000000002</v>
      </c>
      <c r="AB23">
        <v>2</v>
      </c>
      <c r="AC23">
        <v>2.66</v>
      </c>
      <c r="AD23">
        <v>3</v>
      </c>
      <c r="AG23">
        <v>7.19</v>
      </c>
      <c r="AH23">
        <v>7.03</v>
      </c>
      <c r="AI23">
        <v>6.38</v>
      </c>
      <c r="AJ23">
        <v>6.28</v>
      </c>
      <c r="AK23">
        <v>6.38</v>
      </c>
      <c r="AL23">
        <v>6.3</v>
      </c>
      <c r="AM23">
        <v>7.99</v>
      </c>
      <c r="AN23">
        <v>7.54</v>
      </c>
      <c r="AO23">
        <v>8.16</v>
      </c>
      <c r="AP23">
        <v>7.72</v>
      </c>
      <c r="AQ23">
        <v>8.18</v>
      </c>
      <c r="AR23">
        <v>7.89</v>
      </c>
      <c r="AS23">
        <v>8.02</v>
      </c>
      <c r="AV23" s="765">
        <f>('User Data'!T23/1440)/('1940 - Plant Op.'!J32*704)*1000000</f>
        <v>2.2263652146464645</v>
      </c>
      <c r="AW23" s="765"/>
      <c r="AX23">
        <v>0</v>
      </c>
      <c r="AY23">
        <v>0</v>
      </c>
      <c r="AZ23">
        <v>0</v>
      </c>
      <c r="BA23">
        <v>0</v>
      </c>
      <c r="BB23">
        <v>0</v>
      </c>
      <c r="BC23">
        <v>90</v>
      </c>
      <c r="BD23">
        <v>70</v>
      </c>
      <c r="BE23">
        <v>29</v>
      </c>
      <c r="BF23">
        <v>24</v>
      </c>
      <c r="BG23">
        <v>96</v>
      </c>
      <c r="BH23">
        <v>78</v>
      </c>
      <c r="BI23">
        <v>96</v>
      </c>
      <c r="BJ23">
        <v>59</v>
      </c>
      <c r="BK23">
        <v>0</v>
      </c>
      <c r="BL23">
        <v>46</v>
      </c>
      <c r="BM23">
        <v>95.5</v>
      </c>
      <c r="BP23" s="866"/>
      <c r="BQ23" s="857">
        <v>13</v>
      </c>
      <c r="BR23" s="829">
        <v>12.7</v>
      </c>
      <c r="BS23" s="830">
        <v>0.77</v>
      </c>
      <c r="BT23" s="831">
        <v>24</v>
      </c>
      <c r="BU23" s="832">
        <v>1</v>
      </c>
      <c r="BV23" s="832">
        <v>1.0900000000000001</v>
      </c>
      <c r="BW23" s="832">
        <v>0.94</v>
      </c>
      <c r="BX23" s="832">
        <v>27.1</v>
      </c>
      <c r="BY23" s="832">
        <v>14.2</v>
      </c>
      <c r="BZ23" s="832">
        <v>29.2</v>
      </c>
      <c r="CA23" s="1092">
        <v>76</v>
      </c>
      <c r="CB23" s="1092">
        <v>0</v>
      </c>
      <c r="CC23" s="835">
        <f t="shared" si="0"/>
        <v>28.001242999999995</v>
      </c>
      <c r="CD23" s="835">
        <f t="shared" si="1"/>
        <v>27.310856700000002</v>
      </c>
      <c r="CE23" s="834">
        <v>9.9700000000000006</v>
      </c>
      <c r="CF23" s="1098">
        <v>0.60440000000000005</v>
      </c>
      <c r="CG23" s="836">
        <v>0</v>
      </c>
      <c r="CH23" s="1081">
        <v>0</v>
      </c>
      <c r="CI23" s="834">
        <v>0.82199999999999995</v>
      </c>
      <c r="CK23"/>
      <c r="CL23" s="834">
        <v>0</v>
      </c>
      <c r="CM23"/>
      <c r="CN23"/>
      <c r="CO23" s="1082"/>
      <c r="CP23" s="782">
        <v>0</v>
      </c>
      <c r="CQ23" s="834">
        <v>107</v>
      </c>
      <c r="CR23" s="834">
        <v>184</v>
      </c>
      <c r="CS23" s="834"/>
      <c r="CT23" s="834"/>
      <c r="CU23" s="1098">
        <v>6.9029999999999996</v>
      </c>
      <c r="CV23" s="1098">
        <v>6.9452999999999996</v>
      </c>
      <c r="CW23" s="1098">
        <v>2.6139999999999999</v>
      </c>
      <c r="CX23" s="1098">
        <v>2.4207000000000001</v>
      </c>
      <c r="CY23" s="838"/>
      <c r="CZ23" s="782">
        <v>88.2</v>
      </c>
      <c r="DB23" s="782">
        <v>1</v>
      </c>
      <c r="DC23" s="782" t="s">
        <v>363</v>
      </c>
      <c r="DD23" s="782" t="s">
        <v>363</v>
      </c>
      <c r="DE23" s="858"/>
      <c r="DF23" s="863"/>
      <c r="DG23" s="1094">
        <v>43544</v>
      </c>
      <c r="DH23" s="1095">
        <v>574</v>
      </c>
      <c r="DI23" s="1095" t="s">
        <v>969</v>
      </c>
      <c r="DJ23" s="1095">
        <v>2.0299999999999998</v>
      </c>
      <c r="DK23" s="782"/>
      <c r="DL23" s="782"/>
      <c r="DM23" s="782"/>
      <c r="DN23" s="782"/>
      <c r="DO23" s="782"/>
      <c r="DP23" s="782"/>
      <c r="DQ23" s="783"/>
      <c r="DR23" s="784"/>
      <c r="DS23" s="197"/>
      <c r="DT23" s="840">
        <v>13</v>
      </c>
      <c r="DU23" s="841">
        <v>23.87</v>
      </c>
      <c r="DV23" s="842">
        <v>20.85</v>
      </c>
      <c r="DW23" s="843">
        <v>20.62</v>
      </c>
      <c r="DX23" s="842">
        <v>19.79</v>
      </c>
      <c r="DY23" s="844">
        <v>24</v>
      </c>
      <c r="DZ23" s="845"/>
      <c r="EA23" s="846">
        <v>6</v>
      </c>
      <c r="EB23" s="846">
        <v>103.5</v>
      </c>
      <c r="EC23" s="846"/>
      <c r="ED23" s="843">
        <v>10</v>
      </c>
      <c r="EE23" s="843">
        <v>3</v>
      </c>
      <c r="EF23" s="846"/>
      <c r="EG23" s="847">
        <v>730</v>
      </c>
      <c r="EH23" s="848" t="s">
        <v>0</v>
      </c>
      <c r="EI23" s="849"/>
      <c r="EJ23" s="849" t="s">
        <v>0</v>
      </c>
      <c r="EK23" s="849" t="s">
        <v>0</v>
      </c>
      <c r="EL23" s="847" t="s">
        <v>0</v>
      </c>
      <c r="EM23" s="850">
        <v>641</v>
      </c>
      <c r="EN23" s="849"/>
      <c r="EO23" s="849"/>
      <c r="EP23" s="851"/>
      <c r="EQ23" s="852"/>
      <c r="ER23" s="849"/>
      <c r="ES23" s="849"/>
      <c r="ET23" s="849"/>
      <c r="EU23" s="853"/>
      <c r="EV23" s="714">
        <v>59.99</v>
      </c>
      <c r="EW23" s="854">
        <v>8.9600000000000009</v>
      </c>
      <c r="EX23" s="714">
        <v>11.93</v>
      </c>
      <c r="EY23" s="854">
        <v>1.19</v>
      </c>
      <c r="EZ23" s="854">
        <v>3.78</v>
      </c>
      <c r="FA23" s="854">
        <v>0.78</v>
      </c>
      <c r="FB23" s="854">
        <v>0</v>
      </c>
      <c r="FC23" s="854">
        <v>2.84</v>
      </c>
      <c r="FD23" s="854">
        <v>30.02</v>
      </c>
      <c r="FE23" s="854">
        <v>0.14000000000000001</v>
      </c>
      <c r="FF23" s="854">
        <v>0.12</v>
      </c>
      <c r="FG23" s="854"/>
      <c r="FH23" s="854">
        <v>4.92</v>
      </c>
      <c r="FI23" s="855"/>
    </row>
    <row r="24" spans="3:165" ht="15" customHeight="1" thickBot="1" x14ac:dyDescent="0.6">
      <c r="C24" s="839" t="s">
        <v>864</v>
      </c>
      <c r="D24" s="870" t="s">
        <v>865</v>
      </c>
      <c r="I24" s="871" t="s">
        <v>866</v>
      </c>
      <c r="J24" s="872"/>
      <c r="K24" s="872"/>
      <c r="L24" s="873">
        <f>D417</f>
        <v>2.2393880713515735</v>
      </c>
      <c r="M24" s="874">
        <f>E417</f>
        <v>76.622081441282759</v>
      </c>
      <c r="S24">
        <v>18</v>
      </c>
      <c r="T24" s="765">
        <v>23.09</v>
      </c>
      <c r="U24" s="765">
        <v>24.28</v>
      </c>
      <c r="V24" s="766">
        <v>12.65</v>
      </c>
      <c r="W24">
        <v>12.97</v>
      </c>
      <c r="X24" s="766">
        <v>14.3</v>
      </c>
      <c r="Y24">
        <v>0.7</v>
      </c>
      <c r="Z24">
        <v>0.3</v>
      </c>
      <c r="AA24">
        <v>1.9</v>
      </c>
      <c r="AB24">
        <v>1.5</v>
      </c>
      <c r="AC24">
        <v>2.88</v>
      </c>
      <c r="AD24">
        <v>2.91</v>
      </c>
      <c r="AG24">
        <v>7.28</v>
      </c>
      <c r="AH24">
        <v>7.03</v>
      </c>
      <c r="AI24">
        <v>6.39</v>
      </c>
      <c r="AJ24">
        <v>6.29</v>
      </c>
      <c r="AK24">
        <v>6.41</v>
      </c>
      <c r="AL24">
        <v>6.27</v>
      </c>
      <c r="AM24">
        <v>7.68</v>
      </c>
      <c r="AN24">
        <v>7.43</v>
      </c>
      <c r="AO24">
        <v>7.75</v>
      </c>
      <c r="AP24">
        <v>7.56</v>
      </c>
      <c r="AQ24">
        <v>7.95</v>
      </c>
      <c r="AR24">
        <v>7.71</v>
      </c>
      <c r="AS24">
        <v>7.8</v>
      </c>
      <c r="AV24" s="765">
        <f>('User Data'!T24/1440)/('1940 - Plant Op.'!J33*704)*1000000</f>
        <v>2.2776594065656566</v>
      </c>
      <c r="AW24" s="765"/>
      <c r="AX24">
        <v>0</v>
      </c>
      <c r="AY24">
        <v>0</v>
      </c>
      <c r="AZ24">
        <v>0</v>
      </c>
      <c r="BA24">
        <v>0</v>
      </c>
      <c r="BB24">
        <v>0</v>
      </c>
      <c r="BC24">
        <v>96</v>
      </c>
      <c r="BD24">
        <v>94</v>
      </c>
      <c r="BE24">
        <v>53</v>
      </c>
      <c r="BF24">
        <v>78</v>
      </c>
      <c r="BG24">
        <v>35</v>
      </c>
      <c r="BH24">
        <v>96</v>
      </c>
      <c r="BI24">
        <v>30</v>
      </c>
      <c r="BJ24">
        <v>83</v>
      </c>
      <c r="BK24">
        <v>0</v>
      </c>
      <c r="BL24">
        <v>70</v>
      </c>
      <c r="BM24">
        <v>46</v>
      </c>
      <c r="BP24" s="866"/>
      <c r="BQ24" s="857">
        <v>14</v>
      </c>
      <c r="BR24" s="829">
        <v>14.5</v>
      </c>
      <c r="BS24" s="830">
        <v>0.85</v>
      </c>
      <c r="BT24" s="831">
        <v>23</v>
      </c>
      <c r="BU24" s="832">
        <v>0.86</v>
      </c>
      <c r="BV24" s="832">
        <v>1.74</v>
      </c>
      <c r="BW24" s="832">
        <v>1.0900000000000001</v>
      </c>
      <c r="BX24" s="832">
        <v>28.5</v>
      </c>
      <c r="BY24" s="832">
        <v>14.6</v>
      </c>
      <c r="BZ24" s="832">
        <v>29.6</v>
      </c>
      <c r="CA24" s="1092">
        <v>79</v>
      </c>
      <c r="CB24" s="1092">
        <v>0</v>
      </c>
      <c r="CC24" s="835">
        <f t="shared" si="0"/>
        <v>26.371941899999999</v>
      </c>
      <c r="CD24" s="835">
        <f t="shared" si="1"/>
        <v>28.439267999999998</v>
      </c>
      <c r="CE24" s="834">
        <v>8.73</v>
      </c>
      <c r="CF24" s="1098">
        <v>0.65049999999999997</v>
      </c>
      <c r="CG24" s="836">
        <v>0</v>
      </c>
      <c r="CH24" s="1081">
        <v>0</v>
      </c>
      <c r="CI24" s="834">
        <v>0.72299999999999998</v>
      </c>
      <c r="CK24"/>
      <c r="CL24" s="834">
        <v>0</v>
      </c>
      <c r="CM24" s="834">
        <v>0</v>
      </c>
      <c r="CN24" s="834">
        <v>0.25700000000000001</v>
      </c>
      <c r="CO24" s="1083">
        <v>0.65483999999999998</v>
      </c>
      <c r="CP24" s="782">
        <v>0</v>
      </c>
      <c r="CQ24" s="834">
        <v>106</v>
      </c>
      <c r="CR24" s="834">
        <v>186</v>
      </c>
      <c r="CS24" s="834"/>
      <c r="CT24" s="834"/>
      <c r="CU24" s="1098">
        <v>6.4545000000000003</v>
      </c>
      <c r="CV24" s="1098">
        <v>7.3003999999999998</v>
      </c>
      <c r="CW24" s="1098">
        <v>2.4903</v>
      </c>
      <c r="CX24" s="1098">
        <v>2.4794</v>
      </c>
      <c r="CY24" s="838"/>
      <c r="CZ24" s="782">
        <v>93.3</v>
      </c>
      <c r="DB24" s="782">
        <v>1</v>
      </c>
      <c r="DC24" s="782" t="s">
        <v>363</v>
      </c>
      <c r="DD24" s="782" t="s">
        <v>363</v>
      </c>
      <c r="DE24" s="834"/>
      <c r="DF24" s="867"/>
      <c r="DG24" s="1094">
        <v>43544</v>
      </c>
      <c r="DH24" s="1095">
        <v>544</v>
      </c>
      <c r="DI24" s="1095" t="s">
        <v>980</v>
      </c>
      <c r="DJ24" s="1095">
        <v>1.18</v>
      </c>
      <c r="DK24" s="782"/>
      <c r="DL24" s="782"/>
      <c r="DM24" s="782"/>
      <c r="DN24" s="782"/>
      <c r="DO24" s="782"/>
      <c r="DP24" s="782"/>
      <c r="DQ24" s="783"/>
      <c r="DR24" s="784"/>
      <c r="DS24" s="197"/>
      <c r="DT24" s="840">
        <v>14</v>
      </c>
      <c r="DU24" s="841">
        <v>25.39</v>
      </c>
      <c r="DV24" s="842">
        <v>22.75</v>
      </c>
      <c r="DW24" s="843">
        <v>22.54</v>
      </c>
      <c r="DX24" s="842">
        <v>20.39</v>
      </c>
      <c r="DY24" s="844">
        <v>24</v>
      </c>
      <c r="DZ24" s="845"/>
      <c r="EA24" s="846">
        <v>6</v>
      </c>
      <c r="EB24" s="846">
        <v>98</v>
      </c>
      <c r="EC24" s="846"/>
      <c r="ED24" s="843">
        <v>10</v>
      </c>
      <c r="EE24" s="843">
        <v>2</v>
      </c>
      <c r="EF24" s="846"/>
      <c r="EG24" s="847">
        <v>480</v>
      </c>
      <c r="EH24" s="848" t="s">
        <v>0</v>
      </c>
      <c r="EI24" s="849"/>
      <c r="EJ24" s="849" t="s">
        <v>0</v>
      </c>
      <c r="EK24" s="849" t="s">
        <v>0</v>
      </c>
      <c r="EL24" s="847" t="s">
        <v>0</v>
      </c>
      <c r="EM24" s="850">
        <v>725</v>
      </c>
      <c r="EN24" s="849"/>
      <c r="EO24" s="849"/>
      <c r="EP24" s="851"/>
      <c r="EQ24" s="852"/>
      <c r="ER24" s="849"/>
      <c r="ES24" s="849"/>
      <c r="ET24" s="849"/>
      <c r="EU24" s="853"/>
      <c r="EV24" s="714">
        <v>60.58</v>
      </c>
      <c r="EW24" s="854">
        <v>8.76</v>
      </c>
      <c r="EX24" s="714">
        <v>11.94</v>
      </c>
      <c r="EY24" s="854">
        <v>1.4</v>
      </c>
      <c r="EZ24" s="854">
        <v>3.1</v>
      </c>
      <c r="FA24" s="854">
        <v>0.82</v>
      </c>
      <c r="FB24" s="854">
        <v>0</v>
      </c>
      <c r="FC24" s="854">
        <v>2.89</v>
      </c>
      <c r="FD24" s="854">
        <v>30.1</v>
      </c>
      <c r="FE24" s="854">
        <v>0.13</v>
      </c>
      <c r="FF24" s="854">
        <v>0.11</v>
      </c>
      <c r="FG24" s="854"/>
      <c r="FH24" s="854">
        <v>4.8600000000000003</v>
      </c>
      <c r="FI24" s="855"/>
    </row>
    <row r="25" spans="3:165" ht="15" customHeight="1" thickBot="1" x14ac:dyDescent="0.6">
      <c r="C25" s="839"/>
      <c r="D25" s="875"/>
      <c r="I25" s="876"/>
      <c r="J25" s="877"/>
      <c r="K25" s="877"/>
      <c r="L25" s="878"/>
      <c r="M25" s="879"/>
      <c r="S25">
        <v>19</v>
      </c>
      <c r="T25" s="765">
        <v>22.25</v>
      </c>
      <c r="U25" s="765">
        <v>25.56</v>
      </c>
      <c r="V25" s="766">
        <v>12.78</v>
      </c>
      <c r="W25">
        <v>12.52</v>
      </c>
      <c r="X25" s="766">
        <v>14.44</v>
      </c>
      <c r="Y25">
        <v>0.7</v>
      </c>
      <c r="Z25">
        <v>0.3</v>
      </c>
      <c r="AA25">
        <v>1.6</v>
      </c>
      <c r="AB25">
        <v>1.7</v>
      </c>
      <c r="AC25">
        <v>3</v>
      </c>
      <c r="AD25">
        <v>2.62</v>
      </c>
      <c r="AG25">
        <v>7.31</v>
      </c>
      <c r="AH25">
        <v>7.1</v>
      </c>
      <c r="AI25">
        <v>6.34</v>
      </c>
      <c r="AJ25">
        <v>6.2</v>
      </c>
      <c r="AK25">
        <v>6.35</v>
      </c>
      <c r="AL25">
        <v>6.21</v>
      </c>
      <c r="AM25">
        <v>7.84</v>
      </c>
      <c r="AN25">
        <v>7.42</v>
      </c>
      <c r="AO25">
        <v>7.76</v>
      </c>
      <c r="AP25">
        <v>7.38</v>
      </c>
      <c r="AQ25">
        <v>7.88</v>
      </c>
      <c r="AR25">
        <v>7.6</v>
      </c>
      <c r="AS25">
        <v>7.7</v>
      </c>
      <c r="AV25" s="765">
        <f>('User Data'!T25/1440)/('1940 - Plant Op.'!J34*704)*1000000</f>
        <v>2.1947995580808084</v>
      </c>
      <c r="AW25" s="765"/>
      <c r="AX25">
        <v>0</v>
      </c>
      <c r="AY25">
        <v>0</v>
      </c>
      <c r="AZ25">
        <v>0</v>
      </c>
      <c r="BA25">
        <v>0</v>
      </c>
      <c r="BB25">
        <v>0</v>
      </c>
      <c r="BC25">
        <v>42</v>
      </c>
      <c r="BD25">
        <v>96</v>
      </c>
      <c r="BE25">
        <v>77</v>
      </c>
      <c r="BF25">
        <v>96</v>
      </c>
      <c r="BG25">
        <v>59</v>
      </c>
      <c r="BH25">
        <v>30</v>
      </c>
      <c r="BI25">
        <v>54</v>
      </c>
      <c r="BJ25">
        <v>96</v>
      </c>
      <c r="BK25">
        <v>0</v>
      </c>
      <c r="BL25">
        <v>94</v>
      </c>
      <c r="BM25">
        <v>70</v>
      </c>
      <c r="BP25" s="866"/>
      <c r="BQ25" s="857">
        <v>15</v>
      </c>
      <c r="BR25" s="829">
        <v>17.100000000000001</v>
      </c>
      <c r="BS25" s="830">
        <v>0.6</v>
      </c>
      <c r="BT25" s="831">
        <v>23</v>
      </c>
      <c r="BU25" s="832">
        <v>1.07</v>
      </c>
      <c r="BV25" s="832">
        <v>1.04</v>
      </c>
      <c r="BW25" s="832">
        <v>0.55000000000000004</v>
      </c>
      <c r="BX25" s="832">
        <v>26.08</v>
      </c>
      <c r="BY25" s="832">
        <v>14.5</v>
      </c>
      <c r="BZ25" s="832">
        <v>29.5</v>
      </c>
      <c r="CA25" s="1092">
        <v>90</v>
      </c>
      <c r="CB25" s="1092">
        <v>0</v>
      </c>
      <c r="CC25" s="835">
        <f t="shared" si="0"/>
        <v>26.453995800000001</v>
      </c>
      <c r="CD25" s="835">
        <f t="shared" si="1"/>
        <v>27.463565899999999</v>
      </c>
      <c r="CE25" s="834">
        <v>8.9</v>
      </c>
      <c r="CF25" s="1098">
        <v>0.69550000000000001</v>
      </c>
      <c r="CG25" s="836">
        <v>0</v>
      </c>
      <c r="CH25" s="1081">
        <v>0</v>
      </c>
      <c r="CI25" s="834">
        <v>0.749</v>
      </c>
      <c r="CJ25" s="836"/>
      <c r="CK25"/>
      <c r="CL25"/>
      <c r="CM25"/>
      <c r="CN25"/>
      <c r="CP25"/>
      <c r="CQ25" s="834">
        <v>108</v>
      </c>
      <c r="CR25" s="834">
        <v>191</v>
      </c>
      <c r="CS25" s="834"/>
      <c r="CT25" s="834"/>
      <c r="CU25" s="1098">
        <v>6.4993999999999996</v>
      </c>
      <c r="CV25" s="1098">
        <v>7.0307000000000004</v>
      </c>
      <c r="CW25" s="1098">
        <v>2.4830000000000001</v>
      </c>
      <c r="CX25" s="1098">
        <v>2.4060000000000001</v>
      </c>
      <c r="CY25" s="838"/>
      <c r="CZ25" s="782">
        <v>105</v>
      </c>
      <c r="DA25" s="472" t="s">
        <v>367</v>
      </c>
      <c r="DB25" s="782">
        <v>1</v>
      </c>
      <c r="DC25" s="782" t="s">
        <v>363</v>
      </c>
      <c r="DD25" s="782" t="s">
        <v>363</v>
      </c>
      <c r="DE25" s="862"/>
      <c r="DF25" s="867"/>
      <c r="DG25" s="1094">
        <v>43551</v>
      </c>
      <c r="DH25" s="1095">
        <v>613</v>
      </c>
      <c r="DI25" s="1095" t="s">
        <v>968</v>
      </c>
      <c r="DJ25" s="1095">
        <v>2.17</v>
      </c>
      <c r="DK25" s="782"/>
      <c r="DL25" s="782"/>
      <c r="DM25" s="782"/>
      <c r="DN25" s="782"/>
      <c r="DO25" s="782"/>
      <c r="DP25" s="782"/>
      <c r="DQ25" s="783"/>
      <c r="DR25" s="784"/>
      <c r="DS25" s="197"/>
      <c r="DT25" s="840">
        <v>15</v>
      </c>
      <c r="DU25" s="841">
        <v>23.26</v>
      </c>
      <c r="DV25" s="842">
        <v>20.52</v>
      </c>
      <c r="DW25" s="843">
        <v>20.23</v>
      </c>
      <c r="DX25" s="842">
        <v>16.73</v>
      </c>
      <c r="DY25" s="844">
        <v>24</v>
      </c>
      <c r="DZ25" s="845"/>
      <c r="EA25" s="846">
        <v>6</v>
      </c>
      <c r="EB25" s="846">
        <v>96</v>
      </c>
      <c r="EC25" s="846"/>
      <c r="ED25" s="843">
        <v>10</v>
      </c>
      <c r="EE25" s="843">
        <v>3</v>
      </c>
      <c r="EF25" s="846"/>
      <c r="EG25" s="847">
        <v>750</v>
      </c>
      <c r="EH25" s="848" t="s">
        <v>0</v>
      </c>
      <c r="EI25" s="849"/>
      <c r="EJ25" s="849" t="s">
        <v>0</v>
      </c>
      <c r="EK25" s="849" t="s">
        <v>0</v>
      </c>
      <c r="EL25" s="847" t="s">
        <v>0</v>
      </c>
      <c r="EM25" s="850">
        <v>649</v>
      </c>
      <c r="EN25" s="849"/>
      <c r="EO25" s="849"/>
      <c r="EP25" s="851"/>
      <c r="EQ25" s="852"/>
      <c r="ER25" s="849"/>
      <c r="ES25" s="849"/>
      <c r="ET25" s="849"/>
      <c r="EU25" s="853"/>
      <c r="EV25" s="714">
        <v>61.9</v>
      </c>
      <c r="EW25" s="854">
        <v>8.68</v>
      </c>
      <c r="EX25" s="714">
        <v>11.77</v>
      </c>
      <c r="EY25" s="854">
        <v>1.49</v>
      </c>
      <c r="EZ25" s="854">
        <v>2.97</v>
      </c>
      <c r="FA25" s="854">
        <v>0.79</v>
      </c>
      <c r="FB25" s="854">
        <v>0</v>
      </c>
      <c r="FC25" s="854">
        <v>2.84</v>
      </c>
      <c r="FD25" s="854">
        <v>30.03</v>
      </c>
      <c r="FE25" s="854">
        <v>0.13</v>
      </c>
      <c r="FF25" s="854">
        <v>0.12</v>
      </c>
      <c r="FG25" s="854"/>
      <c r="FH25" s="854">
        <v>4.53</v>
      </c>
      <c r="FI25" s="855"/>
    </row>
    <row r="26" spans="3:165" ht="15" customHeight="1" thickBot="1" x14ac:dyDescent="0.6">
      <c r="C26" s="839" t="s">
        <v>867</v>
      </c>
      <c r="D26" s="880">
        <v>2018</v>
      </c>
      <c r="F26" s="839"/>
      <c r="I26" s="881" t="s">
        <v>868</v>
      </c>
      <c r="J26" s="882"/>
      <c r="K26" s="882"/>
      <c r="L26" s="883">
        <f>D418</f>
        <v>2.9523863342228989</v>
      </c>
      <c r="M26" s="884">
        <f>E418</f>
        <v>104.57796690683756</v>
      </c>
      <c r="S26">
        <v>20</v>
      </c>
      <c r="T26" s="765">
        <v>27</v>
      </c>
      <c r="U26" s="765">
        <v>24.45</v>
      </c>
      <c r="V26" s="766">
        <v>12.72</v>
      </c>
      <c r="W26">
        <v>12.97</v>
      </c>
      <c r="X26" s="766">
        <v>14.38</v>
      </c>
      <c r="Y26">
        <v>0.5</v>
      </c>
      <c r="Z26">
        <v>0.4</v>
      </c>
      <c r="AA26">
        <v>1.7</v>
      </c>
      <c r="AB26">
        <v>1.5</v>
      </c>
      <c r="AC26">
        <v>2.9</v>
      </c>
      <c r="AD26">
        <v>2.74</v>
      </c>
      <c r="AG26">
        <v>7.19</v>
      </c>
      <c r="AH26">
        <v>7.06</v>
      </c>
      <c r="AI26">
        <v>6.33</v>
      </c>
      <c r="AJ26">
        <v>6.15</v>
      </c>
      <c r="AK26">
        <v>6.33</v>
      </c>
      <c r="AL26">
        <v>6.2</v>
      </c>
      <c r="AM26">
        <v>7.78</v>
      </c>
      <c r="AN26">
        <v>7.32</v>
      </c>
      <c r="AO26">
        <v>7.77</v>
      </c>
      <c r="AP26">
        <v>7.58</v>
      </c>
      <c r="AQ26">
        <v>7.81</v>
      </c>
      <c r="AR26">
        <v>7.55</v>
      </c>
      <c r="AS26">
        <v>7.74</v>
      </c>
      <c r="AV26" s="765">
        <f>('User Data'!T26/1440)/('1940 - Plant Op.'!J35*704)*1000000</f>
        <v>2.6633522727272725</v>
      </c>
      <c r="AW26" s="765"/>
      <c r="AX26">
        <v>0</v>
      </c>
      <c r="AY26">
        <v>0</v>
      </c>
      <c r="AZ26">
        <v>0</v>
      </c>
      <c r="BA26">
        <v>0</v>
      </c>
      <c r="BB26">
        <v>0</v>
      </c>
      <c r="BC26">
        <v>66</v>
      </c>
      <c r="BD26">
        <v>46</v>
      </c>
      <c r="BE26">
        <v>95.5</v>
      </c>
      <c r="BF26">
        <v>30</v>
      </c>
      <c r="BG26">
        <v>83</v>
      </c>
      <c r="BH26">
        <v>54</v>
      </c>
      <c r="BI26">
        <v>78</v>
      </c>
      <c r="BJ26">
        <v>35</v>
      </c>
      <c r="BK26">
        <v>0</v>
      </c>
      <c r="BL26">
        <v>96</v>
      </c>
      <c r="BM26">
        <v>94</v>
      </c>
      <c r="BP26" s="866"/>
      <c r="BQ26" s="857">
        <v>16</v>
      </c>
      <c r="BR26" s="829">
        <v>12.3</v>
      </c>
      <c r="BS26" s="830">
        <v>0.68</v>
      </c>
      <c r="BT26" s="831">
        <v>24</v>
      </c>
      <c r="BU26" s="832">
        <v>0.92</v>
      </c>
      <c r="BV26" s="832">
        <v>1.37</v>
      </c>
      <c r="BW26" s="832">
        <v>0.9</v>
      </c>
      <c r="BX26" s="832">
        <v>24.75</v>
      </c>
      <c r="BY26" s="832">
        <v>14.75</v>
      </c>
      <c r="BZ26" s="832">
        <v>34.25</v>
      </c>
      <c r="CA26" s="1092">
        <v>70</v>
      </c>
      <c r="CB26" s="1092">
        <v>0</v>
      </c>
      <c r="CC26" s="835">
        <f t="shared" si="0"/>
        <v>27.660458999999999</v>
      </c>
      <c r="CD26" s="835">
        <f t="shared" si="1"/>
        <v>27.896835199999998</v>
      </c>
      <c r="CE26" s="834"/>
      <c r="CF26" s="1098">
        <v>0.60070000000000001</v>
      </c>
      <c r="CG26" s="836">
        <v>0</v>
      </c>
      <c r="CH26" s="1081">
        <v>0</v>
      </c>
      <c r="CI26" s="834">
        <v>0.77100000000000002</v>
      </c>
      <c r="CK26"/>
      <c r="CL26"/>
      <c r="CM26"/>
      <c r="CN26"/>
      <c r="CP26"/>
      <c r="CQ26" s="834">
        <v>111</v>
      </c>
      <c r="CR26" s="834">
        <v>195</v>
      </c>
      <c r="CS26" s="834"/>
      <c r="CT26" s="834"/>
      <c r="CU26" s="1098">
        <v>6.7717999999999998</v>
      </c>
      <c r="CV26" s="1098">
        <v>7.0453999999999999</v>
      </c>
      <c r="CW26" s="1098">
        <v>2.6107999999999998</v>
      </c>
      <c r="CX26" s="1098">
        <v>2.5023</v>
      </c>
      <c r="CY26" s="838"/>
      <c r="CZ26" s="782">
        <v>93.2</v>
      </c>
      <c r="DB26" s="782">
        <v>1</v>
      </c>
      <c r="DC26" s="782" t="s">
        <v>363</v>
      </c>
      <c r="DD26" s="782" t="s">
        <v>363</v>
      </c>
      <c r="DE26" s="862"/>
      <c r="DF26" s="867"/>
      <c r="DG26" s="1094">
        <v>43551</v>
      </c>
      <c r="DH26" s="1095">
        <v>606</v>
      </c>
      <c r="DI26" s="1095" t="s">
        <v>973</v>
      </c>
      <c r="DJ26" s="1095">
        <v>1.1399999999999999</v>
      </c>
      <c r="DK26" s="782"/>
      <c r="DL26" s="782"/>
      <c r="DM26" s="782"/>
      <c r="DN26" s="782"/>
      <c r="DO26" s="782"/>
      <c r="DP26" s="782"/>
      <c r="DQ26" s="783"/>
      <c r="DR26" s="784"/>
      <c r="DS26" s="197"/>
      <c r="DT26" s="840">
        <v>16</v>
      </c>
      <c r="DU26" s="841">
        <v>22.75</v>
      </c>
      <c r="DV26" s="842">
        <v>19.73</v>
      </c>
      <c r="DW26" s="843">
        <v>19.559999999999999</v>
      </c>
      <c r="DX26" s="842">
        <v>17.440000000000001</v>
      </c>
      <c r="DY26" s="844">
        <v>24</v>
      </c>
      <c r="DZ26" s="845"/>
      <c r="EA26" s="846">
        <v>5</v>
      </c>
      <c r="EB26" s="846">
        <v>98</v>
      </c>
      <c r="EC26" s="846"/>
      <c r="ED26" s="843">
        <v>10</v>
      </c>
      <c r="EE26" s="843">
        <v>2</v>
      </c>
      <c r="EF26" s="846"/>
      <c r="EG26" s="847">
        <v>490</v>
      </c>
      <c r="EH26" s="848" t="s">
        <v>0</v>
      </c>
      <c r="EI26" s="849"/>
      <c r="EJ26" s="849" t="s">
        <v>0</v>
      </c>
      <c r="EK26" s="849" t="s">
        <v>0</v>
      </c>
      <c r="EL26" s="847" t="s">
        <v>0</v>
      </c>
      <c r="EM26" s="850">
        <v>617</v>
      </c>
      <c r="EN26" s="849"/>
      <c r="EO26" s="849"/>
      <c r="EP26" s="851"/>
      <c r="EQ26" s="852"/>
      <c r="ER26" s="849"/>
      <c r="ES26" s="849"/>
      <c r="ET26" s="849"/>
      <c r="EU26" s="853"/>
      <c r="EV26" s="714">
        <v>62.7</v>
      </c>
      <c r="EW26" s="854">
        <v>9.2100000000000009</v>
      </c>
      <c r="EX26" s="714">
        <v>11.86</v>
      </c>
      <c r="EY26" s="854">
        <v>1.39</v>
      </c>
      <c r="EZ26" s="854">
        <v>3.33</v>
      </c>
      <c r="FA26" s="854">
        <v>0.79</v>
      </c>
      <c r="FB26" s="854">
        <v>0</v>
      </c>
      <c r="FC26" s="854">
        <v>2.81</v>
      </c>
      <c r="FD26" s="854">
        <v>29.86</v>
      </c>
      <c r="FE26" s="854">
        <v>0.14000000000000001</v>
      </c>
      <c r="FF26" s="854">
        <v>0.12</v>
      </c>
      <c r="FG26" s="854"/>
      <c r="FH26" s="854">
        <v>4.97</v>
      </c>
      <c r="FI26" s="855"/>
    </row>
    <row r="27" spans="3:165" ht="15" customHeight="1" thickBot="1" x14ac:dyDescent="0.6">
      <c r="E27" s="335"/>
      <c r="F27" s="335"/>
      <c r="G27" s="472"/>
      <c r="H27" s="335"/>
      <c r="I27" s="335"/>
      <c r="J27" s="335"/>
      <c r="S27">
        <v>21</v>
      </c>
      <c r="T27" s="765">
        <v>21.68</v>
      </c>
      <c r="U27" s="765">
        <v>21.38</v>
      </c>
      <c r="V27" s="766">
        <v>13.15</v>
      </c>
      <c r="W27">
        <v>13.41</v>
      </c>
      <c r="X27" s="766">
        <v>14</v>
      </c>
      <c r="Y27">
        <v>0.7</v>
      </c>
      <c r="Z27">
        <v>0.3</v>
      </c>
      <c r="AA27">
        <v>1.8</v>
      </c>
      <c r="AB27">
        <v>1.5</v>
      </c>
      <c r="AC27">
        <v>2.76</v>
      </c>
      <c r="AD27">
        <v>2.61</v>
      </c>
      <c r="AG27">
        <v>7.23</v>
      </c>
      <c r="AH27">
        <v>7.01</v>
      </c>
      <c r="AI27">
        <v>6.37</v>
      </c>
      <c r="AJ27">
        <v>6.24</v>
      </c>
      <c r="AK27">
        <v>6.4</v>
      </c>
      <c r="AL27">
        <v>6.27</v>
      </c>
      <c r="AM27">
        <v>7.95</v>
      </c>
      <c r="AN27">
        <v>7.41</v>
      </c>
      <c r="AO27">
        <v>8.0299999999999994</v>
      </c>
      <c r="AP27">
        <v>7.65</v>
      </c>
      <c r="AQ27">
        <v>8.08</v>
      </c>
      <c r="AR27">
        <v>7.75</v>
      </c>
      <c r="AS27">
        <v>7.91</v>
      </c>
      <c r="AV27" s="765">
        <f>('User Data'!T27/1440)/('1940 - Plant Op.'!J36*704)*1000000</f>
        <v>2.1385732323232323</v>
      </c>
      <c r="AW27" s="765"/>
      <c r="AX27">
        <v>0</v>
      </c>
      <c r="AY27">
        <v>0</v>
      </c>
      <c r="AZ27">
        <v>0</v>
      </c>
      <c r="BA27">
        <v>0</v>
      </c>
      <c r="BB27">
        <v>0</v>
      </c>
      <c r="BC27">
        <v>90</v>
      </c>
      <c r="BD27">
        <v>70</v>
      </c>
      <c r="BE27">
        <v>29.5</v>
      </c>
      <c r="BF27">
        <v>54</v>
      </c>
      <c r="BG27">
        <v>97</v>
      </c>
      <c r="BH27">
        <v>78</v>
      </c>
      <c r="BI27">
        <v>98</v>
      </c>
      <c r="BJ27">
        <v>59</v>
      </c>
      <c r="BK27">
        <v>0</v>
      </c>
      <c r="BL27">
        <v>46</v>
      </c>
      <c r="BM27">
        <v>96</v>
      </c>
      <c r="BP27" s="866"/>
      <c r="BQ27" s="857">
        <v>17</v>
      </c>
      <c r="BR27" s="829">
        <v>11.9</v>
      </c>
      <c r="BS27" s="830">
        <v>0.62</v>
      </c>
      <c r="BT27" s="831">
        <v>24</v>
      </c>
      <c r="BU27" s="832">
        <v>0.97</v>
      </c>
      <c r="BV27" s="832">
        <v>1.32</v>
      </c>
      <c r="BW27" s="832">
        <v>0.99</v>
      </c>
      <c r="BX27" s="832">
        <v>26.2</v>
      </c>
      <c r="BY27" s="832">
        <v>15</v>
      </c>
      <c r="BZ27" s="832">
        <v>30.7</v>
      </c>
      <c r="CA27" s="1092">
        <v>65</v>
      </c>
      <c r="CB27" s="1092">
        <v>0</v>
      </c>
      <c r="CC27" s="835">
        <f t="shared" si="0"/>
        <v>28.4432413</v>
      </c>
      <c r="CD27" s="835">
        <f t="shared" si="1"/>
        <v>28.232089800000001</v>
      </c>
      <c r="CE27" s="834"/>
      <c r="CF27" s="1098">
        <v>0.52739999999999998</v>
      </c>
      <c r="CG27" s="836">
        <v>0</v>
      </c>
      <c r="CH27" s="1081">
        <v>0</v>
      </c>
      <c r="CI27" s="834">
        <v>0.76800000000000002</v>
      </c>
      <c r="CK27"/>
      <c r="CL27"/>
      <c r="CM27"/>
      <c r="CN27"/>
      <c r="CO27" s="864"/>
      <c r="CP27"/>
      <c r="CQ27" s="834">
        <v>113</v>
      </c>
      <c r="CR27" s="834">
        <v>196</v>
      </c>
      <c r="CS27" s="834"/>
      <c r="CT27" s="834"/>
      <c r="CU27" s="1098">
        <v>6.9931000000000001</v>
      </c>
      <c r="CV27" s="1098">
        <v>7.1856</v>
      </c>
      <c r="CW27" s="1098">
        <v>2.6667000000000001</v>
      </c>
      <c r="CX27" s="1098">
        <v>2.4986999999999999</v>
      </c>
      <c r="CY27" s="838"/>
      <c r="CZ27" s="782">
        <v>125</v>
      </c>
      <c r="DB27" s="782">
        <v>1</v>
      </c>
      <c r="DC27" s="782" t="s">
        <v>363</v>
      </c>
      <c r="DD27" s="782" t="s">
        <v>363</v>
      </c>
      <c r="DE27" s="862"/>
      <c r="DF27" s="867"/>
      <c r="DG27" s="1094">
        <v>43551</v>
      </c>
      <c r="DH27" s="1095">
        <v>574</v>
      </c>
      <c r="DI27" s="1095" t="s">
        <v>969</v>
      </c>
      <c r="DJ27" s="1095">
        <v>1.75</v>
      </c>
      <c r="DK27" s="782"/>
      <c r="DL27" s="782"/>
      <c r="DM27" s="782"/>
      <c r="DN27" s="782"/>
      <c r="DO27" s="782"/>
      <c r="DP27" s="782"/>
      <c r="DQ27" s="783"/>
      <c r="DR27" s="784"/>
      <c r="DS27" s="197"/>
      <c r="DT27" s="840">
        <v>17</v>
      </c>
      <c r="DU27" s="841">
        <v>23.27</v>
      </c>
      <c r="DV27" s="842">
        <v>20.6</v>
      </c>
      <c r="DW27" s="843">
        <v>20.39</v>
      </c>
      <c r="DX27" s="842">
        <v>18.25</v>
      </c>
      <c r="DY27" s="844">
        <v>24</v>
      </c>
      <c r="DZ27" s="845"/>
      <c r="EA27" s="846">
        <v>6</v>
      </c>
      <c r="EB27" s="846">
        <v>96</v>
      </c>
      <c r="EC27" s="846"/>
      <c r="ED27" s="843">
        <v>10</v>
      </c>
      <c r="EE27" s="843">
        <v>3</v>
      </c>
      <c r="EF27" s="846"/>
      <c r="EG27" s="847">
        <v>720</v>
      </c>
      <c r="EH27" s="848" t="s">
        <v>0</v>
      </c>
      <c r="EI27" s="849"/>
      <c r="EJ27" s="849" t="s">
        <v>0</v>
      </c>
      <c r="EK27" s="849" t="s">
        <v>0</v>
      </c>
      <c r="EL27" s="847" t="s">
        <v>0</v>
      </c>
      <c r="EM27" s="850">
        <v>656</v>
      </c>
      <c r="EN27" s="849"/>
      <c r="EO27" s="849"/>
      <c r="EP27" s="851"/>
      <c r="EQ27" s="852"/>
      <c r="ER27" s="849"/>
      <c r="ES27" s="849"/>
      <c r="ET27" s="849"/>
      <c r="EU27" s="853"/>
      <c r="EV27" s="714">
        <v>58.97</v>
      </c>
      <c r="EW27" s="854">
        <v>9.7899999999999991</v>
      </c>
      <c r="EX27" s="714">
        <v>11.58</v>
      </c>
      <c r="EY27" s="854">
        <v>1.52</v>
      </c>
      <c r="EZ27" s="854">
        <v>3.49</v>
      </c>
      <c r="FA27" s="854">
        <v>0.79</v>
      </c>
      <c r="FB27" s="854">
        <v>0</v>
      </c>
      <c r="FC27" s="854">
        <v>2.81</v>
      </c>
      <c r="FD27" s="854">
        <v>30.04</v>
      </c>
      <c r="FE27" s="854">
        <v>0.13</v>
      </c>
      <c r="FF27" s="854">
        <v>0.11</v>
      </c>
      <c r="FG27" s="854"/>
      <c r="FH27" s="854">
        <v>5.09</v>
      </c>
      <c r="FI27" s="855"/>
    </row>
    <row r="28" spans="3:165" ht="15" customHeight="1" thickBot="1" x14ac:dyDescent="0.6">
      <c r="E28" s="335"/>
      <c r="F28" s="335"/>
      <c r="G28" s="472"/>
      <c r="H28" s="335"/>
      <c r="I28" s="335"/>
      <c r="J28" s="335"/>
      <c r="S28">
        <v>22</v>
      </c>
      <c r="T28" s="765">
        <v>21.4</v>
      </c>
      <c r="U28" s="765">
        <v>26.26</v>
      </c>
      <c r="V28" s="766">
        <v>12.76</v>
      </c>
      <c r="W28">
        <v>13.01</v>
      </c>
      <c r="X28" s="766">
        <v>14.1</v>
      </c>
      <c r="Y28">
        <v>0.7</v>
      </c>
      <c r="Z28">
        <v>0.3</v>
      </c>
      <c r="AA28">
        <v>1.2</v>
      </c>
      <c r="AB28">
        <v>1.6</v>
      </c>
      <c r="AC28">
        <v>3</v>
      </c>
      <c r="AD28">
        <v>2.6</v>
      </c>
      <c r="AG28">
        <v>7.3</v>
      </c>
      <c r="AH28">
        <v>7.09</v>
      </c>
      <c r="AI28">
        <v>6.45</v>
      </c>
      <c r="AJ28">
        <v>6.29</v>
      </c>
      <c r="AK28">
        <v>6.48</v>
      </c>
      <c r="AL28">
        <v>6.33</v>
      </c>
      <c r="AM28">
        <v>7.82</v>
      </c>
      <c r="AN28">
        <v>7.55</v>
      </c>
      <c r="AO28">
        <v>7.88</v>
      </c>
      <c r="AP28">
        <v>7.64</v>
      </c>
      <c r="AQ28">
        <v>8.09</v>
      </c>
      <c r="AR28">
        <v>7.83</v>
      </c>
      <c r="AS28">
        <v>7.94</v>
      </c>
      <c r="AV28" s="765">
        <f>('User Data'!T28/1440)/('1940 - Plant Op.'!J37*704)*1000000</f>
        <v>2.1109532828282824</v>
      </c>
      <c r="AW28" s="765"/>
      <c r="AX28">
        <v>0</v>
      </c>
      <c r="AY28">
        <v>0</v>
      </c>
      <c r="AZ28">
        <v>0</v>
      </c>
      <c r="BA28">
        <v>0</v>
      </c>
      <c r="BB28">
        <v>0</v>
      </c>
      <c r="BC28">
        <v>96</v>
      </c>
      <c r="BD28">
        <v>94</v>
      </c>
      <c r="BE28">
        <v>53.5</v>
      </c>
      <c r="BF28">
        <v>78</v>
      </c>
      <c r="BG28">
        <v>34</v>
      </c>
      <c r="BH28">
        <v>97</v>
      </c>
      <c r="BI28">
        <v>28</v>
      </c>
      <c r="BJ28">
        <v>83</v>
      </c>
      <c r="BK28">
        <v>0</v>
      </c>
      <c r="BL28">
        <v>70</v>
      </c>
      <c r="BM28">
        <v>46</v>
      </c>
      <c r="BP28" s="866"/>
      <c r="BQ28" s="857">
        <v>18</v>
      </c>
      <c r="BR28" s="829">
        <v>9.9499999999999993</v>
      </c>
      <c r="BS28" s="830">
        <v>0.82</v>
      </c>
      <c r="BT28" s="831">
        <v>23</v>
      </c>
      <c r="BU28" s="832">
        <v>0.81</v>
      </c>
      <c r="BV28" s="832">
        <v>1.71</v>
      </c>
      <c r="BW28" s="832">
        <v>0.94</v>
      </c>
      <c r="BX28" s="832">
        <v>27.7</v>
      </c>
      <c r="BY28" s="832">
        <v>16</v>
      </c>
      <c r="BZ28" s="832">
        <v>31</v>
      </c>
      <c r="CA28" s="1092">
        <v>58</v>
      </c>
      <c r="CB28" s="1092">
        <v>0</v>
      </c>
      <c r="CC28" s="835">
        <f t="shared" si="0"/>
        <v>27.658337799999998</v>
      </c>
      <c r="CD28" s="835">
        <f t="shared" si="1"/>
        <v>29.439493000000002</v>
      </c>
      <c r="CE28" s="834">
        <v>9.86</v>
      </c>
      <c r="CF28" s="1098">
        <v>0.48799999999999999</v>
      </c>
      <c r="CG28" s="836">
        <v>0</v>
      </c>
      <c r="CH28" s="1081">
        <v>0</v>
      </c>
      <c r="CI28" s="834">
        <v>0.76800000000000002</v>
      </c>
      <c r="CK28" s="834">
        <v>14.1</v>
      </c>
      <c r="CL28"/>
      <c r="CM28"/>
      <c r="CN28"/>
      <c r="CP28"/>
      <c r="CQ28" s="834">
        <v>111</v>
      </c>
      <c r="CR28" s="834">
        <v>200</v>
      </c>
      <c r="CS28" s="834"/>
      <c r="CT28" s="834"/>
      <c r="CU28" s="1098">
        <v>6.782</v>
      </c>
      <c r="CV28" s="1098">
        <v>7.5316000000000001</v>
      </c>
      <c r="CW28" s="1098">
        <v>2.6040999999999999</v>
      </c>
      <c r="CX28" s="1098">
        <v>2.5821000000000001</v>
      </c>
      <c r="CY28" s="838"/>
      <c r="CZ28" s="782">
        <v>178.9</v>
      </c>
      <c r="DA28" s="472" t="s">
        <v>367</v>
      </c>
      <c r="DB28" s="782">
        <v>1</v>
      </c>
      <c r="DC28" s="782" t="s">
        <v>363</v>
      </c>
      <c r="DD28" s="782" t="s">
        <v>363</v>
      </c>
      <c r="DE28" s="862"/>
      <c r="DF28" s="867"/>
      <c r="DG28" s="1094">
        <v>43551</v>
      </c>
      <c r="DH28" s="1095">
        <v>559</v>
      </c>
      <c r="DI28" s="1095" t="s">
        <v>971</v>
      </c>
      <c r="DJ28" s="1095">
        <v>2.3199999999999998</v>
      </c>
      <c r="DK28" s="782"/>
      <c r="DL28" s="782"/>
      <c r="DM28" s="782"/>
      <c r="DN28" s="782"/>
      <c r="DO28" s="782"/>
      <c r="DP28" s="782"/>
      <c r="DQ28" s="783"/>
      <c r="DR28" s="784"/>
      <c r="DS28" s="197"/>
      <c r="DT28" s="840">
        <v>18</v>
      </c>
      <c r="DU28" s="841">
        <v>23.42</v>
      </c>
      <c r="DV28" s="842">
        <v>21.42</v>
      </c>
      <c r="DW28" s="843">
        <v>21.24</v>
      </c>
      <c r="DX28" s="842">
        <v>19.23</v>
      </c>
      <c r="DY28" s="844">
        <v>24</v>
      </c>
      <c r="DZ28" s="845"/>
      <c r="EA28" s="846">
        <v>6</v>
      </c>
      <c r="EB28" s="846">
        <v>96</v>
      </c>
      <c r="EC28" s="846"/>
      <c r="ED28" s="843">
        <v>10</v>
      </c>
      <c r="EE28" s="843">
        <v>2</v>
      </c>
      <c r="EF28" s="846"/>
      <c r="EG28" s="847">
        <v>480</v>
      </c>
      <c r="EH28" s="848" t="s">
        <v>0</v>
      </c>
      <c r="EI28" s="849"/>
      <c r="EJ28" s="849" t="s">
        <v>0</v>
      </c>
      <c r="EK28" s="849" t="s">
        <v>0</v>
      </c>
      <c r="EL28" s="847" t="s">
        <v>0</v>
      </c>
      <c r="EM28" s="850">
        <v>672</v>
      </c>
      <c r="EN28" s="849"/>
      <c r="EO28" s="849"/>
      <c r="EP28" s="851"/>
      <c r="EQ28" s="852"/>
      <c r="ER28" s="849"/>
      <c r="ES28" s="849"/>
      <c r="ET28" s="849"/>
      <c r="EU28" s="853"/>
      <c r="EV28" s="714">
        <v>61.14</v>
      </c>
      <c r="EW28" s="854">
        <v>9.1300000000000008</v>
      </c>
      <c r="EX28" s="714">
        <v>10.84</v>
      </c>
      <c r="EY28" s="854">
        <v>1.34</v>
      </c>
      <c r="EZ28" s="854">
        <v>2.92</v>
      </c>
      <c r="FA28" s="854">
        <v>0.76</v>
      </c>
      <c r="FB28" s="854">
        <v>0</v>
      </c>
      <c r="FC28" s="854">
        <v>2.92</v>
      </c>
      <c r="FD28" s="854">
        <v>30.07</v>
      </c>
      <c r="FE28" s="854">
        <v>0.14000000000000001</v>
      </c>
      <c r="FF28" s="854">
        <v>0.12</v>
      </c>
      <c r="FG28" s="854"/>
      <c r="FH28" s="854">
        <v>4.82</v>
      </c>
      <c r="FI28" s="855"/>
    </row>
    <row r="29" spans="3:165" ht="15" customHeight="1" thickBot="1" x14ac:dyDescent="0.6">
      <c r="F29" s="680" t="s">
        <v>869</v>
      </c>
      <c r="H29" s="860"/>
      <c r="I29" s="839"/>
      <c r="S29">
        <v>23</v>
      </c>
      <c r="T29" s="765">
        <v>21.74</v>
      </c>
      <c r="U29" s="765">
        <v>26.15</v>
      </c>
      <c r="V29" s="766">
        <v>12.27</v>
      </c>
      <c r="W29">
        <v>12.41</v>
      </c>
      <c r="X29" s="766">
        <v>14.5</v>
      </c>
      <c r="Y29">
        <v>0.7</v>
      </c>
      <c r="Z29">
        <v>0.4</v>
      </c>
      <c r="AA29">
        <v>1.75</v>
      </c>
      <c r="AB29">
        <v>1.6</v>
      </c>
      <c r="AC29">
        <v>3.04</v>
      </c>
      <c r="AD29">
        <v>2.76</v>
      </c>
      <c r="AG29">
        <v>7.23</v>
      </c>
      <c r="AH29">
        <v>7.03</v>
      </c>
      <c r="AI29">
        <v>6.36</v>
      </c>
      <c r="AJ29">
        <v>6.21</v>
      </c>
      <c r="AK29">
        <v>6.4</v>
      </c>
      <c r="AL29">
        <v>6.26</v>
      </c>
      <c r="AM29">
        <v>7.07</v>
      </c>
      <c r="AN29">
        <v>7.46</v>
      </c>
      <c r="AO29">
        <v>7.69</v>
      </c>
      <c r="AP29">
        <v>7.51</v>
      </c>
      <c r="AQ29">
        <v>7.83</v>
      </c>
      <c r="AR29">
        <v>7.6</v>
      </c>
      <c r="AS29">
        <v>7.71</v>
      </c>
      <c r="AV29" s="765">
        <f>('User Data'!T29/1440)/('1940 - Plant Op.'!J38*704)*1000000</f>
        <v>2.1444917929292928</v>
      </c>
      <c r="AW29" s="765"/>
      <c r="AX29">
        <v>0</v>
      </c>
      <c r="AY29">
        <v>0</v>
      </c>
      <c r="AZ29">
        <v>0</v>
      </c>
      <c r="BA29">
        <v>0</v>
      </c>
      <c r="BB29">
        <v>0</v>
      </c>
      <c r="BC29">
        <v>42</v>
      </c>
      <c r="BD29">
        <v>96</v>
      </c>
      <c r="BE29">
        <v>77.5</v>
      </c>
      <c r="BF29">
        <v>96</v>
      </c>
      <c r="BG29">
        <v>58</v>
      </c>
      <c r="BH29">
        <v>29</v>
      </c>
      <c r="BI29">
        <v>52</v>
      </c>
      <c r="BJ29">
        <v>96</v>
      </c>
      <c r="BK29">
        <v>0</v>
      </c>
      <c r="BL29">
        <v>94</v>
      </c>
      <c r="BM29">
        <v>70</v>
      </c>
      <c r="BP29" s="866"/>
      <c r="BQ29" s="857">
        <v>19</v>
      </c>
      <c r="BR29" s="829">
        <v>11.5</v>
      </c>
      <c r="BS29" s="830">
        <v>0.68</v>
      </c>
      <c r="BT29" s="831">
        <v>22</v>
      </c>
      <c r="BU29" s="832">
        <v>1.01</v>
      </c>
      <c r="BV29" s="832">
        <v>2.42</v>
      </c>
      <c r="BW29" s="832">
        <v>1.18</v>
      </c>
      <c r="BX29" s="832">
        <v>28</v>
      </c>
      <c r="BY29" s="832">
        <v>14.6</v>
      </c>
      <c r="BZ29" s="832">
        <v>28.8</v>
      </c>
      <c r="CA29" s="1092">
        <v>70</v>
      </c>
      <c r="CB29" s="1092">
        <v>0</v>
      </c>
      <c r="CC29" s="835">
        <f t="shared" si="0"/>
        <v>28.478438500000003</v>
      </c>
      <c r="CD29" s="835">
        <f t="shared" si="1"/>
        <v>28.777377200000004</v>
      </c>
      <c r="CE29" s="834">
        <v>8.7799999999999994</v>
      </c>
      <c r="CF29" s="1098">
        <v>0.52580000000000005</v>
      </c>
      <c r="CG29" s="836">
        <v>0</v>
      </c>
      <c r="CH29" s="1081">
        <v>0</v>
      </c>
      <c r="CI29" s="834">
        <v>0.74299999999999999</v>
      </c>
      <c r="CK29"/>
      <c r="CL29"/>
      <c r="CM29" s="834">
        <v>0</v>
      </c>
      <c r="CN29" s="834">
        <v>0.24299999999999999</v>
      </c>
      <c r="CO29" s="1083">
        <v>0.63341999999999998</v>
      </c>
      <c r="CP29"/>
      <c r="CQ29" s="834">
        <v>115</v>
      </c>
      <c r="CR29" s="834">
        <v>194</v>
      </c>
      <c r="CS29" s="834"/>
      <c r="CT29" s="834"/>
      <c r="CU29" s="1098">
        <v>7.0791000000000004</v>
      </c>
      <c r="CV29" s="1098">
        <v>7.3578000000000001</v>
      </c>
      <c r="CW29" s="1098">
        <v>2.6231</v>
      </c>
      <c r="CX29" s="1098">
        <v>2.5266999999999999</v>
      </c>
      <c r="CY29" s="838"/>
      <c r="CZ29" s="782">
        <v>151.5</v>
      </c>
      <c r="DA29" s="472" t="s">
        <v>367</v>
      </c>
      <c r="DB29" s="782">
        <v>1</v>
      </c>
      <c r="DC29" s="782" t="s">
        <v>363</v>
      </c>
      <c r="DD29" s="782" t="s">
        <v>363</v>
      </c>
      <c r="DE29" s="862"/>
      <c r="DF29" s="867"/>
      <c r="DG29" s="1094">
        <v>43551</v>
      </c>
      <c r="DH29" s="1095">
        <v>514</v>
      </c>
      <c r="DI29" s="1095" t="s">
        <v>979</v>
      </c>
      <c r="DJ29" s="1095">
        <v>1.26</v>
      </c>
      <c r="DK29" s="782"/>
      <c r="DL29" s="782"/>
      <c r="DM29" s="782"/>
      <c r="DN29" s="782"/>
      <c r="DO29" s="782"/>
      <c r="DP29" s="782"/>
      <c r="DQ29" s="783"/>
      <c r="DR29" s="784"/>
      <c r="DS29" s="197"/>
      <c r="DT29" s="840">
        <v>19</v>
      </c>
      <c r="DU29" s="841">
        <v>22.33</v>
      </c>
      <c r="DV29" s="842">
        <v>19.41</v>
      </c>
      <c r="DW29" s="843">
        <v>19.07</v>
      </c>
      <c r="DX29" s="842">
        <v>16.88</v>
      </c>
      <c r="DY29" s="844">
        <v>24</v>
      </c>
      <c r="DZ29" s="845"/>
      <c r="EA29" s="846">
        <v>6</v>
      </c>
      <c r="EB29" s="846">
        <v>96</v>
      </c>
      <c r="EC29" s="846"/>
      <c r="ED29" s="843">
        <v>10</v>
      </c>
      <c r="EE29" s="843">
        <v>3</v>
      </c>
      <c r="EF29" s="846"/>
      <c r="EG29" s="847">
        <v>750</v>
      </c>
      <c r="EH29" s="848" t="s">
        <v>0</v>
      </c>
      <c r="EI29" s="849"/>
      <c r="EJ29" s="849" t="s">
        <v>0</v>
      </c>
      <c r="EK29" s="849" t="s">
        <v>0</v>
      </c>
      <c r="EL29" s="847" t="s">
        <v>0</v>
      </c>
      <c r="EM29" s="850">
        <v>716</v>
      </c>
      <c r="EN29" s="849"/>
      <c r="EO29" s="849"/>
      <c r="EP29" s="851"/>
      <c r="EQ29" s="852"/>
      <c r="ER29" s="849"/>
      <c r="ES29" s="849"/>
      <c r="ET29" s="849"/>
      <c r="EU29" s="853"/>
      <c r="EV29" s="714">
        <v>63.8</v>
      </c>
      <c r="EW29" s="854">
        <v>9.25</v>
      </c>
      <c r="EX29" s="714">
        <v>12.34</v>
      </c>
      <c r="EY29" s="854">
        <v>1.19</v>
      </c>
      <c r="EZ29" s="854">
        <v>2.5099999999999998</v>
      </c>
      <c r="FA29" s="854">
        <v>0.78</v>
      </c>
      <c r="FB29" s="854">
        <v>0</v>
      </c>
      <c r="FC29" s="854">
        <v>2.89</v>
      </c>
      <c r="FD29" s="854">
        <v>30.02</v>
      </c>
      <c r="FE29" s="854">
        <v>0.14000000000000001</v>
      </c>
      <c r="FF29" s="854">
        <v>0.11</v>
      </c>
      <c r="FG29" s="854"/>
      <c r="FH29" s="854">
        <v>5.01</v>
      </c>
      <c r="FI29" s="855"/>
    </row>
    <row r="30" spans="3:165" ht="15" customHeight="1" thickBot="1" x14ac:dyDescent="0.6">
      <c r="F30" s="839"/>
      <c r="H30" s="860"/>
      <c r="I30" s="839"/>
      <c r="S30">
        <v>24</v>
      </c>
      <c r="T30" s="765">
        <v>22.38</v>
      </c>
      <c r="U30" s="765">
        <v>25.92</v>
      </c>
      <c r="V30" s="766">
        <v>12.29</v>
      </c>
      <c r="W30">
        <v>12.46</v>
      </c>
      <c r="X30" s="766">
        <v>14.94</v>
      </c>
      <c r="Y30">
        <v>0.6</v>
      </c>
      <c r="Z30">
        <v>0.3</v>
      </c>
      <c r="AA30">
        <v>1.5</v>
      </c>
      <c r="AB30">
        <v>1.6</v>
      </c>
      <c r="AC30">
        <v>2.94</v>
      </c>
      <c r="AD30">
        <v>2.64</v>
      </c>
      <c r="AG30">
        <v>7.44</v>
      </c>
      <c r="AH30">
        <v>7.16</v>
      </c>
      <c r="AI30">
        <v>6.51</v>
      </c>
      <c r="AJ30">
        <v>6.26</v>
      </c>
      <c r="AK30">
        <v>6.51</v>
      </c>
      <c r="AL30">
        <v>6.28</v>
      </c>
      <c r="AM30">
        <v>7.8</v>
      </c>
      <c r="AN30">
        <v>7.58</v>
      </c>
      <c r="AO30">
        <v>7.86</v>
      </c>
      <c r="AP30">
        <v>7.63</v>
      </c>
      <c r="AQ30">
        <v>8.0500000000000007</v>
      </c>
      <c r="AR30">
        <v>7.73</v>
      </c>
      <c r="AS30">
        <v>7.85</v>
      </c>
      <c r="AT30" s="335" t="s">
        <v>0</v>
      </c>
      <c r="AV30" s="765">
        <f>('User Data'!T30/1440)/('1940 - Plant Op.'!J39*704)*1000000</f>
        <v>2.207623106060606</v>
      </c>
      <c r="AW30" s="765"/>
      <c r="AX30">
        <v>0</v>
      </c>
      <c r="AY30">
        <v>0</v>
      </c>
      <c r="AZ30">
        <v>0</v>
      </c>
      <c r="BA30">
        <v>0</v>
      </c>
      <c r="BB30">
        <v>0</v>
      </c>
      <c r="BC30">
        <v>66</v>
      </c>
      <c r="BD30">
        <v>46</v>
      </c>
      <c r="BE30">
        <v>96.5</v>
      </c>
      <c r="BF30">
        <v>30</v>
      </c>
      <c r="BG30">
        <v>82</v>
      </c>
      <c r="BH30">
        <v>53</v>
      </c>
      <c r="BI30">
        <v>76</v>
      </c>
      <c r="BJ30">
        <v>35</v>
      </c>
      <c r="BK30">
        <v>0</v>
      </c>
      <c r="BL30">
        <v>96</v>
      </c>
      <c r="BM30">
        <v>94</v>
      </c>
      <c r="BP30" s="866"/>
      <c r="BQ30" s="857">
        <v>20</v>
      </c>
      <c r="BR30" s="829">
        <v>12.9</v>
      </c>
      <c r="BS30" s="830">
        <v>0.73</v>
      </c>
      <c r="BT30" s="831">
        <v>24</v>
      </c>
      <c r="BU30" s="832">
        <v>0.89</v>
      </c>
      <c r="BV30" s="832">
        <v>1.1299999999999999</v>
      </c>
      <c r="BW30" s="832">
        <v>1.04</v>
      </c>
      <c r="BX30" s="832">
        <v>26.5</v>
      </c>
      <c r="BY30" s="832">
        <v>14</v>
      </c>
      <c r="BZ30" s="832">
        <v>28.2</v>
      </c>
      <c r="CA30" s="1092">
        <v>85</v>
      </c>
      <c r="CB30" s="1092">
        <v>0</v>
      </c>
      <c r="CC30" s="835">
        <f t="shared" si="0"/>
        <v>27.551040800000003</v>
      </c>
      <c r="CD30" s="835">
        <f t="shared" si="1"/>
        <v>29.662941799999999</v>
      </c>
      <c r="CE30" s="834">
        <v>8.83</v>
      </c>
      <c r="CF30" s="1098">
        <v>0.60880000000000001</v>
      </c>
      <c r="CG30" s="836">
        <v>0</v>
      </c>
      <c r="CH30" s="1081">
        <v>0</v>
      </c>
      <c r="CI30" s="834">
        <v>0.749</v>
      </c>
      <c r="CK30"/>
      <c r="CL30" s="834">
        <v>0</v>
      </c>
      <c r="CM30"/>
      <c r="CN30"/>
      <c r="CP30" s="782">
        <v>0</v>
      </c>
      <c r="CQ30" s="834">
        <v>111</v>
      </c>
      <c r="CR30" s="834">
        <v>197</v>
      </c>
      <c r="CS30" s="834"/>
      <c r="CT30" s="834"/>
      <c r="CU30" s="1098">
        <v>6.899</v>
      </c>
      <c r="CV30" s="1098">
        <v>7.6449999999999996</v>
      </c>
      <c r="CW30" s="1098">
        <v>2.5070999999999999</v>
      </c>
      <c r="CX30" s="1098">
        <v>2.5676000000000001</v>
      </c>
      <c r="CY30" s="838"/>
      <c r="CZ30" s="782">
        <v>95.9</v>
      </c>
      <c r="DA30" s="472" t="s">
        <v>367</v>
      </c>
      <c r="DB30" s="782">
        <v>1</v>
      </c>
      <c r="DC30" s="782" t="s">
        <v>363</v>
      </c>
      <c r="DD30" s="782" t="s">
        <v>363</v>
      </c>
      <c r="DE30" s="862"/>
      <c r="DF30" s="867"/>
      <c r="DG30" s="1094">
        <v>43551</v>
      </c>
      <c r="DH30" s="1095">
        <v>532</v>
      </c>
      <c r="DI30" s="1095" t="s">
        <v>976</v>
      </c>
      <c r="DJ30" s="1095">
        <v>1.56</v>
      </c>
      <c r="DK30" s="782"/>
      <c r="DL30" s="782"/>
      <c r="DM30" s="782"/>
      <c r="DN30" s="782"/>
      <c r="DO30" s="782"/>
      <c r="DP30" s="782"/>
      <c r="DQ30" s="783"/>
      <c r="DR30" s="784"/>
      <c r="DS30" s="197"/>
      <c r="DT30" s="840">
        <v>20</v>
      </c>
      <c r="DU30" s="841">
        <v>23.44</v>
      </c>
      <c r="DV30" s="842">
        <v>20.88</v>
      </c>
      <c r="DW30" s="843">
        <v>20.85</v>
      </c>
      <c r="DX30" s="842">
        <v>18.63</v>
      </c>
      <c r="DY30" s="844">
        <v>24</v>
      </c>
      <c r="DZ30" s="845"/>
      <c r="EA30" s="846">
        <v>5.5</v>
      </c>
      <c r="EB30" s="846">
        <v>96</v>
      </c>
      <c r="EC30" s="846"/>
      <c r="ED30" s="843">
        <v>10</v>
      </c>
      <c r="EE30" s="843">
        <v>2</v>
      </c>
      <c r="EF30" s="846"/>
      <c r="EG30" s="847">
        <v>490</v>
      </c>
      <c r="EH30" s="848" t="s">
        <v>0</v>
      </c>
      <c r="EI30" s="849"/>
      <c r="EJ30" s="849" t="s">
        <v>0</v>
      </c>
      <c r="EK30" s="849" t="s">
        <v>0</v>
      </c>
      <c r="EL30" s="847" t="s">
        <v>0</v>
      </c>
      <c r="EM30" s="850">
        <v>659</v>
      </c>
      <c r="EN30" s="849"/>
      <c r="EO30" s="849"/>
      <c r="EP30" s="851"/>
      <c r="EQ30" s="852"/>
      <c r="ER30" s="849"/>
      <c r="ES30" s="849"/>
      <c r="ET30" s="849"/>
      <c r="EU30" s="853"/>
      <c r="EV30" s="714">
        <v>62.03</v>
      </c>
      <c r="EW30" s="854">
        <v>9.1199999999999992</v>
      </c>
      <c r="EX30" s="714">
        <v>11.62</v>
      </c>
      <c r="EY30" s="854">
        <v>1.1299999999999999</v>
      </c>
      <c r="EZ30" s="854">
        <v>2.34</v>
      </c>
      <c r="FA30" s="854">
        <v>0.8</v>
      </c>
      <c r="FB30" s="854">
        <v>0</v>
      </c>
      <c r="FC30" s="854">
        <v>2.76</v>
      </c>
      <c r="FD30" s="854">
        <v>30.22</v>
      </c>
      <c r="FE30" s="854">
        <v>0.13</v>
      </c>
      <c r="FF30" s="854">
        <v>0.12</v>
      </c>
      <c r="FG30" s="854"/>
      <c r="FH30" s="854">
        <v>4.96</v>
      </c>
      <c r="FI30" s="855"/>
    </row>
    <row r="31" spans="3:165" ht="15" customHeight="1" thickBot="1" x14ac:dyDescent="0.6">
      <c r="F31" s="839" t="s">
        <v>870</v>
      </c>
      <c r="G31" s="856" t="s">
        <v>871</v>
      </c>
      <c r="J31" s="839" t="s">
        <v>872</v>
      </c>
      <c r="K31" s="856" t="s">
        <v>873</v>
      </c>
      <c r="S31">
        <v>25</v>
      </c>
      <c r="T31" s="765">
        <v>21.7</v>
      </c>
      <c r="U31" s="765">
        <v>24.2</v>
      </c>
      <c r="V31" s="766">
        <v>12.27</v>
      </c>
      <c r="W31">
        <v>12.6</v>
      </c>
      <c r="X31" s="766">
        <v>15.39</v>
      </c>
      <c r="Y31">
        <v>0.4</v>
      </c>
      <c r="Z31">
        <v>0.35</v>
      </c>
      <c r="AA31">
        <v>1.8</v>
      </c>
      <c r="AB31">
        <v>1.6</v>
      </c>
      <c r="AC31">
        <v>3.04</v>
      </c>
      <c r="AD31">
        <v>2.78</v>
      </c>
      <c r="AG31">
        <v>7.22</v>
      </c>
      <c r="AH31">
        <v>7</v>
      </c>
      <c r="AI31">
        <v>6.39</v>
      </c>
      <c r="AJ31">
        <v>6.17</v>
      </c>
      <c r="AK31">
        <v>6.31</v>
      </c>
      <c r="AL31">
        <v>6.21</v>
      </c>
      <c r="AM31">
        <v>7.62</v>
      </c>
      <c r="AN31">
        <v>7.34</v>
      </c>
      <c r="AO31">
        <v>7.55</v>
      </c>
      <c r="AP31">
        <v>7.42</v>
      </c>
      <c r="AQ31">
        <v>7.73</v>
      </c>
      <c r="AR31">
        <v>7.54</v>
      </c>
      <c r="AS31">
        <v>7.6</v>
      </c>
      <c r="AV31" s="765">
        <f>('User Data'!T31/1440)/('1940 - Plant Op.'!J40*704)*1000000</f>
        <v>2.1405460858585861</v>
      </c>
      <c r="AW31" s="765"/>
      <c r="AX31">
        <v>0</v>
      </c>
      <c r="AY31">
        <v>0</v>
      </c>
      <c r="AZ31">
        <v>0</v>
      </c>
      <c r="BA31">
        <v>0</v>
      </c>
      <c r="BB31">
        <v>0</v>
      </c>
      <c r="BC31">
        <v>90</v>
      </c>
      <c r="BD31">
        <v>70</v>
      </c>
      <c r="BE31">
        <v>29</v>
      </c>
      <c r="BF31">
        <v>54</v>
      </c>
      <c r="BG31">
        <v>95</v>
      </c>
      <c r="BH31">
        <v>77</v>
      </c>
      <c r="BI31">
        <v>94</v>
      </c>
      <c r="BJ31">
        <v>59</v>
      </c>
      <c r="BK31">
        <v>0</v>
      </c>
      <c r="BL31">
        <v>46</v>
      </c>
      <c r="BM31">
        <v>96</v>
      </c>
      <c r="BP31" s="866"/>
      <c r="BQ31" s="857">
        <v>21</v>
      </c>
      <c r="BR31" s="829">
        <v>19.7</v>
      </c>
      <c r="BS31" s="830">
        <v>0.43</v>
      </c>
      <c r="BT31" s="831">
        <v>24</v>
      </c>
      <c r="BU31" s="832">
        <v>0.97</v>
      </c>
      <c r="BV31" s="832">
        <v>2</v>
      </c>
      <c r="BW31" s="832">
        <v>1.01</v>
      </c>
      <c r="BX31" s="832">
        <v>25.9</v>
      </c>
      <c r="BY31" s="832">
        <v>15.5</v>
      </c>
      <c r="BZ31" s="832">
        <v>31</v>
      </c>
      <c r="CA31" s="1092">
        <v>80</v>
      </c>
      <c r="CB31" s="1092">
        <v>0</v>
      </c>
      <c r="CC31" s="835">
        <f t="shared" si="0"/>
        <v>28.386455499999997</v>
      </c>
      <c r="CD31" s="835">
        <f t="shared" si="1"/>
        <v>28.680217599999999</v>
      </c>
      <c r="CE31" s="834">
        <v>8.4499999999999993</v>
      </c>
      <c r="CF31" s="1098">
        <v>0.68279999999999996</v>
      </c>
      <c r="CG31" s="836">
        <v>0</v>
      </c>
      <c r="CH31" s="1081">
        <v>0</v>
      </c>
      <c r="CI31" s="834">
        <v>0.69499999999999995</v>
      </c>
      <c r="CK31"/>
      <c r="CL31" s="834">
        <v>0</v>
      </c>
      <c r="CM31"/>
      <c r="CN31"/>
      <c r="CO31" s="1083"/>
      <c r="CP31" s="782">
        <v>0</v>
      </c>
      <c r="CQ31" s="834">
        <v>113</v>
      </c>
      <c r="CR31" s="834">
        <v>199</v>
      </c>
      <c r="CS31" s="834"/>
      <c r="CT31" s="834"/>
      <c r="CU31" s="1098">
        <v>7.0072999999999999</v>
      </c>
      <c r="CV31" s="1098">
        <v>7.2675999999999998</v>
      </c>
      <c r="CW31" s="1098">
        <v>2.6442999999999999</v>
      </c>
      <c r="CX31" s="1098">
        <v>2.5577999999999999</v>
      </c>
      <c r="CY31" s="838"/>
      <c r="CZ31" s="782">
        <v>185</v>
      </c>
      <c r="DB31" s="782">
        <v>1</v>
      </c>
      <c r="DC31" s="782" t="s">
        <v>363</v>
      </c>
      <c r="DD31" s="782" t="s">
        <v>363</v>
      </c>
      <c r="DE31" s="862"/>
      <c r="DF31" s="867"/>
      <c r="DK31" s="782"/>
      <c r="DL31" s="782"/>
      <c r="DM31" s="782"/>
      <c r="DN31" s="782"/>
      <c r="DO31" s="782"/>
      <c r="DP31" s="782"/>
      <c r="DQ31" s="783"/>
      <c r="DR31" s="784"/>
      <c r="DS31" s="197"/>
      <c r="DT31" s="840">
        <v>21</v>
      </c>
      <c r="DU31" s="841">
        <v>22.14</v>
      </c>
      <c r="DV31" s="842">
        <v>19.149999999999999</v>
      </c>
      <c r="DW31" s="843">
        <v>19</v>
      </c>
      <c r="DX31" s="842">
        <v>16.87</v>
      </c>
      <c r="DY31" s="844">
        <v>24</v>
      </c>
      <c r="DZ31" s="845"/>
      <c r="EA31" s="846">
        <v>4</v>
      </c>
      <c r="EB31" s="846">
        <v>98</v>
      </c>
      <c r="EC31" s="846"/>
      <c r="ED31" s="843">
        <v>10</v>
      </c>
      <c r="EE31" s="843">
        <v>3</v>
      </c>
      <c r="EF31" s="846"/>
      <c r="EG31" s="847">
        <v>730</v>
      </c>
      <c r="EH31" s="848" t="s">
        <v>0</v>
      </c>
      <c r="EI31" s="849"/>
      <c r="EJ31" s="849" t="s">
        <v>0</v>
      </c>
      <c r="EK31" s="849" t="s">
        <v>0</v>
      </c>
      <c r="EL31" s="847" t="s">
        <v>0</v>
      </c>
      <c r="EM31" s="850">
        <v>550</v>
      </c>
      <c r="EN31" s="849"/>
      <c r="EO31" s="849"/>
      <c r="EP31" s="851"/>
      <c r="EQ31" s="852"/>
      <c r="ER31" s="849"/>
      <c r="ES31" s="849"/>
      <c r="ET31" s="849"/>
      <c r="EU31" s="853"/>
      <c r="EV31" s="714">
        <v>62.25</v>
      </c>
      <c r="EW31" s="854">
        <v>8.81</v>
      </c>
      <c r="EX31" s="714">
        <v>13.38</v>
      </c>
      <c r="EY31" s="854">
        <v>1.1100000000000001</v>
      </c>
      <c r="EZ31" s="854">
        <v>2.37</v>
      </c>
      <c r="FA31" s="854">
        <v>0.79</v>
      </c>
      <c r="FB31" s="854">
        <v>0</v>
      </c>
      <c r="FC31" s="854">
        <v>2.72</v>
      </c>
      <c r="FD31" s="854">
        <v>30.11</v>
      </c>
      <c r="FE31" s="854">
        <v>0.14000000000000001</v>
      </c>
      <c r="FF31" s="854">
        <v>0.12</v>
      </c>
      <c r="FG31" s="854"/>
      <c r="FH31" s="854">
        <v>5.01</v>
      </c>
      <c r="FI31" s="855"/>
    </row>
    <row r="32" spans="3:165" ht="15" customHeight="1" thickBot="1" x14ac:dyDescent="0.6">
      <c r="F32" s="472" t="s">
        <v>271</v>
      </c>
      <c r="G32" s="335" t="s">
        <v>874</v>
      </c>
      <c r="H32" s="839"/>
      <c r="I32" s="860"/>
      <c r="S32">
        <v>26</v>
      </c>
      <c r="T32" s="765">
        <v>22.05</v>
      </c>
      <c r="U32" s="765">
        <v>28.82</v>
      </c>
      <c r="V32" s="766">
        <v>13.54</v>
      </c>
      <c r="W32">
        <v>13.92</v>
      </c>
      <c r="X32" s="766">
        <v>15.7</v>
      </c>
      <c r="Y32">
        <v>0.6</v>
      </c>
      <c r="Z32">
        <v>0.2</v>
      </c>
      <c r="AA32">
        <v>1.75</v>
      </c>
      <c r="AB32">
        <v>1.2</v>
      </c>
      <c r="AC32">
        <v>2.93</v>
      </c>
      <c r="AD32">
        <v>2.65</v>
      </c>
      <c r="AG32">
        <v>7.23</v>
      </c>
      <c r="AH32">
        <v>6.97</v>
      </c>
      <c r="AI32">
        <v>6.37</v>
      </c>
      <c r="AJ32">
        <v>6.24</v>
      </c>
      <c r="AK32">
        <v>6.4</v>
      </c>
      <c r="AL32">
        <v>6.24</v>
      </c>
      <c r="AM32">
        <v>7.76</v>
      </c>
      <c r="AN32">
        <v>7.27</v>
      </c>
      <c r="AO32">
        <v>7.95</v>
      </c>
      <c r="AP32">
        <v>7.56</v>
      </c>
      <c r="AQ32">
        <v>8</v>
      </c>
      <c r="AR32">
        <v>7.54</v>
      </c>
      <c r="AS32">
        <v>7.78</v>
      </c>
      <c r="AV32" s="765">
        <f>('User Data'!T32/1440)/('1940 - Plant Op.'!J41*704)*1000000</f>
        <v>2.1750710227272725</v>
      </c>
      <c r="AW32" s="765"/>
      <c r="AX32">
        <v>0</v>
      </c>
      <c r="AY32">
        <v>0</v>
      </c>
      <c r="AZ32">
        <v>0</v>
      </c>
      <c r="BA32">
        <v>0</v>
      </c>
      <c r="BB32">
        <v>0</v>
      </c>
      <c r="BC32">
        <v>92</v>
      </c>
      <c r="BD32">
        <v>91</v>
      </c>
      <c r="BE32">
        <v>53</v>
      </c>
      <c r="BF32">
        <v>78</v>
      </c>
      <c r="BG32">
        <v>35</v>
      </c>
      <c r="BH32">
        <v>92</v>
      </c>
      <c r="BI32">
        <v>30</v>
      </c>
      <c r="BJ32">
        <v>83</v>
      </c>
      <c r="BK32">
        <v>0</v>
      </c>
      <c r="BL32">
        <v>70</v>
      </c>
      <c r="BM32">
        <v>46</v>
      </c>
      <c r="BP32" s="866"/>
      <c r="BQ32" s="857">
        <v>22</v>
      </c>
      <c r="BR32" s="829">
        <v>12.7</v>
      </c>
      <c r="BS32" s="830">
        <v>0.85</v>
      </c>
      <c r="BT32" s="831">
        <v>24</v>
      </c>
      <c r="BU32" s="832">
        <v>1.04</v>
      </c>
      <c r="BV32" s="832">
        <v>1.89</v>
      </c>
      <c r="BW32" s="832">
        <v>1.05</v>
      </c>
      <c r="BX32" s="832">
        <v>25.6</v>
      </c>
      <c r="BY32" s="832">
        <v>15.2</v>
      </c>
      <c r="BZ32" s="832">
        <v>25.7</v>
      </c>
      <c r="CA32" s="1092">
        <v>70</v>
      </c>
      <c r="CB32" s="1092">
        <v>0</v>
      </c>
      <c r="CC32" s="835">
        <f t="shared" si="0"/>
        <v>27.915818600000001</v>
      </c>
      <c r="CD32" s="835">
        <f t="shared" si="1"/>
        <v>30.058959400000003</v>
      </c>
      <c r="CE32" s="834">
        <v>8.81</v>
      </c>
      <c r="CF32" s="1098">
        <v>0.56530000000000002</v>
      </c>
      <c r="CG32" s="836">
        <v>0</v>
      </c>
      <c r="CH32" s="1081">
        <v>0</v>
      </c>
      <c r="CI32" s="834">
        <v>0.746</v>
      </c>
      <c r="CK32"/>
      <c r="CL32"/>
      <c r="CM32"/>
      <c r="CN32"/>
      <c r="CP32"/>
      <c r="CQ32" s="834">
        <v>110</v>
      </c>
      <c r="CR32" s="834">
        <v>198</v>
      </c>
      <c r="CS32" s="834"/>
      <c r="CT32" s="834"/>
      <c r="CU32" s="1098">
        <v>6.8772000000000002</v>
      </c>
      <c r="CV32" s="1098">
        <v>7.7782</v>
      </c>
      <c r="CW32" s="1098">
        <v>2.6089000000000002</v>
      </c>
      <c r="CX32" s="1098">
        <v>2.5830000000000002</v>
      </c>
      <c r="CY32" s="838"/>
      <c r="CZ32" s="782">
        <v>60.2</v>
      </c>
      <c r="DA32" s="472" t="s">
        <v>367</v>
      </c>
      <c r="DB32" s="782">
        <v>1</v>
      </c>
      <c r="DC32" s="782" t="s">
        <v>363</v>
      </c>
      <c r="DD32" s="782" t="s">
        <v>363</v>
      </c>
      <c r="DE32" s="862"/>
      <c r="DF32" s="867"/>
      <c r="DG32" s="780"/>
      <c r="DH32" s="781"/>
      <c r="DI32" s="781"/>
      <c r="DJ32" s="781"/>
      <c r="DK32" s="782"/>
      <c r="DL32" s="782"/>
      <c r="DM32" s="782"/>
      <c r="DN32" s="782"/>
      <c r="DO32" s="782"/>
      <c r="DP32" s="783"/>
      <c r="DQ32" s="885"/>
      <c r="DR32" s="886"/>
      <c r="DS32" s="197"/>
      <c r="DT32" s="840">
        <v>22</v>
      </c>
      <c r="DU32" s="841">
        <v>22.79</v>
      </c>
      <c r="DV32" s="842">
        <v>20.04</v>
      </c>
      <c r="DW32" s="843">
        <v>19.88</v>
      </c>
      <c r="DX32" s="842">
        <v>18.239999999999998</v>
      </c>
      <c r="DY32" s="844">
        <v>24</v>
      </c>
      <c r="DZ32" s="845"/>
      <c r="EA32" s="846">
        <v>5</v>
      </c>
      <c r="EB32" s="846">
        <v>97</v>
      </c>
      <c r="EC32" s="846"/>
      <c r="ED32" s="843">
        <v>10</v>
      </c>
      <c r="EE32" s="843">
        <v>2</v>
      </c>
      <c r="EF32" s="846"/>
      <c r="EG32" s="847">
        <v>480</v>
      </c>
      <c r="EH32" s="848" t="s">
        <v>0</v>
      </c>
      <c r="EI32" s="849"/>
      <c r="EJ32" s="849" t="s">
        <v>0</v>
      </c>
      <c r="EK32" s="849" t="s">
        <v>0</v>
      </c>
      <c r="EL32" s="847" t="s">
        <v>0</v>
      </c>
      <c r="EM32" s="850">
        <v>634</v>
      </c>
      <c r="EN32" s="849"/>
      <c r="EO32" s="849"/>
      <c r="EP32" s="851"/>
      <c r="EQ32" s="852"/>
      <c r="ER32" s="849"/>
      <c r="ES32" s="849"/>
      <c r="ET32" s="849"/>
      <c r="EU32" s="853"/>
      <c r="EV32" s="714">
        <v>62.02</v>
      </c>
      <c r="EW32" s="854">
        <v>9.14</v>
      </c>
      <c r="EX32" s="714">
        <v>11.88</v>
      </c>
      <c r="EY32" s="854">
        <v>1.1000000000000001</v>
      </c>
      <c r="EZ32" s="854">
        <v>2.68</v>
      </c>
      <c r="FA32" s="854">
        <v>0.79</v>
      </c>
      <c r="FB32" s="854">
        <v>0</v>
      </c>
      <c r="FC32" s="854">
        <v>2.82</v>
      </c>
      <c r="FD32" s="854">
        <v>30.07</v>
      </c>
      <c r="FE32" s="854">
        <v>0.14000000000000001</v>
      </c>
      <c r="FF32" s="854">
        <v>0.12</v>
      </c>
      <c r="FG32" s="854"/>
      <c r="FH32" s="854">
        <v>5.01</v>
      </c>
      <c r="FI32" s="855"/>
    </row>
    <row r="33" spans="1:165" ht="15" customHeight="1" thickBot="1" x14ac:dyDescent="0.6">
      <c r="H33" s="335"/>
      <c r="I33" s="335"/>
      <c r="J33" s="335"/>
      <c r="S33">
        <v>27</v>
      </c>
      <c r="T33" s="765">
        <v>23.72</v>
      </c>
      <c r="U33" s="765">
        <v>26.17</v>
      </c>
      <c r="V33" s="766">
        <v>12.75</v>
      </c>
      <c r="W33">
        <v>12.41</v>
      </c>
      <c r="X33" s="766">
        <v>15.7</v>
      </c>
      <c r="Y33">
        <v>0.6</v>
      </c>
      <c r="Z33">
        <v>0.3</v>
      </c>
      <c r="AA33">
        <v>1.8</v>
      </c>
      <c r="AB33">
        <v>1.3</v>
      </c>
      <c r="AC33">
        <v>3.03</v>
      </c>
      <c r="AD33">
        <v>2.7</v>
      </c>
      <c r="AG33">
        <v>7.28</v>
      </c>
      <c r="AH33">
        <v>7.04</v>
      </c>
      <c r="AI33">
        <v>6.43</v>
      </c>
      <c r="AJ33">
        <v>6.29</v>
      </c>
      <c r="AK33">
        <v>6.49</v>
      </c>
      <c r="AL33">
        <v>6.31</v>
      </c>
      <c r="AM33">
        <v>7.84</v>
      </c>
      <c r="AN33">
        <v>7.47</v>
      </c>
      <c r="AO33">
        <v>8.02</v>
      </c>
      <c r="AP33">
        <v>7.62</v>
      </c>
      <c r="AQ33">
        <v>8.09</v>
      </c>
      <c r="AR33">
        <v>7.78</v>
      </c>
      <c r="AS33">
        <v>7.96</v>
      </c>
      <c r="AT33" t="s">
        <v>0</v>
      </c>
      <c r="AV33" s="765">
        <f>('User Data'!T33/1440)/('1940 - Plant Op.'!J42*704)*1000000</f>
        <v>2.3398042929292928</v>
      </c>
      <c r="AW33" s="765"/>
      <c r="AX33">
        <v>0</v>
      </c>
      <c r="AY33">
        <v>0</v>
      </c>
      <c r="AZ33">
        <v>0</v>
      </c>
      <c r="BA33">
        <v>0</v>
      </c>
      <c r="BB33">
        <v>0</v>
      </c>
      <c r="BC33">
        <v>46</v>
      </c>
      <c r="BD33">
        <v>27</v>
      </c>
      <c r="BE33">
        <v>77</v>
      </c>
      <c r="BF33">
        <v>97</v>
      </c>
      <c r="BG33">
        <v>59</v>
      </c>
      <c r="BH33">
        <v>33</v>
      </c>
      <c r="BI33">
        <v>54</v>
      </c>
      <c r="BJ33">
        <v>90</v>
      </c>
      <c r="BK33">
        <v>0</v>
      </c>
      <c r="BL33">
        <v>94</v>
      </c>
      <c r="BM33">
        <v>70</v>
      </c>
      <c r="BP33" s="866"/>
      <c r="BQ33" s="857">
        <v>23</v>
      </c>
      <c r="BR33" s="829">
        <v>12.2</v>
      </c>
      <c r="BS33" s="830">
        <v>0.69</v>
      </c>
      <c r="BT33" s="831">
        <v>24</v>
      </c>
      <c r="BU33" s="832">
        <v>1.53</v>
      </c>
      <c r="BV33" s="832">
        <v>2.54</v>
      </c>
      <c r="BW33" s="832">
        <v>1.863</v>
      </c>
      <c r="BX33" s="832">
        <v>27.2</v>
      </c>
      <c r="BY33" s="832">
        <v>13.3</v>
      </c>
      <c r="BZ33" s="832">
        <v>26</v>
      </c>
      <c r="CA33" s="1092">
        <v>81</v>
      </c>
      <c r="CB33" s="1092">
        <v>0</v>
      </c>
      <c r="CC33" s="835">
        <f t="shared" si="0"/>
        <v>27.8191618</v>
      </c>
      <c r="CD33" s="835">
        <f t="shared" si="1"/>
        <v>29.367911899999999</v>
      </c>
      <c r="CE33" s="834"/>
      <c r="CF33" s="1098">
        <v>0.505</v>
      </c>
      <c r="CG33" s="836">
        <v>0</v>
      </c>
      <c r="CH33" s="1081">
        <v>0</v>
      </c>
      <c r="CI33" s="834">
        <v>0.77300000000000002</v>
      </c>
      <c r="CK33"/>
      <c r="CL33"/>
      <c r="CM33"/>
      <c r="CN33"/>
      <c r="CO33" s="1083"/>
      <c r="CP33"/>
      <c r="CQ33" s="834">
        <v>109</v>
      </c>
      <c r="CR33" s="834">
        <v>194</v>
      </c>
      <c r="CS33" s="834"/>
      <c r="CT33" s="834"/>
      <c r="CU33" s="1098">
        <v>6.8502000000000001</v>
      </c>
      <c r="CV33" s="1098">
        <v>7.5594999999999999</v>
      </c>
      <c r="CW33" s="1098">
        <v>2.6017999999999999</v>
      </c>
      <c r="CX33" s="1098">
        <v>2.5478000000000001</v>
      </c>
      <c r="CY33" s="838"/>
      <c r="CZ33" s="782">
        <v>209.8</v>
      </c>
      <c r="DB33" s="782">
        <v>1</v>
      </c>
      <c r="DC33" s="782" t="s">
        <v>363</v>
      </c>
      <c r="DD33" s="782" t="s">
        <v>363</v>
      </c>
      <c r="DE33" s="862"/>
      <c r="DF33" s="867"/>
      <c r="DG33" s="780"/>
      <c r="DH33" s="781"/>
      <c r="DI33" s="781"/>
      <c r="DJ33" s="781"/>
      <c r="DK33" s="782"/>
      <c r="DL33" s="782"/>
      <c r="DM33" s="782"/>
      <c r="DN33" s="782"/>
      <c r="DO33" s="782"/>
      <c r="DP33" s="783"/>
      <c r="DQ33" s="885"/>
      <c r="DR33" s="886"/>
      <c r="DS33" s="197"/>
      <c r="DT33" s="840">
        <v>23</v>
      </c>
      <c r="DU33" s="841">
        <v>22.45</v>
      </c>
      <c r="DV33" s="842">
        <v>19.14</v>
      </c>
      <c r="DW33" s="843">
        <v>19</v>
      </c>
      <c r="DX33" s="842">
        <v>17.48</v>
      </c>
      <c r="DY33" s="844">
        <v>24</v>
      </c>
      <c r="DZ33" s="845"/>
      <c r="EA33" s="846">
        <v>6</v>
      </c>
      <c r="EB33" s="846">
        <v>96</v>
      </c>
      <c r="EC33" s="846"/>
      <c r="ED33" s="843">
        <v>10</v>
      </c>
      <c r="EE33" s="843">
        <v>3</v>
      </c>
      <c r="EF33" s="846"/>
      <c r="EG33" s="847">
        <v>750</v>
      </c>
      <c r="EH33" s="848" t="s">
        <v>0</v>
      </c>
      <c r="EI33" s="849"/>
      <c r="EJ33" s="849" t="s">
        <v>0</v>
      </c>
      <c r="EK33" s="849" t="s">
        <v>0</v>
      </c>
      <c r="EL33" s="847" t="s">
        <v>0</v>
      </c>
      <c r="EM33" s="850">
        <v>614</v>
      </c>
      <c r="EN33" s="849"/>
      <c r="EO33" s="849"/>
      <c r="EP33" s="851"/>
      <c r="EQ33" s="852"/>
      <c r="ER33" s="849"/>
      <c r="ES33" s="849"/>
      <c r="ET33" s="849"/>
      <c r="EU33" s="853"/>
      <c r="EV33" s="714">
        <v>61.33</v>
      </c>
      <c r="EW33" s="854">
        <v>8.09</v>
      </c>
      <c r="EX33" s="714">
        <v>11.52</v>
      </c>
      <c r="EY33" s="854">
        <v>1.06</v>
      </c>
      <c r="EZ33" s="854">
        <v>2.7</v>
      </c>
      <c r="FA33" s="854">
        <v>0.81</v>
      </c>
      <c r="FB33" s="854">
        <v>0</v>
      </c>
      <c r="FC33" s="854">
        <v>2.85</v>
      </c>
      <c r="FD33" s="854">
        <v>30.12</v>
      </c>
      <c r="FE33" s="854">
        <v>0.13</v>
      </c>
      <c r="FF33" s="854">
        <v>0.11</v>
      </c>
      <c r="FG33" s="854"/>
      <c r="FH33" s="854">
        <v>4.99</v>
      </c>
      <c r="FI33" s="855"/>
    </row>
    <row r="34" spans="1:165" ht="15" customHeight="1" thickBot="1" x14ac:dyDescent="0.6">
      <c r="H34" s="335"/>
      <c r="I34" s="335"/>
      <c r="J34" s="335"/>
      <c r="S34">
        <v>28</v>
      </c>
      <c r="T34" s="765">
        <v>25.44</v>
      </c>
      <c r="U34" s="765">
        <v>25.77</v>
      </c>
      <c r="V34" s="766">
        <v>12.05</v>
      </c>
      <c r="W34">
        <v>12.19</v>
      </c>
      <c r="X34" s="766">
        <v>15.76</v>
      </c>
      <c r="Y34">
        <v>0.6</v>
      </c>
      <c r="Z34">
        <v>0.2</v>
      </c>
      <c r="AA34">
        <v>1.7</v>
      </c>
      <c r="AB34">
        <v>1.4</v>
      </c>
      <c r="AC34">
        <v>3.09</v>
      </c>
      <c r="AD34">
        <v>2.83</v>
      </c>
      <c r="AG34">
        <v>7.19</v>
      </c>
      <c r="AH34">
        <v>7.08</v>
      </c>
      <c r="AI34">
        <v>6.39</v>
      </c>
      <c r="AJ34">
        <v>6.28</v>
      </c>
      <c r="AK34">
        <v>6.46</v>
      </c>
      <c r="AL34">
        <v>6.3</v>
      </c>
      <c r="AM34">
        <v>7.67</v>
      </c>
      <c r="AN34">
        <v>7.27</v>
      </c>
      <c r="AO34">
        <v>7.79</v>
      </c>
      <c r="AP34">
        <v>7.56</v>
      </c>
      <c r="AQ34">
        <v>7.83</v>
      </c>
      <c r="AR34">
        <v>7.69</v>
      </c>
      <c r="AS34">
        <v>7.76</v>
      </c>
      <c r="AV34" s="765">
        <f>('User Data'!T34/1440)/('1940 - Plant Op.'!J43*704)*1000000</f>
        <v>2.5094696969696968</v>
      </c>
      <c r="AW34" s="765"/>
      <c r="AX34">
        <v>0</v>
      </c>
      <c r="AY34">
        <v>0</v>
      </c>
      <c r="AZ34">
        <v>0</v>
      </c>
      <c r="BA34">
        <v>0</v>
      </c>
      <c r="BB34">
        <v>0</v>
      </c>
      <c r="BC34">
        <v>70</v>
      </c>
      <c r="BD34">
        <v>51</v>
      </c>
      <c r="BE34">
        <v>90.5</v>
      </c>
      <c r="BF34">
        <v>29</v>
      </c>
      <c r="BG34">
        <v>83</v>
      </c>
      <c r="BH34">
        <v>57</v>
      </c>
      <c r="BI34">
        <v>78</v>
      </c>
      <c r="BJ34">
        <v>41</v>
      </c>
      <c r="BK34">
        <v>0</v>
      </c>
      <c r="BL34">
        <v>97</v>
      </c>
      <c r="BM34">
        <v>94</v>
      </c>
      <c r="BP34" s="866"/>
      <c r="BQ34" s="857">
        <v>24</v>
      </c>
      <c r="BR34" s="829">
        <v>11.8</v>
      </c>
      <c r="BS34" s="830">
        <v>0.78</v>
      </c>
      <c r="BT34" s="831">
        <v>24</v>
      </c>
      <c r="BU34" s="832">
        <v>1.49</v>
      </c>
      <c r="BV34" s="832">
        <v>3.21</v>
      </c>
      <c r="BW34" s="832">
        <v>1.83</v>
      </c>
      <c r="BX34" s="832">
        <v>26.29</v>
      </c>
      <c r="BY34" s="832">
        <v>13.5</v>
      </c>
      <c r="BZ34" s="832">
        <v>27.75</v>
      </c>
      <c r="CA34" s="1092">
        <v>109</v>
      </c>
      <c r="CB34" s="1092">
        <v>0</v>
      </c>
      <c r="CC34" s="835">
        <f t="shared" si="0"/>
        <v>27.698441299999999</v>
      </c>
      <c r="CD34" s="835">
        <f t="shared" si="1"/>
        <v>29.047896399999999</v>
      </c>
      <c r="CE34" s="834"/>
      <c r="CF34" s="1098">
        <v>0.55449999999999999</v>
      </c>
      <c r="CG34" s="836">
        <v>5.91E-2</v>
      </c>
      <c r="CH34" s="1081">
        <v>0</v>
      </c>
      <c r="CI34" s="834">
        <v>0.78800000000000003</v>
      </c>
      <c r="CJ34" s="834"/>
      <c r="CK34"/>
      <c r="CL34"/>
      <c r="CM34"/>
      <c r="CN34"/>
      <c r="CO34" s="864"/>
      <c r="CP34"/>
      <c r="CQ34" s="834">
        <v>109</v>
      </c>
      <c r="CR34" s="834">
        <v>193</v>
      </c>
      <c r="CS34" s="834"/>
      <c r="CT34" s="834"/>
      <c r="CU34" s="1098">
        <v>6.8194999999999997</v>
      </c>
      <c r="CV34" s="1098">
        <v>7.4413999999999998</v>
      </c>
      <c r="CW34" s="1098">
        <v>2.5911</v>
      </c>
      <c r="CX34" s="1098">
        <v>2.5417000000000001</v>
      </c>
      <c r="CY34" s="838"/>
      <c r="CZ34" s="782">
        <v>165.8</v>
      </c>
      <c r="DA34" s="472" t="s">
        <v>367</v>
      </c>
      <c r="DB34" s="782">
        <v>1</v>
      </c>
      <c r="DC34" s="782" t="s">
        <v>363</v>
      </c>
      <c r="DD34" s="782" t="s">
        <v>363</v>
      </c>
      <c r="DE34" s="862"/>
      <c r="DF34" s="867"/>
      <c r="DG34" s="780"/>
      <c r="DH34" s="781"/>
      <c r="DI34" s="781"/>
      <c r="DJ34" s="781"/>
      <c r="DK34" s="782"/>
      <c r="DL34" s="782"/>
      <c r="DM34" s="782"/>
      <c r="DN34" s="782"/>
      <c r="DO34" s="782"/>
      <c r="DP34" s="783"/>
      <c r="DQ34" s="885"/>
      <c r="DR34" s="886"/>
      <c r="DS34" s="197"/>
      <c r="DT34" s="840">
        <v>24</v>
      </c>
      <c r="DU34" s="841">
        <v>23.13</v>
      </c>
      <c r="DV34" s="842">
        <v>20.079999999999998</v>
      </c>
      <c r="DW34" s="843">
        <v>19.940000000000001</v>
      </c>
      <c r="DX34" s="842">
        <v>18.14</v>
      </c>
      <c r="DY34" s="844">
        <v>24</v>
      </c>
      <c r="DZ34" s="845"/>
      <c r="EA34" s="846">
        <v>5</v>
      </c>
      <c r="EB34" s="846">
        <v>96.5</v>
      </c>
      <c r="EC34" s="846"/>
      <c r="ED34" s="843">
        <v>10</v>
      </c>
      <c r="EE34" s="843">
        <v>2</v>
      </c>
      <c r="EF34" s="846"/>
      <c r="EG34" s="847">
        <v>490</v>
      </c>
      <c r="EH34" s="848" t="s">
        <v>0</v>
      </c>
      <c r="EI34" s="849"/>
      <c r="EJ34" s="849" t="s">
        <v>0</v>
      </c>
      <c r="EK34" s="849" t="s">
        <v>0</v>
      </c>
      <c r="EL34" s="847" t="s">
        <v>0</v>
      </c>
      <c r="EM34" s="850">
        <v>635</v>
      </c>
      <c r="EN34" s="849"/>
      <c r="EO34" s="849"/>
      <c r="EP34" s="851"/>
      <c r="EQ34" s="852"/>
      <c r="ER34" s="849"/>
      <c r="ES34" s="849"/>
      <c r="ET34" s="849"/>
      <c r="EU34" s="853"/>
      <c r="EV34" s="714">
        <v>60.61</v>
      </c>
      <c r="EW34" s="854">
        <v>8.5399999999999991</v>
      </c>
      <c r="EX34" s="714">
        <v>12.34</v>
      </c>
      <c r="EY34" s="854">
        <v>1.0900000000000001</v>
      </c>
      <c r="EZ34" s="854">
        <v>2.87</v>
      </c>
      <c r="FA34" s="854">
        <v>0.76</v>
      </c>
      <c r="FB34" s="854">
        <v>0</v>
      </c>
      <c r="FC34" s="854">
        <v>2.8</v>
      </c>
      <c r="FD34" s="854">
        <v>30.04</v>
      </c>
      <c r="FE34" s="854">
        <v>0.14000000000000001</v>
      </c>
      <c r="FF34" s="854">
        <v>0.12</v>
      </c>
      <c r="FG34" s="854"/>
      <c r="FH34" s="854">
        <v>5</v>
      </c>
      <c r="FI34" s="855"/>
    </row>
    <row r="35" spans="1:165" ht="15" customHeight="1" thickBot="1" x14ac:dyDescent="0.6">
      <c r="H35" s="335"/>
      <c r="I35" s="335"/>
      <c r="J35" s="335"/>
      <c r="S35">
        <v>29</v>
      </c>
      <c r="T35" s="765">
        <v>21.98</v>
      </c>
      <c r="U35" s="765">
        <v>25.62</v>
      </c>
      <c r="V35" s="766">
        <v>12.89</v>
      </c>
      <c r="W35">
        <v>13.07</v>
      </c>
      <c r="X35" s="766">
        <v>16.11</v>
      </c>
      <c r="Y35">
        <v>0.6</v>
      </c>
      <c r="Z35">
        <v>0.4</v>
      </c>
      <c r="AA35">
        <v>1.6</v>
      </c>
      <c r="AB35">
        <v>1.6</v>
      </c>
      <c r="AC35">
        <v>3</v>
      </c>
      <c r="AD35">
        <v>2.79</v>
      </c>
      <c r="AG35">
        <v>7.17</v>
      </c>
      <c r="AH35">
        <v>7</v>
      </c>
      <c r="AI35">
        <v>6.43</v>
      </c>
      <c r="AJ35">
        <v>6.22</v>
      </c>
      <c r="AK35">
        <v>6.37</v>
      </c>
      <c r="AL35">
        <v>6.28</v>
      </c>
      <c r="AM35">
        <v>7.79</v>
      </c>
      <c r="AN35">
        <v>7.48</v>
      </c>
      <c r="AO35">
        <v>7.92</v>
      </c>
      <c r="AP35">
        <v>7.69</v>
      </c>
      <c r="AQ35">
        <v>8.01</v>
      </c>
      <c r="AR35">
        <v>7.76</v>
      </c>
      <c r="AS35">
        <v>7.85</v>
      </c>
      <c r="AV35" s="765">
        <f>('User Data'!T35/1440)/('1940 - Plant Op.'!J44*704)*1000000</f>
        <v>2.1681660353535355</v>
      </c>
      <c r="AW35" s="765"/>
      <c r="AX35">
        <v>0</v>
      </c>
      <c r="AY35">
        <v>0</v>
      </c>
      <c r="AZ35">
        <v>0</v>
      </c>
      <c r="BA35">
        <v>0</v>
      </c>
      <c r="BB35">
        <v>0</v>
      </c>
      <c r="BC35">
        <v>94</v>
      </c>
      <c r="BD35">
        <v>75</v>
      </c>
      <c r="BE35">
        <v>34.5</v>
      </c>
      <c r="BF35">
        <v>53</v>
      </c>
      <c r="BG35">
        <v>96</v>
      </c>
      <c r="BH35">
        <v>81</v>
      </c>
      <c r="BI35">
        <v>97</v>
      </c>
      <c r="BJ35">
        <v>65</v>
      </c>
      <c r="BK35">
        <v>0</v>
      </c>
      <c r="BL35">
        <v>45</v>
      </c>
      <c r="BM35">
        <v>96</v>
      </c>
      <c r="BP35" s="866"/>
      <c r="BQ35" s="857">
        <v>25</v>
      </c>
      <c r="BR35" s="829">
        <v>11.8</v>
      </c>
      <c r="BS35" s="830">
        <v>0.52</v>
      </c>
      <c r="BT35" s="831">
        <v>24</v>
      </c>
      <c r="BU35" s="832">
        <v>1.3</v>
      </c>
      <c r="BV35" s="832">
        <v>2.4700000000000002</v>
      </c>
      <c r="BW35" s="832">
        <v>0.95499999999999996</v>
      </c>
      <c r="BX35" s="832">
        <v>27.27</v>
      </c>
      <c r="BY35" s="832">
        <v>15.75</v>
      </c>
      <c r="BZ35" s="832">
        <v>31</v>
      </c>
      <c r="CA35" s="1092">
        <v>89</v>
      </c>
      <c r="CB35" s="1092">
        <v>0</v>
      </c>
      <c r="CC35" s="835">
        <f t="shared" si="0"/>
        <v>27.3827347</v>
      </c>
      <c r="CD35" s="835">
        <f t="shared" si="1"/>
        <v>29.083365300000001</v>
      </c>
      <c r="CE35" s="834">
        <v>8.41</v>
      </c>
      <c r="CF35" s="1098">
        <v>0.40210000000000001</v>
      </c>
      <c r="CG35" s="836">
        <v>0</v>
      </c>
      <c r="CH35" s="1081">
        <v>0</v>
      </c>
      <c r="CI35" s="834">
        <v>0.77900000000000003</v>
      </c>
      <c r="CJ35" s="834">
        <v>10.4</v>
      </c>
      <c r="CK35" s="834">
        <v>12.9</v>
      </c>
      <c r="CL35"/>
      <c r="CM35"/>
      <c r="CN35"/>
      <c r="CP35"/>
      <c r="CQ35" s="834">
        <v>109</v>
      </c>
      <c r="CR35" s="834">
        <v>194</v>
      </c>
      <c r="CS35" s="834"/>
      <c r="CT35" s="834"/>
      <c r="CU35" s="1098">
        <v>6.7747000000000002</v>
      </c>
      <c r="CV35" s="1098">
        <v>7.4748999999999999</v>
      </c>
      <c r="CW35" s="1098">
        <v>2.5415999999999999</v>
      </c>
      <c r="CX35" s="1098">
        <v>2.5299999999999998</v>
      </c>
      <c r="CY35" s="838"/>
      <c r="CZ35" s="782">
        <v>159.69999999999999</v>
      </c>
      <c r="DA35" s="472" t="s">
        <v>367</v>
      </c>
      <c r="DB35" s="782">
        <v>1</v>
      </c>
      <c r="DC35" s="782" t="s">
        <v>363</v>
      </c>
      <c r="DD35" s="782" t="s">
        <v>363</v>
      </c>
      <c r="DE35" s="862"/>
      <c r="DF35" s="867"/>
      <c r="DG35" s="780"/>
      <c r="DH35" s="781"/>
      <c r="DI35" s="781"/>
      <c r="DJ35" s="781"/>
      <c r="DK35" s="782"/>
      <c r="DL35" s="782"/>
      <c r="DM35" s="782"/>
      <c r="DN35" s="782"/>
      <c r="DO35" s="782"/>
      <c r="DP35" s="783"/>
      <c r="DQ35" s="885"/>
      <c r="DR35" s="886"/>
      <c r="DS35" s="197"/>
      <c r="DT35" s="840">
        <v>25</v>
      </c>
      <c r="DU35" s="841">
        <v>23.92</v>
      </c>
      <c r="DV35" s="842">
        <v>21.3</v>
      </c>
      <c r="DW35" s="843">
        <v>21.18</v>
      </c>
      <c r="DX35" s="842">
        <v>18.239999999999998</v>
      </c>
      <c r="DY35" s="844">
        <v>24</v>
      </c>
      <c r="DZ35" s="845"/>
      <c r="EA35" s="846">
        <v>6</v>
      </c>
      <c r="EB35" s="846">
        <v>96</v>
      </c>
      <c r="EC35" s="846"/>
      <c r="ED35" s="843">
        <v>10</v>
      </c>
      <c r="EE35" s="843">
        <v>3</v>
      </c>
      <c r="EF35" s="846"/>
      <c r="EG35" s="847">
        <v>720</v>
      </c>
      <c r="EH35" s="848" t="s">
        <v>0</v>
      </c>
      <c r="EI35" s="849"/>
      <c r="EJ35" s="849" t="s">
        <v>0</v>
      </c>
      <c r="EK35" s="849" t="s">
        <v>0</v>
      </c>
      <c r="EL35" s="847" t="s">
        <v>0</v>
      </c>
      <c r="EM35" s="850">
        <v>673</v>
      </c>
      <c r="EN35" s="849"/>
      <c r="EO35" s="849"/>
      <c r="EP35" s="851"/>
      <c r="EQ35" s="852"/>
      <c r="ER35" s="849"/>
      <c r="ES35" s="849"/>
      <c r="ET35" s="849"/>
      <c r="EU35" s="853"/>
      <c r="EV35" s="714">
        <v>62.6</v>
      </c>
      <c r="EW35" s="854">
        <v>9.7100000000000009</v>
      </c>
      <c r="EX35" s="714">
        <v>11.75</v>
      </c>
      <c r="EY35" s="854">
        <v>1.04</v>
      </c>
      <c r="EZ35" s="854">
        <v>2.66</v>
      </c>
      <c r="FA35" s="854">
        <v>0.81</v>
      </c>
      <c r="FB35" s="854">
        <v>0</v>
      </c>
      <c r="FC35" s="854">
        <v>3.01</v>
      </c>
      <c r="FD35" s="854">
        <v>30.03</v>
      </c>
      <c r="FE35" s="854">
        <v>0.13</v>
      </c>
      <c r="FF35" s="854">
        <v>0.15</v>
      </c>
      <c r="FG35" s="854"/>
      <c r="FH35" s="854">
        <v>5.16</v>
      </c>
      <c r="FI35" s="855"/>
    </row>
    <row r="36" spans="1:165" ht="15" customHeight="1" thickBot="1" x14ac:dyDescent="0.6">
      <c r="E36" s="839"/>
      <c r="F36" s="860"/>
      <c r="G36" s="472"/>
      <c r="H36" s="335"/>
      <c r="I36" s="335"/>
      <c r="J36" s="335"/>
      <c r="S36">
        <v>30</v>
      </c>
      <c r="T36" s="765">
        <v>21.64</v>
      </c>
      <c r="U36" s="765">
        <v>25.51</v>
      </c>
      <c r="V36" s="766">
        <v>12.93</v>
      </c>
      <c r="W36">
        <v>13.04</v>
      </c>
      <c r="X36" s="766">
        <v>16.2</v>
      </c>
      <c r="Y36">
        <v>0.4</v>
      </c>
      <c r="Z36">
        <v>0.1</v>
      </c>
      <c r="AA36">
        <v>1.2</v>
      </c>
      <c r="AB36">
        <v>1.6</v>
      </c>
      <c r="AC36">
        <v>3</v>
      </c>
      <c r="AD36">
        <v>2.68</v>
      </c>
      <c r="AG36">
        <v>7.21</v>
      </c>
      <c r="AH36">
        <v>7.01</v>
      </c>
      <c r="AI36">
        <v>6.32</v>
      </c>
      <c r="AJ36">
        <v>6.22</v>
      </c>
      <c r="AK36">
        <v>6.35</v>
      </c>
      <c r="AL36">
        <v>6.25</v>
      </c>
      <c r="AM36">
        <v>7.69</v>
      </c>
      <c r="AN36">
        <v>7.48</v>
      </c>
      <c r="AO36">
        <v>7.76</v>
      </c>
      <c r="AP36">
        <v>7.6</v>
      </c>
      <c r="AQ36">
        <v>7.95</v>
      </c>
      <c r="AR36">
        <v>7.75</v>
      </c>
      <c r="AS36">
        <v>7.84</v>
      </c>
      <c r="AV36" s="765">
        <f>('User Data'!T36/1440)/('1940 - Plant Op.'!J45*704)*1000000</f>
        <v>2.1346275252525255</v>
      </c>
      <c r="AW36" s="765" t="s">
        <v>0</v>
      </c>
      <c r="AX36">
        <v>0</v>
      </c>
      <c r="AY36">
        <v>0</v>
      </c>
      <c r="AZ36">
        <v>0</v>
      </c>
      <c r="BA36">
        <v>0</v>
      </c>
      <c r="BB36">
        <v>0</v>
      </c>
      <c r="BC36">
        <v>96</v>
      </c>
      <c r="BD36">
        <v>94</v>
      </c>
      <c r="BE36">
        <v>58.5</v>
      </c>
      <c r="BF36">
        <v>77</v>
      </c>
      <c r="BG36">
        <v>35</v>
      </c>
      <c r="BH36">
        <v>90</v>
      </c>
      <c r="BI36">
        <v>29</v>
      </c>
      <c r="BJ36">
        <v>89</v>
      </c>
      <c r="BK36">
        <v>0</v>
      </c>
      <c r="BL36">
        <v>69</v>
      </c>
      <c r="BM36">
        <v>46</v>
      </c>
      <c r="BP36" s="866"/>
      <c r="BQ36" s="857">
        <v>26</v>
      </c>
      <c r="BR36" s="829">
        <v>10.3</v>
      </c>
      <c r="BS36" s="830">
        <v>0.56000000000000005</v>
      </c>
      <c r="BT36" s="831">
        <v>24</v>
      </c>
      <c r="BU36" s="832">
        <v>1.04</v>
      </c>
      <c r="BV36" s="832">
        <v>2.92</v>
      </c>
      <c r="BW36" s="832">
        <v>1.62</v>
      </c>
      <c r="BX36" s="832">
        <v>25.2</v>
      </c>
      <c r="BY36" s="832">
        <v>14.5</v>
      </c>
      <c r="BZ36" s="832">
        <v>29</v>
      </c>
      <c r="CA36" s="1092">
        <v>74</v>
      </c>
      <c r="CB36" s="1092">
        <v>0</v>
      </c>
      <c r="CC36" s="835">
        <f t="shared" si="0"/>
        <v>27.875435200000002</v>
      </c>
      <c r="CD36" s="835">
        <f t="shared" si="1"/>
        <v>28.767102700000002</v>
      </c>
      <c r="CE36" s="834">
        <v>8.41</v>
      </c>
      <c r="CF36" s="1098">
        <v>0.51300000000000001</v>
      </c>
      <c r="CG36" s="836">
        <v>0</v>
      </c>
      <c r="CH36" s="1081">
        <v>0</v>
      </c>
      <c r="CI36" s="834">
        <v>0.745</v>
      </c>
      <c r="CJ36" s="836"/>
      <c r="CK36"/>
      <c r="CL36"/>
      <c r="CM36" s="834">
        <v>0</v>
      </c>
      <c r="CN36" s="834">
        <v>0.27700000000000002</v>
      </c>
      <c r="CO36" s="1083">
        <v>0.71297999999999995</v>
      </c>
      <c r="CP36"/>
      <c r="CQ36" s="834">
        <v>109</v>
      </c>
      <c r="CR36" s="834">
        <v>191</v>
      </c>
      <c r="CS36" s="834"/>
      <c r="CT36" s="834"/>
      <c r="CU36" s="1098">
        <v>6.8856000000000002</v>
      </c>
      <c r="CV36" s="1098">
        <v>7.3742999999999999</v>
      </c>
      <c r="CW36" s="1098">
        <v>2.5939999999999999</v>
      </c>
      <c r="CX36" s="1098">
        <v>2.5142000000000002</v>
      </c>
      <c r="CY36" s="838"/>
      <c r="CZ36" s="782">
        <v>133.30000000000001</v>
      </c>
      <c r="DA36" s="472" t="s">
        <v>367</v>
      </c>
      <c r="DB36" s="782">
        <v>1</v>
      </c>
      <c r="DC36" s="782" t="s">
        <v>363</v>
      </c>
      <c r="DD36" s="782" t="s">
        <v>363</v>
      </c>
      <c r="DE36" s="862"/>
      <c r="DF36" s="867"/>
      <c r="DG36" s="780"/>
      <c r="DH36" s="781"/>
      <c r="DI36" s="781"/>
      <c r="DJ36" s="781"/>
      <c r="DK36" s="782"/>
      <c r="DL36" s="782"/>
      <c r="DM36" s="782"/>
      <c r="DN36" s="782"/>
      <c r="DO36" s="782"/>
      <c r="DP36" s="783"/>
      <c r="DQ36" s="885"/>
      <c r="DR36" s="886"/>
      <c r="DS36" s="197"/>
      <c r="DT36" s="840">
        <v>26</v>
      </c>
      <c r="DU36" s="841">
        <v>22.8</v>
      </c>
      <c r="DV36" s="842">
        <v>19.21</v>
      </c>
      <c r="DW36" s="843">
        <v>19.07</v>
      </c>
      <c r="DX36" s="842">
        <v>17.22</v>
      </c>
      <c r="DY36" s="844">
        <v>24</v>
      </c>
      <c r="DZ36" s="845"/>
      <c r="EA36" s="846">
        <v>3</v>
      </c>
      <c r="EB36" s="846">
        <v>92</v>
      </c>
      <c r="EC36" s="846"/>
      <c r="ED36" s="843">
        <v>10</v>
      </c>
      <c r="EE36" s="843">
        <v>3</v>
      </c>
      <c r="EF36" s="846"/>
      <c r="EG36" s="847">
        <v>730</v>
      </c>
      <c r="EH36" s="848" t="s">
        <v>0</v>
      </c>
      <c r="EI36" s="849"/>
      <c r="EJ36" s="849" t="s">
        <v>0</v>
      </c>
      <c r="EK36" s="849" t="s">
        <v>0</v>
      </c>
      <c r="EL36" s="847" t="s">
        <v>0</v>
      </c>
      <c r="EM36" s="850">
        <v>571</v>
      </c>
      <c r="EN36" s="849"/>
      <c r="EO36" s="849"/>
      <c r="EP36" s="851"/>
      <c r="EQ36" s="852"/>
      <c r="ER36" s="849"/>
      <c r="ES36" s="849"/>
      <c r="ET36" s="849"/>
      <c r="EU36" s="853"/>
      <c r="EV36" s="714">
        <v>60.29</v>
      </c>
      <c r="EW36" s="854">
        <v>9.58</v>
      </c>
      <c r="EX36" s="714">
        <v>11.96</v>
      </c>
      <c r="EY36" s="854">
        <v>1.01</v>
      </c>
      <c r="EZ36" s="854">
        <v>2.62</v>
      </c>
      <c r="FA36" s="854">
        <v>0.82</v>
      </c>
      <c r="FB36" s="854">
        <v>0</v>
      </c>
      <c r="FC36" s="854">
        <v>2.96</v>
      </c>
      <c r="FD36" s="854">
        <v>28.14</v>
      </c>
      <c r="FE36" s="854">
        <v>0.13</v>
      </c>
      <c r="FF36" s="854">
        <v>0.12</v>
      </c>
      <c r="FG36" s="854"/>
      <c r="FH36" s="854">
        <v>4.76</v>
      </c>
      <c r="FI36" s="855"/>
    </row>
    <row r="37" spans="1:165" ht="15" customHeight="1" thickBot="1" x14ac:dyDescent="0.6">
      <c r="E37" s="335"/>
      <c r="F37" s="839" t="s">
        <v>875</v>
      </c>
      <c r="G37" s="446" t="s">
        <v>876</v>
      </c>
      <c r="H37" s="335"/>
      <c r="I37" s="335"/>
      <c r="J37" s="335"/>
      <c r="S37">
        <v>31</v>
      </c>
      <c r="T37" s="765">
        <v>21.66</v>
      </c>
      <c r="U37" s="765">
        <v>24.19</v>
      </c>
      <c r="V37" s="766">
        <v>11.91</v>
      </c>
      <c r="W37">
        <v>12.04</v>
      </c>
      <c r="X37" s="766">
        <v>16.23</v>
      </c>
      <c r="Y37">
        <v>0.5</v>
      </c>
      <c r="Z37">
        <v>0.2</v>
      </c>
      <c r="AA37">
        <v>1.6</v>
      </c>
      <c r="AB37">
        <v>1.5</v>
      </c>
      <c r="AC37">
        <v>2.94</v>
      </c>
      <c r="AD37">
        <v>2.63</v>
      </c>
      <c r="AG37">
        <v>7.16</v>
      </c>
      <c r="AH37">
        <v>7.01</v>
      </c>
      <c r="AI37">
        <v>6.37</v>
      </c>
      <c r="AJ37">
        <v>6.21</v>
      </c>
      <c r="AK37">
        <v>6.36</v>
      </c>
      <c r="AL37">
        <v>6.25</v>
      </c>
      <c r="AM37">
        <v>7.69</v>
      </c>
      <c r="AN37">
        <v>7.41</v>
      </c>
      <c r="AO37">
        <v>7.71</v>
      </c>
      <c r="AP37">
        <v>7.69</v>
      </c>
      <c r="AQ37">
        <v>7.83</v>
      </c>
      <c r="AR37">
        <v>7.73</v>
      </c>
      <c r="AS37">
        <v>7.77</v>
      </c>
      <c r="AV37" s="765">
        <f>('User Data'!T37/1440)/('1940 - Plant Op.'!J46*704)*1000000</f>
        <v>2.1366003787878785</v>
      </c>
      <c r="AX37">
        <v>0</v>
      </c>
      <c r="AY37">
        <v>0</v>
      </c>
      <c r="AZ37">
        <v>0</v>
      </c>
      <c r="BA37">
        <v>0</v>
      </c>
      <c r="BB37">
        <v>0</v>
      </c>
      <c r="BC37">
        <v>46</v>
      </c>
      <c r="BD37">
        <v>29</v>
      </c>
      <c r="BE37">
        <v>82.5</v>
      </c>
      <c r="BF37">
        <v>94.5</v>
      </c>
      <c r="BG37">
        <v>59</v>
      </c>
      <c r="BH37">
        <v>39</v>
      </c>
      <c r="BI37">
        <v>53</v>
      </c>
      <c r="BJ37">
        <v>91</v>
      </c>
      <c r="BK37">
        <v>0</v>
      </c>
      <c r="BL37">
        <v>93</v>
      </c>
      <c r="BM37">
        <v>70</v>
      </c>
      <c r="BP37" s="866"/>
      <c r="BQ37" s="857">
        <v>27</v>
      </c>
      <c r="BR37" s="829">
        <v>12.1</v>
      </c>
      <c r="BS37" s="830">
        <v>0.77</v>
      </c>
      <c r="BT37" s="831">
        <v>24</v>
      </c>
      <c r="BU37" s="832">
        <v>1.04</v>
      </c>
      <c r="BV37" s="832">
        <v>1.74</v>
      </c>
      <c r="BW37" s="832">
        <v>1.99</v>
      </c>
      <c r="BX37" s="832">
        <v>27.6</v>
      </c>
      <c r="BY37" s="832">
        <v>13.3</v>
      </c>
      <c r="BZ37" s="832">
        <v>26.7</v>
      </c>
      <c r="CA37" s="1092">
        <v>70</v>
      </c>
      <c r="CB37" s="1092">
        <v>0</v>
      </c>
      <c r="CC37" s="835">
        <f t="shared" si="0"/>
        <v>27.8022068</v>
      </c>
      <c r="CD37" s="835">
        <f t="shared" si="1"/>
        <v>28.441564400000004</v>
      </c>
      <c r="CE37" s="834">
        <v>8.5500000000000007</v>
      </c>
      <c r="CF37" s="1098">
        <v>0.47839999999999999</v>
      </c>
      <c r="CG37" s="836">
        <v>0</v>
      </c>
      <c r="CH37" s="1081">
        <v>0</v>
      </c>
      <c r="CI37" s="834">
        <v>0.76</v>
      </c>
      <c r="CJ37" s="834"/>
      <c r="CK37"/>
      <c r="CL37"/>
      <c r="CN37" s="834"/>
      <c r="CO37" s="864"/>
      <c r="CP37"/>
      <c r="CQ37" s="834">
        <v>110</v>
      </c>
      <c r="CR37" s="834">
        <v>192</v>
      </c>
      <c r="CS37" s="834"/>
      <c r="CT37" s="834"/>
      <c r="CU37" s="1098">
        <v>6.8632</v>
      </c>
      <c r="CV37" s="1098">
        <v>7.2906000000000004</v>
      </c>
      <c r="CW37" s="1098">
        <v>2.5897999999999999</v>
      </c>
      <c r="CX37" s="1098">
        <v>2.4859</v>
      </c>
      <c r="CY37" s="838"/>
      <c r="CZ37" s="1097">
        <v>235.9</v>
      </c>
      <c r="DA37" s="1097"/>
      <c r="DB37" s="1097">
        <v>1</v>
      </c>
      <c r="DC37" s="782" t="s">
        <v>363</v>
      </c>
      <c r="DD37" s="782" t="s">
        <v>363</v>
      </c>
      <c r="DE37" s="862"/>
      <c r="DF37" s="867"/>
      <c r="DG37" s="887"/>
      <c r="DH37" s="888"/>
      <c r="DI37" s="888"/>
      <c r="DJ37" s="781"/>
      <c r="DK37" s="782"/>
      <c r="DL37" s="782"/>
      <c r="DM37" s="782"/>
      <c r="DN37" s="782"/>
      <c r="DO37" s="782"/>
      <c r="DP37" s="783"/>
      <c r="DQ37" s="885"/>
      <c r="DR37" s="886"/>
      <c r="DS37" s="197"/>
      <c r="DT37" s="840">
        <v>27</v>
      </c>
      <c r="DU37" s="841">
        <v>23.62</v>
      </c>
      <c r="DV37" s="842">
        <v>20.53</v>
      </c>
      <c r="DW37" s="843">
        <v>20.57</v>
      </c>
      <c r="DX37" s="842">
        <v>19.010000000000002</v>
      </c>
      <c r="DY37" s="844">
        <v>24</v>
      </c>
      <c r="DZ37" s="845"/>
      <c r="EA37" s="846">
        <v>5</v>
      </c>
      <c r="EB37" s="846">
        <v>97</v>
      </c>
      <c r="EC37" s="846"/>
      <c r="ED37" s="843">
        <v>10</v>
      </c>
      <c r="EE37" s="843">
        <v>2</v>
      </c>
      <c r="EF37" s="846"/>
      <c r="EG37" s="847">
        <v>500</v>
      </c>
      <c r="EH37" s="848" t="s">
        <v>0</v>
      </c>
      <c r="EI37" s="849"/>
      <c r="EJ37" s="849" t="s">
        <v>0</v>
      </c>
      <c r="EK37" s="849" t="s">
        <v>0</v>
      </c>
      <c r="EL37" s="847" t="s">
        <v>0</v>
      </c>
      <c r="EM37" s="850">
        <v>645</v>
      </c>
      <c r="EN37" s="849"/>
      <c r="EO37" s="849"/>
      <c r="EP37" s="851"/>
      <c r="EQ37" s="852"/>
      <c r="ER37" s="849"/>
      <c r="ES37" s="849"/>
      <c r="ET37" s="849"/>
      <c r="EU37" s="853"/>
      <c r="EV37" s="714">
        <v>59.43</v>
      </c>
      <c r="EW37" s="854">
        <v>9.32</v>
      </c>
      <c r="EX37" s="714">
        <v>11.91</v>
      </c>
      <c r="EY37" s="854">
        <v>1.1599999999999999</v>
      </c>
      <c r="EZ37" s="854">
        <v>3.11</v>
      </c>
      <c r="FA37" s="854">
        <v>0.83</v>
      </c>
      <c r="FB37" s="854">
        <v>0</v>
      </c>
      <c r="FC37" s="854">
        <v>3.11</v>
      </c>
      <c r="FD37" s="854">
        <v>30.05</v>
      </c>
      <c r="FE37" s="854">
        <v>0.14000000000000001</v>
      </c>
      <c r="FF37" s="854">
        <v>0.12</v>
      </c>
      <c r="FG37" s="854"/>
      <c r="FH37" s="854">
        <v>4.9800000000000004</v>
      </c>
      <c r="FI37" s="855"/>
    </row>
    <row r="38" spans="1:165" ht="14.7" thickBot="1" x14ac:dyDescent="0.6">
      <c r="E38" s="335"/>
      <c r="F38" s="335"/>
      <c r="G38" s="472"/>
      <c r="H38" s="335"/>
      <c r="I38" s="335"/>
      <c r="J38" s="335"/>
      <c r="AV38" s="765"/>
      <c r="BM38" s="335"/>
      <c r="BP38" s="866"/>
      <c r="BQ38" s="857">
        <v>28</v>
      </c>
      <c r="BR38" s="829">
        <v>11.1</v>
      </c>
      <c r="BS38" s="830">
        <v>0.76</v>
      </c>
      <c r="BT38" s="831">
        <v>24</v>
      </c>
      <c r="BU38" s="832">
        <v>1.68</v>
      </c>
      <c r="BV38" s="832">
        <v>2.125</v>
      </c>
      <c r="BW38" s="832">
        <v>1.53</v>
      </c>
      <c r="BX38" s="832">
        <v>26.41</v>
      </c>
      <c r="BY38" s="832">
        <v>14</v>
      </c>
      <c r="BZ38" s="832">
        <v>28.3</v>
      </c>
      <c r="CA38" s="1092">
        <v>74</v>
      </c>
      <c r="CB38" s="1092">
        <v>0</v>
      </c>
      <c r="CC38" s="835">
        <f t="shared" si="0"/>
        <v>27.3506143</v>
      </c>
      <c r="CD38" s="835">
        <f t="shared" si="1"/>
        <v>28.96096</v>
      </c>
      <c r="CE38" s="834"/>
      <c r="CF38" s="1098">
        <v>0.46760000000000002</v>
      </c>
      <c r="CG38" s="836">
        <v>0</v>
      </c>
      <c r="CH38" s="1081">
        <v>0</v>
      </c>
      <c r="CI38" s="834">
        <v>0.78600000000000003</v>
      </c>
      <c r="CJ38" s="834"/>
      <c r="CK38" s="1081"/>
      <c r="CL38" s="834">
        <v>0</v>
      </c>
      <c r="CM38" s="834"/>
      <c r="CN38" s="834"/>
      <c r="CO38" s="1082"/>
      <c r="CP38" s="782">
        <v>0</v>
      </c>
      <c r="CQ38" s="834">
        <v>112</v>
      </c>
      <c r="CR38" s="834">
        <v>192</v>
      </c>
      <c r="CS38" s="834"/>
      <c r="CT38" s="834"/>
      <c r="CU38" s="1098">
        <v>6.7747000000000002</v>
      </c>
      <c r="CV38" s="1098">
        <v>7.4741999999999997</v>
      </c>
      <c r="CW38" s="1098">
        <v>2.5337999999999998</v>
      </c>
      <c r="CX38" s="1098">
        <v>2.5007000000000001</v>
      </c>
      <c r="CY38" s="838"/>
      <c r="CZ38" s="1097">
        <v>118.7</v>
      </c>
      <c r="DA38" s="1097"/>
      <c r="DB38" s="1097">
        <v>1</v>
      </c>
      <c r="DC38" s="782" t="s">
        <v>363</v>
      </c>
      <c r="DD38" s="782" t="s">
        <v>363</v>
      </c>
      <c r="DE38" s="862"/>
      <c r="DF38" s="867"/>
      <c r="DG38" s="887"/>
      <c r="DH38" s="888"/>
      <c r="DI38" s="888"/>
      <c r="DJ38" s="781"/>
      <c r="DK38" s="782"/>
      <c r="DL38" s="782"/>
      <c r="DM38" s="782"/>
      <c r="DN38" s="782"/>
      <c r="DO38" s="782"/>
      <c r="DP38" s="783"/>
      <c r="DQ38" s="885"/>
      <c r="DR38" s="886"/>
      <c r="DS38" s="197"/>
      <c r="DT38" s="840">
        <v>28</v>
      </c>
      <c r="DU38" s="841">
        <v>24.54</v>
      </c>
      <c r="DV38" s="842">
        <v>21.52</v>
      </c>
      <c r="DW38" s="843">
        <v>21.15</v>
      </c>
      <c r="DX38" s="842">
        <v>19.12</v>
      </c>
      <c r="DY38" s="844">
        <v>24</v>
      </c>
      <c r="DZ38" s="845"/>
      <c r="EA38" s="846">
        <v>10.5</v>
      </c>
      <c r="EB38" s="846">
        <v>97</v>
      </c>
      <c r="EC38" s="846"/>
      <c r="ED38" s="843">
        <v>10</v>
      </c>
      <c r="EE38" s="843">
        <v>2</v>
      </c>
      <c r="EF38" s="846"/>
      <c r="EG38" s="847">
        <v>490</v>
      </c>
      <c r="EH38" s="848" t="s">
        <v>0</v>
      </c>
      <c r="EI38" s="849"/>
      <c r="EJ38" s="849" t="s">
        <v>0</v>
      </c>
      <c r="EK38" s="849" t="s">
        <v>0</v>
      </c>
      <c r="EL38" s="847" t="s">
        <v>0</v>
      </c>
      <c r="EM38" s="850">
        <v>685</v>
      </c>
      <c r="EN38" s="849"/>
      <c r="EO38" s="849"/>
      <c r="EP38" s="851"/>
      <c r="EQ38" s="852"/>
      <c r="ER38" s="849"/>
      <c r="ES38" s="849"/>
      <c r="ET38" s="849"/>
      <c r="EU38" s="853"/>
      <c r="EV38" s="714">
        <v>62.3</v>
      </c>
      <c r="EW38" s="854">
        <v>9.98</v>
      </c>
      <c r="EX38" s="714">
        <v>12.08</v>
      </c>
      <c r="EY38" s="854">
        <v>1.0900000000000001</v>
      </c>
      <c r="EZ38" s="854">
        <v>3.06</v>
      </c>
      <c r="FA38" s="854">
        <v>0.79</v>
      </c>
      <c r="FB38" s="854">
        <v>0</v>
      </c>
      <c r="FC38" s="854">
        <v>2.73</v>
      </c>
      <c r="FD38" s="854">
        <v>30.18</v>
      </c>
      <c r="FE38" s="854">
        <v>0.14000000000000001</v>
      </c>
      <c r="FF38" s="854">
        <v>0.12</v>
      </c>
      <c r="FG38" s="854"/>
      <c r="FH38" s="854">
        <v>5.05</v>
      </c>
      <c r="FI38" s="855"/>
    </row>
    <row r="39" spans="1:165" ht="14.7" thickBot="1" x14ac:dyDescent="0.6">
      <c r="A39" t="s">
        <v>877</v>
      </c>
      <c r="E39" s="335"/>
      <c r="F39" s="335"/>
      <c r="G39" s="472"/>
      <c r="H39" s="335"/>
      <c r="I39" s="335"/>
      <c r="J39" s="335"/>
      <c r="BP39" s="866"/>
      <c r="BQ39" s="857">
        <v>29</v>
      </c>
      <c r="BR39" s="829">
        <v>10.6</v>
      </c>
      <c r="BS39" s="830">
        <v>0.55000000000000004</v>
      </c>
      <c r="BT39" s="831">
        <v>24</v>
      </c>
      <c r="BU39" s="832">
        <v>1.42</v>
      </c>
      <c r="BV39" s="832">
        <v>2.77</v>
      </c>
      <c r="BW39" s="832">
        <v>1.69</v>
      </c>
      <c r="BX39" s="832">
        <v>27.27</v>
      </c>
      <c r="BY39" s="832">
        <v>15.75</v>
      </c>
      <c r="BZ39" s="832">
        <v>31.75</v>
      </c>
      <c r="CA39" s="1092">
        <v>70</v>
      </c>
      <c r="CB39" s="1092">
        <v>0</v>
      </c>
      <c r="CC39" s="835">
        <f t="shared" si="0"/>
        <v>27.698688699999998</v>
      </c>
      <c r="CD39" s="835">
        <f t="shared" si="1"/>
        <v>28.8153349</v>
      </c>
      <c r="CE39" s="834">
        <v>8.26</v>
      </c>
      <c r="CF39" s="1098">
        <v>0.3458</v>
      </c>
      <c r="CG39" s="836">
        <v>0</v>
      </c>
      <c r="CH39" s="834">
        <v>0</v>
      </c>
      <c r="CI39" s="834">
        <v>0.78900000000000003</v>
      </c>
      <c r="CJ39" s="836"/>
      <c r="CK39"/>
      <c r="CL39" s="834">
        <v>0</v>
      </c>
      <c r="CM39" s="834"/>
      <c r="CN39" s="834"/>
      <c r="CO39" s="837"/>
      <c r="CP39" s="782">
        <v>0</v>
      </c>
      <c r="CQ39" s="834">
        <v>110</v>
      </c>
      <c r="CR39" s="834">
        <v>195</v>
      </c>
      <c r="CS39" s="834"/>
      <c r="CT39" s="834"/>
      <c r="CU39" s="1098">
        <v>6.8981000000000003</v>
      </c>
      <c r="CV39" s="1098">
        <v>7.3856999999999999</v>
      </c>
      <c r="CW39" s="1098">
        <v>2.5434999999999999</v>
      </c>
      <c r="CX39" s="1098">
        <v>2.5190000000000001</v>
      </c>
      <c r="CY39" s="838"/>
      <c r="CZ39" s="1097">
        <v>209.8</v>
      </c>
      <c r="DA39" s="1097" t="s">
        <v>367</v>
      </c>
      <c r="DB39" s="1097">
        <v>1</v>
      </c>
      <c r="DC39" s="782" t="s">
        <v>363</v>
      </c>
      <c r="DD39" s="782" t="s">
        <v>363</v>
      </c>
      <c r="DE39" s="862"/>
      <c r="DF39" s="867"/>
      <c r="DG39" s="887"/>
      <c r="DH39" s="888"/>
      <c r="DI39" s="888"/>
      <c r="DJ39" s="781"/>
      <c r="DK39" s="782"/>
      <c r="DL39" s="782"/>
      <c r="DM39" s="782"/>
      <c r="DN39" s="782"/>
      <c r="DO39" s="782"/>
      <c r="DP39" s="783"/>
      <c r="DQ39" s="885"/>
      <c r="DR39" s="886"/>
      <c r="DS39" s="197"/>
      <c r="DT39" s="840">
        <v>29</v>
      </c>
      <c r="DU39" s="841">
        <v>23.38</v>
      </c>
      <c r="DV39" s="842">
        <v>20.309999999999999</v>
      </c>
      <c r="DW39" s="843">
        <v>20.12</v>
      </c>
      <c r="DX39" s="842">
        <v>18.11</v>
      </c>
      <c r="DY39" s="844">
        <v>24</v>
      </c>
      <c r="DZ39" s="845"/>
      <c r="EA39" s="846">
        <v>5</v>
      </c>
      <c r="EB39" s="846">
        <v>97</v>
      </c>
      <c r="EC39" s="846"/>
      <c r="ED39" s="843">
        <v>10</v>
      </c>
      <c r="EE39" s="843">
        <v>3</v>
      </c>
      <c r="EF39" s="846"/>
      <c r="EG39" s="847">
        <v>730</v>
      </c>
      <c r="EH39" s="848" t="s">
        <v>0</v>
      </c>
      <c r="EI39" s="849"/>
      <c r="EJ39" s="849" t="s">
        <v>0</v>
      </c>
      <c r="EK39" s="849" t="s">
        <v>0</v>
      </c>
      <c r="EL39" s="847" t="s">
        <v>0</v>
      </c>
      <c r="EM39" s="850">
        <v>647</v>
      </c>
      <c r="EN39" s="849"/>
      <c r="EO39" s="849"/>
      <c r="EP39" s="851"/>
      <c r="EQ39" s="852"/>
      <c r="ER39" s="849"/>
      <c r="ES39" s="849"/>
      <c r="ET39" s="849"/>
      <c r="EU39" s="853"/>
      <c r="EV39" s="714">
        <v>62.05</v>
      </c>
      <c r="EW39" s="854">
        <v>10.15</v>
      </c>
      <c r="EX39" s="714">
        <v>11.77</v>
      </c>
      <c r="EY39" s="854">
        <v>1.0900000000000001</v>
      </c>
      <c r="EZ39" s="854">
        <v>2.52</v>
      </c>
      <c r="FA39" s="854">
        <v>0.78</v>
      </c>
      <c r="FB39" s="854">
        <v>0</v>
      </c>
      <c r="FC39" s="854">
        <v>3</v>
      </c>
      <c r="FD39" s="854">
        <v>30.17</v>
      </c>
      <c r="FE39" s="854">
        <v>0.13</v>
      </c>
      <c r="FF39" s="854">
        <v>0.11</v>
      </c>
      <c r="FG39" s="854"/>
      <c r="FH39" s="854">
        <v>4.95</v>
      </c>
      <c r="FI39" s="855"/>
    </row>
    <row r="40" spans="1:165" ht="14.7" thickBot="1" x14ac:dyDescent="0.6">
      <c r="E40" s="335"/>
      <c r="F40" s="335"/>
      <c r="G40" s="472"/>
      <c r="H40" s="335"/>
      <c r="I40" s="335"/>
      <c r="J40" s="335"/>
      <c r="BP40" s="866"/>
      <c r="BQ40" s="857">
        <v>30</v>
      </c>
      <c r="BR40" s="829">
        <v>13.1</v>
      </c>
      <c r="BS40" s="830">
        <v>0.64</v>
      </c>
      <c r="BT40" s="831">
        <v>24</v>
      </c>
      <c r="BU40" s="832">
        <v>0.78</v>
      </c>
      <c r="BV40" s="832">
        <v>1.29</v>
      </c>
      <c r="BW40" s="832">
        <v>0.66</v>
      </c>
      <c r="BX40" s="832">
        <v>24.5</v>
      </c>
      <c r="BY40" s="832">
        <v>15.5</v>
      </c>
      <c r="BZ40" s="832">
        <v>28.5</v>
      </c>
      <c r="CA40" s="833">
        <v>60</v>
      </c>
      <c r="CB40" s="834">
        <v>0</v>
      </c>
      <c r="CC40" s="835">
        <f t="shared" si="0"/>
        <v>27.157294100000001</v>
      </c>
      <c r="CD40" s="835">
        <f t="shared" si="1"/>
        <v>28.475457299999999</v>
      </c>
      <c r="CE40" s="834"/>
      <c r="CF40" s="1098">
        <v>0.496</v>
      </c>
      <c r="CG40" s="836">
        <v>0</v>
      </c>
      <c r="CH40" s="834">
        <v>0</v>
      </c>
      <c r="CI40" s="834">
        <v>0.77400000000000002</v>
      </c>
      <c r="CJ40" s="834"/>
      <c r="CK40"/>
      <c r="CL40" s="834"/>
      <c r="CN40" s="834"/>
      <c r="CO40" s="864"/>
      <c r="CP40" s="782"/>
      <c r="CQ40" s="834">
        <v>108</v>
      </c>
      <c r="CR40" s="834">
        <v>193</v>
      </c>
      <c r="CS40" s="834"/>
      <c r="CT40" s="834"/>
      <c r="CU40" s="1098">
        <v>6.6952999999999996</v>
      </c>
      <c r="CV40" s="1098">
        <v>7.3110999999999997</v>
      </c>
      <c r="CW40" s="1098">
        <v>2.5350000000000001</v>
      </c>
      <c r="CX40" s="1098">
        <v>2.4817</v>
      </c>
      <c r="CY40" s="838"/>
      <c r="CZ40" s="1097">
        <v>866.4</v>
      </c>
      <c r="DA40" s="1097"/>
      <c r="DB40" s="1097">
        <v>1</v>
      </c>
      <c r="DC40" s="782" t="s">
        <v>363</v>
      </c>
      <c r="DD40" s="782" t="s">
        <v>363</v>
      </c>
      <c r="DE40" s="862"/>
      <c r="DF40" s="867"/>
      <c r="DP40" s="783"/>
      <c r="DQ40" s="885"/>
      <c r="DR40" s="886"/>
      <c r="DS40" s="197"/>
      <c r="DT40" s="840">
        <v>30</v>
      </c>
      <c r="DU40" s="841">
        <v>23.51</v>
      </c>
      <c r="DV40" s="842">
        <v>20.45</v>
      </c>
      <c r="DW40" s="843">
        <v>20.37</v>
      </c>
      <c r="DX40" s="842">
        <v>17.14</v>
      </c>
      <c r="DY40" s="844">
        <v>24</v>
      </c>
      <c r="DZ40" s="845"/>
      <c r="EA40" s="846">
        <v>5</v>
      </c>
      <c r="EB40" s="846">
        <v>96</v>
      </c>
      <c r="EC40" s="846"/>
      <c r="ED40" s="843">
        <v>10</v>
      </c>
      <c r="EE40" s="843">
        <v>3</v>
      </c>
      <c r="EF40" s="846"/>
      <c r="EG40" s="847">
        <v>800</v>
      </c>
      <c r="EH40" s="848" t="s">
        <v>0</v>
      </c>
      <c r="EI40" s="849"/>
      <c r="EJ40" s="849" t="s">
        <v>0</v>
      </c>
      <c r="EK40" s="849" t="s">
        <v>0</v>
      </c>
      <c r="EL40" s="847" t="s">
        <v>0</v>
      </c>
      <c r="EM40" s="850">
        <v>635</v>
      </c>
      <c r="EN40" s="849"/>
      <c r="EO40" s="849"/>
      <c r="EP40" s="851"/>
      <c r="EQ40" s="852"/>
      <c r="ER40" s="849"/>
      <c r="ES40" s="849"/>
      <c r="ET40" s="849"/>
      <c r="EU40" s="853"/>
      <c r="EV40" s="714">
        <v>60.59</v>
      </c>
      <c r="EW40" s="854">
        <v>10.07</v>
      </c>
      <c r="EX40" s="714">
        <v>12.11</v>
      </c>
      <c r="EY40" s="854">
        <v>1</v>
      </c>
      <c r="EZ40" s="854">
        <v>2.7</v>
      </c>
      <c r="FA40" s="854">
        <v>0.81</v>
      </c>
      <c r="FB40" s="854">
        <v>0</v>
      </c>
      <c r="FC40" s="854">
        <v>2.88</v>
      </c>
      <c r="FD40" s="854">
        <v>30.13</v>
      </c>
      <c r="FE40" s="854">
        <v>0.13</v>
      </c>
      <c r="FF40" s="854">
        <v>0.12</v>
      </c>
      <c r="FG40" s="854"/>
      <c r="FH40" s="854">
        <v>4.8899999999999997</v>
      </c>
      <c r="FI40" s="855"/>
    </row>
    <row r="41" spans="1:165" ht="15.6" thickBot="1" x14ac:dyDescent="0.6">
      <c r="A41" s="890" t="s">
        <v>878</v>
      </c>
      <c r="B41" s="890"/>
      <c r="E41" s="335"/>
      <c r="F41" s="335"/>
      <c r="G41" s="472"/>
      <c r="H41" s="335"/>
      <c r="I41" s="335"/>
      <c r="J41" s="335"/>
      <c r="BP41" s="866"/>
      <c r="BQ41" s="891">
        <v>31</v>
      </c>
      <c r="BR41" s="892">
        <v>11.9</v>
      </c>
      <c r="BS41" s="841">
        <v>0.55000000000000004</v>
      </c>
      <c r="BT41" s="831">
        <v>24</v>
      </c>
      <c r="BU41" s="841">
        <v>0.99</v>
      </c>
      <c r="BV41" s="841">
        <v>1.36</v>
      </c>
      <c r="BW41" s="841">
        <v>0.68</v>
      </c>
      <c r="BX41" s="841">
        <v>26.5</v>
      </c>
      <c r="BY41" s="841">
        <v>15.5</v>
      </c>
      <c r="BZ41" s="841">
        <v>31.25</v>
      </c>
      <c r="CA41" s="833">
        <v>62</v>
      </c>
      <c r="CB41" s="834">
        <v>0</v>
      </c>
      <c r="CC41" s="835">
        <f t="shared" si="0"/>
        <v>27.355619699999998</v>
      </c>
      <c r="CD41" s="835">
        <f t="shared" si="1"/>
        <v>29.254015199999998</v>
      </c>
      <c r="CE41" s="834"/>
      <c r="CF41" s="1098">
        <v>0.54139999999999999</v>
      </c>
      <c r="CG41" s="836">
        <v>0</v>
      </c>
      <c r="CH41" s="834">
        <v>0</v>
      </c>
      <c r="CI41" s="834">
        <v>0.78600000000000003</v>
      </c>
      <c r="CJ41" s="893"/>
      <c r="CK41" s="834"/>
      <c r="CL41" s="834"/>
      <c r="CM41" s="834"/>
      <c r="CN41" s="834"/>
      <c r="CO41" s="864"/>
      <c r="CP41" s="782"/>
      <c r="CQ41" s="834">
        <v>108</v>
      </c>
      <c r="CR41" s="834">
        <v>193</v>
      </c>
      <c r="CS41" s="834"/>
      <c r="CT41" s="834"/>
      <c r="CU41" s="1098">
        <v>6.7457000000000003</v>
      </c>
      <c r="CV41" s="1098">
        <v>7.5472000000000001</v>
      </c>
      <c r="CW41" s="1098">
        <v>2.5526</v>
      </c>
      <c r="CX41" s="1098">
        <v>2.5276000000000001</v>
      </c>
      <c r="CY41" s="838"/>
      <c r="CZ41" s="1097">
        <v>410.6</v>
      </c>
      <c r="DA41" s="1097" t="s">
        <v>367</v>
      </c>
      <c r="DB41" s="1097">
        <v>1</v>
      </c>
      <c r="DC41" s="782" t="s">
        <v>363</v>
      </c>
      <c r="DD41" s="782" t="s">
        <v>363</v>
      </c>
      <c r="DE41" s="894"/>
      <c r="DF41" s="895"/>
      <c r="DP41" s="783"/>
      <c r="DQ41" s="885"/>
      <c r="DR41" s="886"/>
      <c r="DS41" s="197"/>
      <c r="DT41" s="840">
        <v>31</v>
      </c>
      <c r="DU41" s="841">
        <v>23.45</v>
      </c>
      <c r="DV41" s="842">
        <v>20.170000000000002</v>
      </c>
      <c r="DW41" s="843">
        <v>19.98</v>
      </c>
      <c r="DX41" s="844">
        <v>19.05</v>
      </c>
      <c r="DY41" s="844">
        <v>24</v>
      </c>
      <c r="DZ41" s="845"/>
      <c r="EA41" s="846">
        <v>6.5</v>
      </c>
      <c r="EB41" s="846">
        <v>94.5</v>
      </c>
      <c r="EC41" s="846"/>
      <c r="ED41" s="843">
        <v>10</v>
      </c>
      <c r="EE41" s="843">
        <v>2</v>
      </c>
      <c r="EF41" s="846"/>
      <c r="EG41" s="853">
        <v>500</v>
      </c>
      <c r="EH41" s="844"/>
      <c r="EI41" s="844"/>
      <c r="EJ41" s="844"/>
      <c r="EK41" s="853"/>
      <c r="EL41" s="847" t="s">
        <v>0</v>
      </c>
      <c r="EM41" s="850">
        <v>645</v>
      </c>
      <c r="EN41" s="849"/>
      <c r="EO41" s="849"/>
      <c r="EP41" s="851"/>
      <c r="EQ41" s="852"/>
      <c r="ER41" s="849"/>
      <c r="ES41" s="849"/>
      <c r="ET41" s="849"/>
      <c r="EU41" s="853"/>
      <c r="EV41" s="714">
        <v>61.9</v>
      </c>
      <c r="EW41" s="854">
        <v>9.82</v>
      </c>
      <c r="EX41" s="714">
        <v>12.37</v>
      </c>
      <c r="EY41" s="854">
        <v>1.03</v>
      </c>
      <c r="EZ41" s="854">
        <v>2.4900000000000002</v>
      </c>
      <c r="FA41" s="854">
        <v>0.82</v>
      </c>
      <c r="FB41" s="854">
        <v>0</v>
      </c>
      <c r="FC41" s="854">
        <v>2.9</v>
      </c>
      <c r="FD41" s="854">
        <v>30.19</v>
      </c>
      <c r="FE41" s="854">
        <v>0.12</v>
      </c>
      <c r="FF41" s="854">
        <v>0.11</v>
      </c>
      <c r="FG41" s="854"/>
      <c r="FH41" s="854">
        <v>4.9400000000000004</v>
      </c>
      <c r="FI41" s="855"/>
    </row>
    <row r="42" spans="1:165" ht="14.7" thickBot="1" x14ac:dyDescent="0.6">
      <c r="E42" s="335"/>
      <c r="F42" s="335"/>
      <c r="G42" s="472"/>
      <c r="H42" s="335"/>
      <c r="I42" s="335"/>
      <c r="J42" s="335"/>
      <c r="BQ42" s="896" t="s">
        <v>879</v>
      </c>
      <c r="BR42" s="896"/>
      <c r="BS42" s="896"/>
      <c r="BT42" s="896"/>
      <c r="BU42" s="896"/>
      <c r="BV42" s="896"/>
      <c r="BW42" s="896"/>
      <c r="BX42" s="896"/>
      <c r="BY42" s="896"/>
      <c r="BZ42" s="896"/>
      <c r="CA42" s="897">
        <f>SUM(CA12:CA41)</f>
        <v>2505</v>
      </c>
      <c r="CB42" s="897">
        <f t="shared" ref="CB42:CI42" si="2">SUM(CB11:CB41)</f>
        <v>0</v>
      </c>
      <c r="CC42" s="898">
        <f t="shared" si="2"/>
        <v>833.22174270000005</v>
      </c>
      <c r="CD42" s="898">
        <f t="shared" si="2"/>
        <v>863.50759250000021</v>
      </c>
      <c r="CE42" s="897">
        <f t="shared" si="2"/>
        <v>183.2</v>
      </c>
      <c r="CF42" s="897">
        <f t="shared" si="2"/>
        <v>21.418799999999997</v>
      </c>
      <c r="CG42" s="897">
        <f t="shared" si="2"/>
        <v>5.91E-2</v>
      </c>
      <c r="CH42" s="897">
        <f t="shared" si="2"/>
        <v>0</v>
      </c>
      <c r="CI42" s="897">
        <f t="shared" si="2"/>
        <v>23.960000000000008</v>
      </c>
      <c r="CJ42" s="900">
        <f t="shared" ref="CJ42:DF42" si="3">SUM(CJ11:CJ41)</f>
        <v>10.4</v>
      </c>
      <c r="CK42" s="900">
        <f t="shared" si="3"/>
        <v>61.400000000000006</v>
      </c>
      <c r="CL42" s="897">
        <f t="shared" si="3"/>
        <v>0</v>
      </c>
      <c r="CM42" s="899">
        <f t="shared" si="3"/>
        <v>0</v>
      </c>
      <c r="CN42" s="901">
        <f>SUM(CN11:CN41)</f>
        <v>1.028</v>
      </c>
      <c r="CO42" s="901">
        <f>SUM(CO11:CO41)</f>
        <v>2.64384</v>
      </c>
      <c r="CP42" s="901">
        <f>SUM(CP11:CP41)</f>
        <v>0</v>
      </c>
      <c r="CQ42" s="900">
        <f>SUM(CQ11:CQ41)</f>
        <v>3254</v>
      </c>
      <c r="CR42" s="900">
        <f t="shared" si="3"/>
        <v>5849</v>
      </c>
      <c r="CS42" s="901">
        <f t="shared" si="3"/>
        <v>0</v>
      </c>
      <c r="CT42" s="901">
        <f t="shared" si="3"/>
        <v>0</v>
      </c>
      <c r="CU42" s="902">
        <f t="shared" si="3"/>
        <v>203.26709999999997</v>
      </c>
      <c r="CV42" s="902">
        <v>7.9829999999999997</v>
      </c>
      <c r="CW42" s="902">
        <f>SUM(CW11:CW41)</f>
        <v>79.082999999999984</v>
      </c>
      <c r="CX42" s="902">
        <f t="shared" si="3"/>
        <v>76.458600000000004</v>
      </c>
      <c r="CY42" s="902"/>
      <c r="CZ42" s="903" t="e">
        <f>SUM(#REF!)</f>
        <v>#REF!</v>
      </c>
      <c r="DA42" s="904"/>
      <c r="DB42" s="903" t="e">
        <f>SUM(#REF!)</f>
        <v>#REF!</v>
      </c>
      <c r="DC42" s="903">
        <f t="shared" si="3"/>
        <v>0</v>
      </c>
      <c r="DD42" s="903">
        <f t="shared" si="3"/>
        <v>0</v>
      </c>
      <c r="DE42" s="899">
        <f t="shared" si="3"/>
        <v>4.8000000000000001E-2</v>
      </c>
      <c r="DF42" s="899">
        <f t="shared" si="3"/>
        <v>0</v>
      </c>
      <c r="DP42" s="783"/>
      <c r="DQ42" s="885"/>
      <c r="DR42" s="762"/>
      <c r="DS42" s="197"/>
    </row>
    <row r="43" spans="1:165" ht="16.8" thickBot="1" x14ac:dyDescent="0.65">
      <c r="E43" s="335"/>
      <c r="F43" s="335"/>
      <c r="G43" s="472"/>
      <c r="H43" s="335"/>
      <c r="I43" s="335"/>
      <c r="J43" s="335"/>
      <c r="BQ43" s="905" t="s">
        <v>61</v>
      </c>
      <c r="BR43" s="905"/>
      <c r="BS43" s="905"/>
      <c r="BT43" s="905"/>
      <c r="BU43" s="905"/>
      <c r="BV43" s="905"/>
      <c r="BW43" s="905"/>
      <c r="BX43" s="905"/>
      <c r="BY43" s="905"/>
      <c r="BZ43" s="905"/>
      <c r="CA43" s="906">
        <f>AVERAGE(CA12:CA41)</f>
        <v>83.5</v>
      </c>
      <c r="CB43" s="906">
        <f t="shared" ref="CB43:CI43" si="4">AVERAGE(CB11:CB41)</f>
        <v>0</v>
      </c>
      <c r="CC43" s="907">
        <f t="shared" si="4"/>
        <v>26.878120732258065</v>
      </c>
      <c r="CD43" s="907">
        <f t="shared" si="4"/>
        <v>27.855083629032265</v>
      </c>
      <c r="CE43" s="906">
        <f t="shared" si="4"/>
        <v>9.16</v>
      </c>
      <c r="CF43" s="906">
        <f t="shared" si="4"/>
        <v>0.69092903225806446</v>
      </c>
      <c r="CG43" s="906">
        <f t="shared" si="4"/>
        <v>1.9064516129032258E-3</v>
      </c>
      <c r="CH43" s="906">
        <f t="shared" si="4"/>
        <v>0</v>
      </c>
      <c r="CI43" s="906">
        <f t="shared" si="4"/>
        <v>0.77290322580645188</v>
      </c>
      <c r="CJ43" s="908">
        <f t="shared" ref="CJ43:DF43" si="5">AVERAGE(CJ11:CJ41)</f>
        <v>10.4</v>
      </c>
      <c r="CK43" s="908">
        <f t="shared" si="5"/>
        <v>12.280000000000001</v>
      </c>
      <c r="CL43" s="906">
        <f t="shared" si="5"/>
        <v>0</v>
      </c>
      <c r="CM43" s="909">
        <f t="shared" si="5"/>
        <v>0</v>
      </c>
      <c r="CN43" s="909">
        <f>AVERAGE(CN11:CN41)</f>
        <v>0.25700000000000001</v>
      </c>
      <c r="CO43" s="909">
        <f>AVERAGE(CO11:CO41)</f>
        <v>0.66095999999999999</v>
      </c>
      <c r="CP43" s="909">
        <f>AVERAGE(CP11:CP41)</f>
        <v>0</v>
      </c>
      <c r="CQ43" s="908">
        <f>AVERAGE(CQ11:CQ41)</f>
        <v>104.96774193548387</v>
      </c>
      <c r="CR43" s="908">
        <f t="shared" si="5"/>
        <v>188.67741935483872</v>
      </c>
      <c r="CS43" s="909">
        <f t="shared" si="5"/>
        <v>0</v>
      </c>
      <c r="CT43" s="909">
        <f t="shared" si="5"/>
        <v>0</v>
      </c>
      <c r="CU43" s="910">
        <f t="shared" si="5"/>
        <v>6.5570032258064508</v>
      </c>
      <c r="CV43" s="910">
        <f t="shared" si="5"/>
        <v>7.0878741935483864</v>
      </c>
      <c r="CW43" s="910">
        <f>AVERAGE(CW11:CW41)</f>
        <v>2.5510645161290317</v>
      </c>
      <c r="CX43" s="910">
        <f t="shared" si="5"/>
        <v>2.4664064516129032</v>
      </c>
      <c r="CY43" s="910"/>
      <c r="CZ43" s="911" t="e">
        <f>AVERAGE(#REF!)</f>
        <v>#REF!</v>
      </c>
      <c r="DA43" s="912"/>
      <c r="DB43" s="911" t="e">
        <f>AVERAGE(#REF!)</f>
        <v>#REF!</v>
      </c>
      <c r="DC43" s="911" t="e">
        <f t="shared" si="5"/>
        <v>#DIV/0!</v>
      </c>
      <c r="DD43" s="911" t="e">
        <f t="shared" si="5"/>
        <v>#DIV/0!</v>
      </c>
      <c r="DE43" s="909">
        <f t="shared" si="5"/>
        <v>4.8000000000000001E-2</v>
      </c>
      <c r="DF43" s="909" t="e">
        <f t="shared" si="5"/>
        <v>#DIV/0!</v>
      </c>
      <c r="DP43" s="783"/>
      <c r="DQ43" s="885"/>
      <c r="DR43" s="762"/>
    </row>
    <row r="44" spans="1:165" ht="14.7" thickBot="1" x14ac:dyDescent="0.6">
      <c r="C44" t="s">
        <v>880</v>
      </c>
      <c r="E44" s="335"/>
      <c r="F44" s="335"/>
      <c r="G44" s="472"/>
      <c r="H44" s="335"/>
      <c r="I44" s="335"/>
      <c r="J44" s="335"/>
      <c r="BQ44" s="913" t="s">
        <v>62</v>
      </c>
      <c r="BR44" s="913"/>
      <c r="BS44" s="913"/>
      <c r="BT44" s="913"/>
      <c r="BU44" s="913"/>
      <c r="BV44" s="913"/>
      <c r="BW44" s="913"/>
      <c r="BX44" s="913"/>
      <c r="BY44" s="913"/>
      <c r="BZ44" s="913"/>
      <c r="CA44" s="914">
        <f>MAX(CA12:CA41)</f>
        <v>119</v>
      </c>
      <c r="CB44" s="914">
        <f t="shared" ref="CB44:CI44" si="6">MAX(CB11:CB41)</f>
        <v>0</v>
      </c>
      <c r="CC44" s="915">
        <f t="shared" si="6"/>
        <v>28.478438500000003</v>
      </c>
      <c r="CD44" s="915">
        <f t="shared" si="6"/>
        <v>30.058959400000003</v>
      </c>
      <c r="CE44" s="914">
        <f t="shared" si="6"/>
        <v>10</v>
      </c>
      <c r="CF44" s="914">
        <f t="shared" si="6"/>
        <v>1.2061999999999999</v>
      </c>
      <c r="CG44" s="914">
        <f t="shared" si="6"/>
        <v>5.91E-2</v>
      </c>
      <c r="CH44" s="914">
        <f t="shared" si="6"/>
        <v>0</v>
      </c>
      <c r="CI44" s="914">
        <f t="shared" si="6"/>
        <v>0.83599999999999997</v>
      </c>
      <c r="CJ44" s="916">
        <f t="shared" ref="CJ44:DF44" si="7">MAX(CJ11:CJ41)</f>
        <v>10.4</v>
      </c>
      <c r="CK44" s="916">
        <f t="shared" si="7"/>
        <v>14.1</v>
      </c>
      <c r="CL44" s="914">
        <f t="shared" si="7"/>
        <v>0</v>
      </c>
      <c r="CM44" s="901">
        <f t="shared" si="7"/>
        <v>0</v>
      </c>
      <c r="CN44" s="901">
        <f>MAX(CN11:CN41)</f>
        <v>0.27700000000000002</v>
      </c>
      <c r="CO44" s="901">
        <f>MAX(CO11:CO41)</f>
        <v>0.71297999999999995</v>
      </c>
      <c r="CP44" s="901">
        <f>MAX(CP11:CP41)</f>
        <v>0</v>
      </c>
      <c r="CQ44" s="916">
        <f>MAX(CQ11:CQ41)</f>
        <v>115</v>
      </c>
      <c r="CR44" s="916">
        <f t="shared" si="7"/>
        <v>200</v>
      </c>
      <c r="CS44" s="901">
        <f t="shared" si="7"/>
        <v>0</v>
      </c>
      <c r="CT44" s="901">
        <f t="shared" si="7"/>
        <v>0</v>
      </c>
      <c r="CU44" s="902">
        <f t="shared" si="7"/>
        <v>7.0791000000000004</v>
      </c>
      <c r="CV44" s="902">
        <f t="shared" si="7"/>
        <v>7.7782</v>
      </c>
      <c r="CW44" s="902">
        <f>MAX(CW11:CW41)</f>
        <v>2.6667000000000001</v>
      </c>
      <c r="CX44" s="902">
        <f t="shared" si="7"/>
        <v>2.5830000000000002</v>
      </c>
      <c r="CY44" s="902"/>
      <c r="CZ44" s="903" t="e">
        <f>MAX(#REF!)</f>
        <v>#REF!</v>
      </c>
      <c r="DA44" s="904"/>
      <c r="DB44" s="903" t="e">
        <f>MAX(#REF!)</f>
        <v>#REF!</v>
      </c>
      <c r="DC44" s="903">
        <f t="shared" si="7"/>
        <v>0</v>
      </c>
      <c r="DD44" s="903">
        <f t="shared" si="7"/>
        <v>0</v>
      </c>
      <c r="DE44" s="901">
        <f t="shared" si="7"/>
        <v>4.8000000000000001E-2</v>
      </c>
      <c r="DF44" s="901">
        <f t="shared" si="7"/>
        <v>0</v>
      </c>
      <c r="DP44" s="783"/>
      <c r="DQ44" s="885"/>
      <c r="DR44" s="762"/>
    </row>
    <row r="45" spans="1:165" ht="14.7" thickBot="1" x14ac:dyDescent="0.6">
      <c r="A45" t="s">
        <v>881</v>
      </c>
      <c r="E45" s="335"/>
      <c r="F45" s="335"/>
      <c r="G45" s="472"/>
      <c r="H45" s="335"/>
      <c r="I45" s="335"/>
      <c r="J45" s="335"/>
      <c r="BQ45" s="913" t="s">
        <v>63</v>
      </c>
      <c r="BR45" s="913"/>
      <c r="BS45" s="913"/>
      <c r="BT45" s="913"/>
      <c r="BU45" s="913"/>
      <c r="BV45" s="913"/>
      <c r="BW45" s="913"/>
      <c r="BX45" s="913"/>
      <c r="BY45" s="913"/>
      <c r="BZ45" s="913"/>
      <c r="CA45" s="914">
        <f>MIN(CA12:CA41)</f>
        <v>58</v>
      </c>
      <c r="CB45" s="914">
        <f t="shared" ref="CB45:CI45" si="8">MIN(CB11:CB41)</f>
        <v>0</v>
      </c>
      <c r="CC45" s="915">
        <f t="shared" si="8"/>
        <v>24.1623214</v>
      </c>
      <c r="CD45" s="915">
        <f t="shared" si="8"/>
        <v>25.572814000000001</v>
      </c>
      <c r="CE45" s="914">
        <f t="shared" si="8"/>
        <v>8.26</v>
      </c>
      <c r="CF45" s="914">
        <f t="shared" si="8"/>
        <v>0.3458</v>
      </c>
      <c r="CG45" s="914">
        <f t="shared" si="8"/>
        <v>0</v>
      </c>
      <c r="CH45" s="914">
        <f t="shared" si="8"/>
        <v>0</v>
      </c>
      <c r="CI45" s="914">
        <f t="shared" si="8"/>
        <v>0.69499999999999995</v>
      </c>
      <c r="CJ45" s="916">
        <f t="shared" ref="CJ45:DF45" si="9">MIN(CJ11:CJ41)</f>
        <v>10.4</v>
      </c>
      <c r="CK45" s="916">
        <f t="shared" si="9"/>
        <v>10.9</v>
      </c>
      <c r="CL45" s="914">
        <f t="shared" si="9"/>
        <v>0</v>
      </c>
      <c r="CM45" s="901">
        <f t="shared" si="9"/>
        <v>0</v>
      </c>
      <c r="CN45" s="901">
        <f>MIN(CN11:CN41)</f>
        <v>0.24299999999999999</v>
      </c>
      <c r="CO45" s="901">
        <f>MIN(CO11:CO41)</f>
        <v>0.63341999999999998</v>
      </c>
      <c r="CP45" s="901">
        <f>MIN(CP11:CP41)</f>
        <v>0</v>
      </c>
      <c r="CQ45" s="916">
        <f>MIN(CQ11:CQ41)</f>
        <v>92</v>
      </c>
      <c r="CR45" s="916">
        <f t="shared" si="9"/>
        <v>175</v>
      </c>
      <c r="CS45" s="901">
        <f t="shared" si="9"/>
        <v>0</v>
      </c>
      <c r="CT45" s="901">
        <f t="shared" si="9"/>
        <v>0</v>
      </c>
      <c r="CU45" s="902">
        <f t="shared" si="9"/>
        <v>5.6597999999999997</v>
      </c>
      <c r="CV45" s="902">
        <f t="shared" si="9"/>
        <v>6.3952</v>
      </c>
      <c r="CW45" s="902">
        <f>MIN(CW11:CW41)</f>
        <v>2.4356</v>
      </c>
      <c r="CX45" s="902">
        <f t="shared" si="9"/>
        <v>2.3321999999999998</v>
      </c>
      <c r="CY45" s="902"/>
      <c r="CZ45" s="903" t="e">
        <f>MIN(#REF!)</f>
        <v>#REF!</v>
      </c>
      <c r="DA45" s="904"/>
      <c r="DB45" s="903" t="e">
        <f>MIN(#REF!)</f>
        <v>#REF!</v>
      </c>
      <c r="DC45" s="903">
        <f t="shared" si="9"/>
        <v>0</v>
      </c>
      <c r="DD45" s="903">
        <f t="shared" si="9"/>
        <v>0</v>
      </c>
      <c r="DE45" s="901">
        <f t="shared" si="9"/>
        <v>4.8000000000000001E-2</v>
      </c>
      <c r="DF45" s="901">
        <f t="shared" si="9"/>
        <v>0</v>
      </c>
      <c r="DG45" s="836">
        <f>COUNTA(DG7:DG30)</f>
        <v>24</v>
      </c>
      <c r="DP45" s="783"/>
      <c r="DQ45" s="885"/>
      <c r="DR45" s="762"/>
    </row>
    <row r="46" spans="1:165" ht="14.4" x14ac:dyDescent="0.55000000000000004">
      <c r="A46" t="s">
        <v>882</v>
      </c>
      <c r="E46" s="335"/>
      <c r="F46" s="335"/>
      <c r="G46" s="472"/>
      <c r="H46" s="335"/>
      <c r="I46" s="335"/>
      <c r="J46" s="335"/>
      <c r="CL46" s="917"/>
      <c r="DP46" s="783"/>
      <c r="DQ46" s="885"/>
      <c r="DR46" s="762"/>
    </row>
    <row r="47" spans="1:165" ht="14.1" x14ac:dyDescent="0.5">
      <c r="A47" t="s">
        <v>883</v>
      </c>
      <c r="E47" s="335"/>
      <c r="F47" s="335"/>
      <c r="G47" s="472"/>
      <c r="H47" s="335"/>
      <c r="I47" s="335"/>
      <c r="J47" s="335"/>
      <c r="CL47" s="918"/>
      <c r="CZ47" s="335"/>
    </row>
    <row r="48" spans="1:165" ht="16.5" x14ac:dyDescent="0.6">
      <c r="A48" t="s">
        <v>884</v>
      </c>
      <c r="E48" s="335"/>
      <c r="F48" s="335"/>
      <c r="G48" s="472"/>
      <c r="H48" s="335"/>
      <c r="I48" s="335"/>
      <c r="J48" s="335"/>
      <c r="CL48" s="919"/>
    </row>
    <row r="49" spans="1:106" ht="14.1" x14ac:dyDescent="0.5">
      <c r="E49" s="335"/>
      <c r="F49" s="335"/>
      <c r="G49" s="472"/>
      <c r="H49" s="335"/>
      <c r="I49" s="335"/>
      <c r="J49" s="335"/>
      <c r="CL49" s="918"/>
    </row>
    <row r="50" spans="1:106" ht="14.1" x14ac:dyDescent="0.5">
      <c r="C50" t="s">
        <v>885</v>
      </c>
      <c r="E50" s="335"/>
      <c r="F50" s="335"/>
      <c r="G50" s="472"/>
      <c r="H50" s="335"/>
      <c r="I50" s="335"/>
      <c r="J50" s="335"/>
      <c r="CL50" s="918"/>
    </row>
    <row r="51" spans="1:106" x14ac:dyDescent="0.4">
      <c r="A51" t="s">
        <v>886</v>
      </c>
      <c r="E51" s="335"/>
      <c r="F51" s="335"/>
      <c r="G51" s="472"/>
      <c r="H51" s="335"/>
      <c r="I51" s="335"/>
      <c r="J51" s="335"/>
    </row>
    <row r="52" spans="1:106" x14ac:dyDescent="0.4">
      <c r="A52" t="s">
        <v>887</v>
      </c>
      <c r="E52" s="335"/>
      <c r="F52" s="335"/>
      <c r="G52" s="472"/>
      <c r="H52" s="335"/>
      <c r="I52" s="335"/>
      <c r="J52" s="335"/>
      <c r="DB52" s="682" t="s">
        <v>888</v>
      </c>
    </row>
    <row r="53" spans="1:106" x14ac:dyDescent="0.4">
      <c r="A53" t="s">
        <v>889</v>
      </c>
      <c r="E53" s="335"/>
      <c r="F53" s="335"/>
      <c r="G53" s="472"/>
      <c r="H53" s="335"/>
      <c r="I53" s="335"/>
      <c r="J53" s="335"/>
    </row>
    <row r="54" spans="1:106" x14ac:dyDescent="0.4">
      <c r="E54" s="335"/>
      <c r="F54" s="335"/>
      <c r="G54" s="472"/>
      <c r="H54" s="335"/>
      <c r="I54" s="335"/>
      <c r="J54" s="335"/>
    </row>
    <row r="55" spans="1:106" x14ac:dyDescent="0.4">
      <c r="C55" t="s">
        <v>890</v>
      </c>
      <c r="E55" s="335"/>
      <c r="F55" s="335"/>
      <c r="G55" s="472"/>
      <c r="H55" s="335"/>
      <c r="I55" s="335"/>
      <c r="J55" s="335"/>
    </row>
    <row r="56" spans="1:106" ht="5.25" customHeight="1" x14ac:dyDescent="0.4">
      <c r="E56" s="335"/>
      <c r="F56" s="335"/>
      <c r="G56" s="472"/>
      <c r="H56" s="335"/>
      <c r="I56" s="335"/>
      <c r="J56" s="335"/>
    </row>
    <row r="57" spans="1:106" x14ac:dyDescent="0.4">
      <c r="E57" s="920" t="s">
        <v>891</v>
      </c>
      <c r="F57" s="335"/>
      <c r="G57" s="472"/>
      <c r="H57" s="335"/>
      <c r="I57" s="335"/>
      <c r="J57" s="335"/>
    </row>
    <row r="58" spans="1:106" x14ac:dyDescent="0.4">
      <c r="E58" s="920" t="s">
        <v>892</v>
      </c>
      <c r="F58" s="335"/>
      <c r="G58" s="472"/>
      <c r="H58" s="335"/>
      <c r="I58" s="335"/>
      <c r="J58" s="335"/>
    </row>
    <row r="59" spans="1:106" ht="6.75" customHeight="1" x14ac:dyDescent="0.4">
      <c r="E59" s="921"/>
      <c r="F59" s="335"/>
      <c r="G59" s="472"/>
      <c r="H59" s="335"/>
      <c r="I59" s="335"/>
      <c r="J59" s="335"/>
    </row>
    <row r="60" spans="1:106" x14ac:dyDescent="0.4">
      <c r="E60" s="920" t="s">
        <v>893</v>
      </c>
      <c r="F60" s="335"/>
      <c r="G60" s="472"/>
      <c r="H60" s="335"/>
      <c r="I60" s="335"/>
      <c r="J60" s="335"/>
    </row>
    <row r="61" spans="1:106" x14ac:dyDescent="0.4">
      <c r="E61" s="920" t="s">
        <v>894</v>
      </c>
      <c r="F61" s="335"/>
      <c r="G61" s="472"/>
      <c r="H61" s="335"/>
      <c r="I61" s="335"/>
      <c r="J61" s="335"/>
    </row>
    <row r="62" spans="1:106" x14ac:dyDescent="0.4">
      <c r="E62" s="335"/>
      <c r="F62" s="335"/>
      <c r="G62" s="472"/>
      <c r="H62" s="335"/>
      <c r="I62" s="335"/>
      <c r="J62" s="335"/>
    </row>
    <row r="63" spans="1:106" x14ac:dyDescent="0.4">
      <c r="A63" t="str">
        <f>A39</f>
        <v>___________________________________________________________________________________________________________________________________________________________________________</v>
      </c>
      <c r="E63" s="335"/>
      <c r="F63" s="335"/>
      <c r="G63" s="472"/>
      <c r="H63" s="335"/>
      <c r="I63" s="335"/>
      <c r="J63" s="335"/>
    </row>
    <row r="64" spans="1:106" x14ac:dyDescent="0.4">
      <c r="E64" s="335"/>
      <c r="F64" s="335"/>
      <c r="G64" s="472"/>
      <c r="H64" s="335"/>
      <c r="I64" s="335"/>
      <c r="J64" s="335"/>
    </row>
    <row r="65" spans="1:10" ht="15" x14ac:dyDescent="0.5">
      <c r="A65" s="890" t="s">
        <v>895</v>
      </c>
      <c r="B65" s="890"/>
      <c r="E65" s="335"/>
      <c r="F65" s="335"/>
      <c r="G65" s="472"/>
      <c r="H65" s="335"/>
      <c r="I65" s="335"/>
      <c r="J65" s="335"/>
    </row>
    <row r="66" spans="1:10" ht="15" x14ac:dyDescent="0.5">
      <c r="A66" s="890"/>
      <c r="B66" s="890"/>
      <c r="E66" s="335"/>
      <c r="F66" s="335"/>
      <c r="G66" s="472"/>
      <c r="H66" s="335"/>
      <c r="I66" s="335"/>
      <c r="J66" s="335"/>
    </row>
    <row r="67" spans="1:10" x14ac:dyDescent="0.4">
      <c r="D67" s="680"/>
    </row>
    <row r="69" spans="1:10" ht="12.6" x14ac:dyDescent="0.45">
      <c r="C69" t="s">
        <v>896</v>
      </c>
    </row>
    <row r="70" spans="1:10" ht="9" customHeight="1" x14ac:dyDescent="0.4"/>
    <row r="71" spans="1:10" x14ac:dyDescent="0.4">
      <c r="D71" t="s">
        <v>897</v>
      </c>
      <c r="E71" t="s">
        <v>898</v>
      </c>
    </row>
    <row r="72" spans="1:10" x14ac:dyDescent="0.4">
      <c r="D72" t="s">
        <v>899</v>
      </c>
      <c r="E72" t="s">
        <v>900</v>
      </c>
    </row>
    <row r="73" spans="1:10" x14ac:dyDescent="0.4">
      <c r="D73" t="s">
        <v>901</v>
      </c>
      <c r="E73" t="s">
        <v>902</v>
      </c>
    </row>
    <row r="74" spans="1:10" x14ac:dyDescent="0.4">
      <c r="D74" t="s">
        <v>903</v>
      </c>
      <c r="E74" t="s">
        <v>904</v>
      </c>
    </row>
    <row r="75" spans="1:10" ht="9" customHeight="1" x14ac:dyDescent="0.4"/>
    <row r="76" spans="1:10" ht="12.6" x14ac:dyDescent="0.45">
      <c r="C76" t="s">
        <v>905</v>
      </c>
    </row>
    <row r="77" spans="1:10" ht="9" customHeight="1" x14ac:dyDescent="0.4"/>
    <row r="78" spans="1:10" x14ac:dyDescent="0.4">
      <c r="D78" t="s">
        <v>906</v>
      </c>
      <c r="E78" t="s">
        <v>907</v>
      </c>
    </row>
    <row r="79" spans="1:10" x14ac:dyDescent="0.4">
      <c r="D79" t="s">
        <v>908</v>
      </c>
      <c r="E79" t="s">
        <v>909</v>
      </c>
    </row>
    <row r="80" spans="1:10" x14ac:dyDescent="0.4">
      <c r="D80" t="s">
        <v>899</v>
      </c>
      <c r="E80" t="s">
        <v>910</v>
      </c>
    </row>
    <row r="81" spans="1:11" x14ac:dyDescent="0.4">
      <c r="D81" t="s">
        <v>911</v>
      </c>
      <c r="E81" t="s">
        <v>912</v>
      </c>
    </row>
    <row r="82" spans="1:11" x14ac:dyDescent="0.4">
      <c r="D82" t="s">
        <v>903</v>
      </c>
      <c r="E82" t="s">
        <v>913</v>
      </c>
    </row>
    <row r="84" spans="1:11" ht="12.6" x14ac:dyDescent="0.45">
      <c r="C84" t="s">
        <v>914</v>
      </c>
    </row>
    <row r="85" spans="1:11" ht="12.6" x14ac:dyDescent="0.45">
      <c r="A85" t="s">
        <v>915</v>
      </c>
    </row>
    <row r="87" spans="1:11" x14ac:dyDescent="0.4">
      <c r="C87" s="922"/>
    </row>
    <row r="88" spans="1:11" ht="12.75" customHeight="1" x14ac:dyDescent="0.4">
      <c r="K88" s="923"/>
    </row>
    <row r="89" spans="1:11" x14ac:dyDescent="0.4">
      <c r="D89" s="924" t="s">
        <v>916</v>
      </c>
      <c r="F89" s="925">
        <v>0.14000000000000001</v>
      </c>
      <c r="H89" s="680" t="s">
        <v>917</v>
      </c>
      <c r="J89" s="926"/>
      <c r="K89" s="927">
        <v>0.7</v>
      </c>
    </row>
    <row r="90" spans="1:11" x14ac:dyDescent="0.4">
      <c r="D90" s="924" t="s">
        <v>918</v>
      </c>
      <c r="F90" s="925">
        <v>0.68</v>
      </c>
      <c r="H90" s="680" t="s">
        <v>919</v>
      </c>
      <c r="K90" s="925">
        <v>0.5</v>
      </c>
    </row>
    <row r="91" spans="1:11" x14ac:dyDescent="0.4">
      <c r="D91" s="924" t="s">
        <v>920</v>
      </c>
      <c r="F91" s="925">
        <v>1</v>
      </c>
      <c r="H91" s="680" t="s">
        <v>921</v>
      </c>
      <c r="K91" s="925"/>
    </row>
    <row r="93" spans="1:11" x14ac:dyDescent="0.4">
      <c r="A93" t="str">
        <f>A39</f>
        <v>___________________________________________________________________________________________________________________________________________________________________________</v>
      </c>
    </row>
    <row r="95" spans="1:11" ht="15" x14ac:dyDescent="0.5">
      <c r="B95" s="890"/>
      <c r="C95" s="890" t="s">
        <v>922</v>
      </c>
      <c r="G95" s="890" t="str">
        <f>D12</f>
        <v>Town of Cary</v>
      </c>
    </row>
    <row r="97" spans="1:119" x14ac:dyDescent="0.4">
      <c r="H97" s="764"/>
      <c r="M97" s="928" t="str">
        <f>D24</f>
        <v>July</v>
      </c>
      <c r="O97" s="929">
        <f>D26</f>
        <v>2018</v>
      </c>
      <c r="T97" t="s">
        <v>923</v>
      </c>
    </row>
    <row r="98" spans="1:119" x14ac:dyDescent="0.4">
      <c r="E98" s="764"/>
      <c r="G98" s="764"/>
      <c r="I98" s="480"/>
    </row>
    <row r="99" spans="1:119" ht="12.6" thickBot="1" x14ac:dyDescent="0.45"/>
    <row r="100" spans="1:119" s="934" customFormat="1" ht="37.200000000000003" thickBot="1" x14ac:dyDescent="0.45">
      <c r="A100" s="930" t="s">
        <v>924</v>
      </c>
      <c r="B100" s="931" t="s">
        <v>925</v>
      </c>
      <c r="C100" s="931" t="s">
        <v>926</v>
      </c>
      <c r="D100" s="931" t="s">
        <v>927</v>
      </c>
      <c r="E100" s="931" t="s">
        <v>928</v>
      </c>
      <c r="F100" s="931" t="s">
        <v>80</v>
      </c>
      <c r="G100" s="931" t="s">
        <v>929</v>
      </c>
      <c r="H100" s="931" t="s">
        <v>930</v>
      </c>
      <c r="I100" s="931" t="s">
        <v>931</v>
      </c>
      <c r="J100" s="931" t="s">
        <v>932</v>
      </c>
      <c r="K100" s="931" t="s">
        <v>933</v>
      </c>
      <c r="L100" s="931" t="s">
        <v>934</v>
      </c>
      <c r="M100" s="931" t="s">
        <v>935</v>
      </c>
      <c r="N100" s="932" t="s">
        <v>936</v>
      </c>
      <c r="O100" s="933" t="s">
        <v>937</v>
      </c>
      <c r="Q100" s="934" t="s">
        <v>938</v>
      </c>
      <c r="T100" s="935" t="s">
        <v>924</v>
      </c>
      <c r="U100" s="935" t="s">
        <v>928</v>
      </c>
      <c r="V100" s="935" t="s">
        <v>80</v>
      </c>
      <c r="W100" s="935" t="s">
        <v>929</v>
      </c>
      <c r="X100" s="935" t="s">
        <v>934</v>
      </c>
      <c r="Y100" s="935" t="s">
        <v>939</v>
      </c>
      <c r="Z100" s="934" t="s">
        <v>940</v>
      </c>
      <c r="CK100" s="936"/>
      <c r="CL100" s="936"/>
      <c r="CO100" s="937"/>
      <c r="DA100" s="938"/>
      <c r="DG100" s="836"/>
      <c r="DH100" s="889"/>
      <c r="DI100" s="889"/>
      <c r="DJ100" s="836"/>
      <c r="DK100" s="765"/>
      <c r="DL100" s="765"/>
      <c r="DM100" s="765"/>
      <c r="DN100" s="765"/>
      <c r="DO100" s="765"/>
    </row>
    <row r="101" spans="1:119" ht="12.6" thickBot="1" x14ac:dyDescent="0.45">
      <c r="A101" s="939">
        <v>1</v>
      </c>
      <c r="B101" s="940">
        <v>1</v>
      </c>
      <c r="C101" s="941" t="s">
        <v>941</v>
      </c>
      <c r="D101" s="941" t="s">
        <v>204</v>
      </c>
      <c r="E101" s="942">
        <f>Y7</f>
        <v>0.4</v>
      </c>
      <c r="F101" s="942">
        <f>AI7</f>
        <v>6.29</v>
      </c>
      <c r="G101" s="943">
        <f>X7</f>
        <v>13.02</v>
      </c>
      <c r="H101" s="944">
        <f>(Q101*1000000)/1440</f>
        <v>19430.555555555555</v>
      </c>
      <c r="I101" s="945">
        <v>91543</v>
      </c>
      <c r="J101" s="946">
        <f>+I101*$F$89</f>
        <v>12816.02</v>
      </c>
      <c r="K101" s="946">
        <f>+(J101/H$101)</f>
        <v>0.65958072909220877</v>
      </c>
      <c r="L101" s="946">
        <f>+(K101*E101)</f>
        <v>0.26383229163688354</v>
      </c>
      <c r="M101" s="947">
        <f t="shared" ref="M101:M106" si="10">IF(AND($D101="Free Chlorine",$E101&gt;0.4),$L101/(0.2828*($F101^2.69)*($E101^0.15)*(0.933^($G101-5))),IF(AND($D101="Free Chlorine",$E101&lt;=0.4),$L101/(0.2828*($F101^2.69)*(0.4^0.15)*(0.933^($G101-5))),IF(AND($D101="Chloramine",$G101&gt;1),$L101/(858.5-(24.3*$G101)),IF(AND($D101="Chloramine",$G101&lt;=1),$L101/(858.5-(24.3)),IF(AND($D101="Chlorine Dioxide",$G101&gt;1),(($L101*($G101^0.49))+0.18)/23.85,IF(AND($D101="Chlorine Dioxide",$G101&lt;=1),($L101+0.18)/23.85,IF($D101="Ozone",(($L101*EXP(0.072*$G101))-0.01)/0.98,"Check Dsfctnt.")))))))</f>
        <v>1.3265344309596219E-2</v>
      </c>
      <c r="N101" s="948">
        <f t="shared" ref="N101:N106" si="11">IF($D101="Free Chlorine",IF(F101&gt;9,(($L101*EXP(0.071*$G101))-0.21)/22.37,(($L101*EXP(0.071*$G101))-0.42)/2.94),IF($D101="Chloramine",(($L101*EXP(0.071*$G101))+410.7)/849.5,IF($D101="Chlorine Dioxide",(($L101*EXP(0.072*$G101))+35.15)/21.25,IF($D101="Ozone",(($L101*EXP(0.068*$G101))-0.01)/0.47,"Check Dsfctnt."))))</f>
        <v>8.3321255463653113E-2</v>
      </c>
      <c r="O101" s="949">
        <f t="shared" ref="O101:O106" si="12">IF(N101&lt;0,0,N101)</f>
        <v>8.3321255463653113E-2</v>
      </c>
      <c r="Q101">
        <f>T7</f>
        <v>27.98</v>
      </c>
      <c r="T101" s="950">
        <v>1</v>
      </c>
      <c r="U101" s="951">
        <f>E107</f>
        <v>1</v>
      </c>
      <c r="V101" s="952">
        <f>F107</f>
        <v>7.0350000000000001</v>
      </c>
      <c r="W101" s="952">
        <f>G107</f>
        <v>13.02</v>
      </c>
      <c r="X101" s="953">
        <f>L107</f>
        <v>125.86747434872281</v>
      </c>
      <c r="Y101" s="954">
        <f>X101/Z101</f>
        <v>1.6782329913163041</v>
      </c>
      <c r="Z101" s="335">
        <v>75</v>
      </c>
    </row>
    <row r="102" spans="1:119" ht="12.6" thickBot="1" x14ac:dyDescent="0.45">
      <c r="A102" s="939"/>
      <c r="B102" s="940"/>
      <c r="C102" s="955" t="s">
        <v>942</v>
      </c>
      <c r="D102" s="955" t="s">
        <v>204</v>
      </c>
      <c r="E102" s="956">
        <f>Z7</f>
        <v>0.2</v>
      </c>
      <c r="F102" s="956">
        <f>AK7</f>
        <v>6.28</v>
      </c>
      <c r="G102" s="943">
        <f>X7</f>
        <v>13.02</v>
      </c>
      <c r="H102" s="944">
        <f>(Q102*1000000)/1440</f>
        <v>19430.555555555555</v>
      </c>
      <c r="I102" s="957">
        <v>566414.48</v>
      </c>
      <c r="J102" s="958">
        <f>+I102*$F$90</f>
        <v>385161.84640000004</v>
      </c>
      <c r="K102" s="958">
        <f>+(J102/H$102)</f>
        <v>19.82248244517513</v>
      </c>
      <c r="L102" s="958">
        <f>+(K102*E102)</f>
        <v>3.9644964890350263</v>
      </c>
      <c r="M102" s="947">
        <f t="shared" si="10"/>
        <v>0.2001877089222156</v>
      </c>
      <c r="N102" s="959">
        <f t="shared" si="11"/>
        <v>3.2558301841379946</v>
      </c>
      <c r="O102" s="960">
        <f t="shared" si="12"/>
        <v>3.2558301841379946</v>
      </c>
      <c r="Q102">
        <f>T7</f>
        <v>27.98</v>
      </c>
      <c r="T102" s="950">
        <v>2</v>
      </c>
      <c r="U102" s="961">
        <f>E115</f>
        <v>0.84000000000000008</v>
      </c>
      <c r="V102" s="962">
        <f>F115</f>
        <v>7.1275000000000004</v>
      </c>
      <c r="W102" s="962">
        <f>G115</f>
        <v>12.94</v>
      </c>
      <c r="X102" s="963">
        <f>L115</f>
        <v>89.990337197178235</v>
      </c>
      <c r="Y102" s="954">
        <f t="shared" ref="Y102:Y130" si="13">X102/Z102</f>
        <v>1.2327443451668252</v>
      </c>
      <c r="Z102" s="335">
        <v>73</v>
      </c>
    </row>
    <row r="103" spans="1:119" ht="12.6" thickBot="1" x14ac:dyDescent="0.45">
      <c r="A103" s="939"/>
      <c r="B103" s="940"/>
      <c r="C103" s="955" t="s">
        <v>943</v>
      </c>
      <c r="D103" s="955" t="s">
        <v>204</v>
      </c>
      <c r="E103" s="956">
        <f>AA7</f>
        <v>1.6</v>
      </c>
      <c r="F103" s="956">
        <f>AM7</f>
        <v>7.79</v>
      </c>
      <c r="G103" s="943">
        <f>X7</f>
        <v>13.02</v>
      </c>
      <c r="H103" s="944">
        <f>(Q103*1000000)/1440</f>
        <v>19430.555555555555</v>
      </c>
      <c r="I103" s="957">
        <v>14092</v>
      </c>
      <c r="J103" s="958">
        <f>+I103*$F$91</f>
        <v>14092</v>
      </c>
      <c r="K103" s="958">
        <f>+(J103/H$103)</f>
        <v>0.72524946390278777</v>
      </c>
      <c r="L103" s="958">
        <f>+(K103*E103)</f>
        <v>1.1603991422444604</v>
      </c>
      <c r="M103" s="947">
        <f t="shared" si="10"/>
        <v>2.6657747656704023E-2</v>
      </c>
      <c r="N103" s="964">
        <f t="shared" si="11"/>
        <v>0.85193093928900132</v>
      </c>
      <c r="O103" s="960">
        <f t="shared" si="12"/>
        <v>0.85193093928900132</v>
      </c>
      <c r="Q103">
        <f>T7</f>
        <v>27.98</v>
      </c>
      <c r="T103" s="950">
        <v>3</v>
      </c>
      <c r="U103" s="961">
        <f>E123</f>
        <v>0.84999999999999987</v>
      </c>
      <c r="V103" s="962">
        <f>F123</f>
        <v>7.1074999999999999</v>
      </c>
      <c r="W103" s="962">
        <f>G123</f>
        <v>12.8</v>
      </c>
      <c r="X103" s="963">
        <f>L123</f>
        <v>98.283148456635757</v>
      </c>
      <c r="Y103" s="954">
        <f t="shared" si="13"/>
        <v>1.3463444994059692</v>
      </c>
      <c r="Z103" s="335">
        <v>73</v>
      </c>
      <c r="AA103" s="335" t="s">
        <v>0</v>
      </c>
    </row>
    <row r="104" spans="1:119" ht="12.6" thickBot="1" x14ac:dyDescent="0.45">
      <c r="A104" s="939"/>
      <c r="B104" s="940"/>
      <c r="C104" s="955" t="s">
        <v>944</v>
      </c>
      <c r="D104" s="955" t="s">
        <v>204</v>
      </c>
      <c r="E104" s="956">
        <f>AB7</f>
        <v>1.8</v>
      </c>
      <c r="F104" s="956">
        <f>AO7</f>
        <v>7.78</v>
      </c>
      <c r="G104" s="943">
        <f>X7</f>
        <v>13.02</v>
      </c>
      <c r="H104" s="944">
        <f>(Q104*1000000)/1440</f>
        <v>18083.333333333332</v>
      </c>
      <c r="I104" s="957">
        <f>V7*145792</f>
        <v>1729093.1199999999</v>
      </c>
      <c r="J104" s="958">
        <f>+I104*$K$89</f>
        <v>1210365.1839999999</v>
      </c>
      <c r="K104" s="958">
        <f>+(J104/H$104)</f>
        <v>66.932636903225799</v>
      </c>
      <c r="L104" s="958">
        <f>+(K104*E104)</f>
        <v>120.47874642580643</v>
      </c>
      <c r="M104" s="947">
        <f t="shared" si="10"/>
        <v>2.7286903840582704</v>
      </c>
      <c r="N104" s="964">
        <f t="shared" si="11"/>
        <v>103.14127737010227</v>
      </c>
      <c r="O104" s="960">
        <f t="shared" si="12"/>
        <v>103.14127737010227</v>
      </c>
      <c r="Q104">
        <f>U7</f>
        <v>26.04</v>
      </c>
      <c r="T104" s="950">
        <v>4</v>
      </c>
      <c r="U104" s="961">
        <f>E131</f>
        <v>1.1000000000000001</v>
      </c>
      <c r="V104" s="962">
        <f>F131</f>
        <v>7.1675000000000004</v>
      </c>
      <c r="W104" s="962">
        <f>G131</f>
        <v>12.8</v>
      </c>
      <c r="X104" s="963">
        <f>L131</f>
        <v>108.88431608782642</v>
      </c>
      <c r="Y104" s="954">
        <f t="shared" si="13"/>
        <v>1.451790881171019</v>
      </c>
      <c r="Z104" s="335">
        <v>75</v>
      </c>
    </row>
    <row r="105" spans="1:119" ht="12.6" thickBot="1" x14ac:dyDescent="0.45">
      <c r="A105" s="939"/>
      <c r="B105" s="940"/>
      <c r="C105" s="955" t="s">
        <v>945</v>
      </c>
      <c r="D105" s="955" t="s">
        <v>946</v>
      </c>
      <c r="E105" s="956">
        <f>AF7</f>
        <v>0</v>
      </c>
      <c r="F105" s="956">
        <f>AQ7</f>
        <v>7.91</v>
      </c>
      <c r="G105" s="943">
        <f>X7</f>
        <v>13.02</v>
      </c>
      <c r="H105" s="944">
        <f>(Q105*1000000)/1440</f>
        <v>18083.333333333332</v>
      </c>
      <c r="I105" s="957">
        <f>W7*347599</f>
        <v>4066908.3</v>
      </c>
      <c r="J105" s="958">
        <f>+I105*$K$90</f>
        <v>2033454.15</v>
      </c>
      <c r="K105" s="958">
        <f>+(J105/H$105)</f>
        <v>112.44907741935484</v>
      </c>
      <c r="L105" s="958">
        <f>+(K105*E105)</f>
        <v>0</v>
      </c>
      <c r="M105" s="947">
        <f t="shared" si="10"/>
        <v>0</v>
      </c>
      <c r="N105" s="964">
        <f t="shared" si="11"/>
        <v>0.48346085932901706</v>
      </c>
      <c r="O105" s="960">
        <f t="shared" si="12"/>
        <v>0.48346085932901706</v>
      </c>
      <c r="Q105">
        <f>U7</f>
        <v>26.04</v>
      </c>
      <c r="T105" s="950">
        <v>5</v>
      </c>
      <c r="U105" s="961">
        <f>E139</f>
        <v>1</v>
      </c>
      <c r="V105" s="962">
        <f>F139</f>
        <v>7.1750000000000007</v>
      </c>
      <c r="W105" s="962">
        <f>G139</f>
        <v>12.84</v>
      </c>
      <c r="X105" s="963">
        <f>L139</f>
        <v>96.553697479983668</v>
      </c>
      <c r="Y105" s="954">
        <f t="shared" si="13"/>
        <v>1.2873826330664488</v>
      </c>
      <c r="Z105" s="335">
        <v>75</v>
      </c>
    </row>
    <row r="106" spans="1:119" ht="12.6" thickBot="1" x14ac:dyDescent="0.45">
      <c r="A106" s="939"/>
      <c r="B106" s="940"/>
      <c r="C106" s="955"/>
      <c r="D106" s="955"/>
      <c r="E106" s="956"/>
      <c r="F106" s="956"/>
      <c r="G106" s="965"/>
      <c r="H106" s="944"/>
      <c r="I106" s="957"/>
      <c r="J106" s="958"/>
      <c r="K106" s="958"/>
      <c r="L106" s="958"/>
      <c r="M106" s="947" t="str">
        <f t="shared" si="10"/>
        <v>Check Dsfctnt.</v>
      </c>
      <c r="N106" s="964" t="str">
        <f t="shared" si="11"/>
        <v>Check Dsfctnt.</v>
      </c>
      <c r="O106" s="960" t="str">
        <f t="shared" si="12"/>
        <v>Check Dsfctnt.</v>
      </c>
      <c r="T106" s="950">
        <v>6</v>
      </c>
      <c r="U106" s="961">
        <f>E147</f>
        <v>1.0250000000000001</v>
      </c>
      <c r="V106" s="962">
        <f>F147</f>
        <v>7.0125000000000002</v>
      </c>
      <c r="W106" s="962">
        <f>G147</f>
        <v>12.56</v>
      </c>
      <c r="X106" s="963">
        <f>L147</f>
        <v>140.18728817194125</v>
      </c>
      <c r="Y106" s="954">
        <f t="shared" si="13"/>
        <v>1.8691638422925501</v>
      </c>
      <c r="Z106" s="335">
        <v>75</v>
      </c>
    </row>
    <row r="107" spans="1:119" ht="12.6" thickBot="1" x14ac:dyDescent="0.45">
      <c r="A107" s="966"/>
      <c r="B107" s="967"/>
      <c r="C107" s="968" t="s">
        <v>947</v>
      </c>
      <c r="D107" s="969"/>
      <c r="E107" s="970">
        <f>AVERAGE(E101:E104)</f>
        <v>1</v>
      </c>
      <c r="F107" s="970">
        <f>AVERAGE(F101:F104)</f>
        <v>7.0350000000000001</v>
      </c>
      <c r="G107" s="970">
        <f>AVERAGE(G101:G104)</f>
        <v>13.02</v>
      </c>
      <c r="H107" s="971"/>
      <c r="I107" s="971"/>
      <c r="J107" s="972"/>
      <c r="K107" s="972"/>
      <c r="L107" s="972">
        <f>SUM(L101:L104)</f>
        <v>125.86747434872281</v>
      </c>
      <c r="M107" s="973">
        <f>SUM(M101:M106)</f>
        <v>2.9688011849467864</v>
      </c>
      <c r="N107" s="974">
        <f>SUM(N101:N106)</f>
        <v>107.81582060832194</v>
      </c>
      <c r="O107" s="975">
        <f>SUM(O101:O106)</f>
        <v>107.81582060832194</v>
      </c>
      <c r="T107" s="950">
        <v>7</v>
      </c>
      <c r="U107" s="961">
        <f>E155</f>
        <v>0.89999999999999991</v>
      </c>
      <c r="V107" s="962">
        <f>F155</f>
        <v>7.1050000000000004</v>
      </c>
      <c r="W107" s="962">
        <f>G155</f>
        <v>12.1</v>
      </c>
      <c r="X107" s="963">
        <f>L155</f>
        <v>104.6024550587457</v>
      </c>
      <c r="Y107" s="954">
        <f t="shared" si="13"/>
        <v>1.4329103432704891</v>
      </c>
      <c r="Z107" s="335">
        <v>73</v>
      </c>
    </row>
    <row r="108" spans="1:119" ht="12.75" customHeight="1" thickBot="1" x14ac:dyDescent="0.45">
      <c r="A108" s="976"/>
      <c r="B108" s="977"/>
      <c r="C108" s="978"/>
      <c r="D108" s="978"/>
      <c r="E108" s="979"/>
      <c r="F108" s="979"/>
      <c r="G108" s="979"/>
      <c r="H108" s="980"/>
      <c r="I108" s="980"/>
      <c r="J108" s="981"/>
      <c r="K108" s="981"/>
      <c r="L108" s="981"/>
      <c r="M108" s="982"/>
      <c r="N108" s="983"/>
      <c r="O108" s="984"/>
      <c r="T108" s="950">
        <v>8</v>
      </c>
      <c r="U108" s="961">
        <f>E163</f>
        <v>1.0750000000000002</v>
      </c>
      <c r="V108" s="962">
        <f>F163</f>
        <v>7.2474999999999996</v>
      </c>
      <c r="W108" s="962">
        <f>G163</f>
        <v>12.1</v>
      </c>
      <c r="X108" s="962">
        <f>L163</f>
        <v>141.36016090648548</v>
      </c>
      <c r="Y108" s="954">
        <f t="shared" si="13"/>
        <v>1.8848021454198063</v>
      </c>
      <c r="Z108" s="335">
        <v>75</v>
      </c>
    </row>
    <row r="109" spans="1:119" ht="12.6" thickBot="1" x14ac:dyDescent="0.45">
      <c r="A109" s="985">
        <v>2</v>
      </c>
      <c r="B109" s="986">
        <v>1</v>
      </c>
      <c r="C109" s="987" t="str">
        <f>C$101</f>
        <v xml:space="preserve">1. Filter Influent </v>
      </c>
      <c r="D109" s="987" t="str">
        <f>D$101</f>
        <v>Free Chlorine</v>
      </c>
      <c r="E109" s="942">
        <f>Y8</f>
        <v>0.4</v>
      </c>
      <c r="F109" s="942">
        <f>AI8</f>
        <v>6.31</v>
      </c>
      <c r="G109" s="965">
        <f>X8</f>
        <v>12.94</v>
      </c>
      <c r="H109" s="944">
        <f>(Q109*1000000)/1440</f>
        <v>17680.555555555555</v>
      </c>
      <c r="I109" s="988">
        <f>I$101</f>
        <v>91543</v>
      </c>
      <c r="J109" s="958">
        <f>+I109*$F$89</f>
        <v>12816.02</v>
      </c>
      <c r="K109" s="958">
        <f>+(J109/H$109)</f>
        <v>0.72486523173605666</v>
      </c>
      <c r="L109" s="958">
        <f>+(K109*E109)</f>
        <v>0.28994609269442267</v>
      </c>
      <c r="M109" s="947">
        <f t="shared" ref="M109:M114" si="14">IF(AND($D109="Free Chlorine",$E109&gt;0.4),$L109/(0.2828*($F109^2.69)*($E109^0.15)*(0.933^($G109-5))),IF(AND($D109="Free Chlorine",$E109&lt;=0.4),$L109/(0.2828*($F109^2.69)*(0.4^0.15)*(0.933^($G109-5))),IF(AND($D109="Chloramine",$G109&gt;1),$L109/(858.5-(24.3*$G109)),IF(AND($D109="Chloramine",$G109&lt;=1),$L109/(858.5-(24.3)),IF(AND($D109="Chlorine Dioxide",$G109&gt;1),(($L109*($G109^0.49))+0.18)/23.85,IF(AND($D109="Chlorine Dioxide",$G109&lt;=1),($L109+0.18)/23.85,IF($D109="Ozone",(($L109*EXP(0.072*$G109))-0.01)/0.98,"Check Dsfctnt.")))))))</f>
        <v>1.4374396793963727E-2</v>
      </c>
      <c r="N109" s="959">
        <f t="shared" ref="N109:N114" si="15">IF($D109="Free Chlorine",IF(F109&gt;9,(($L109*EXP(0.071*$G109))-0.21)/22.37,(($L109*EXP(0.071*$G109))-0.42)/2.94),IF($D109="Chloramine",(($L109*EXP(0.071*$G109))+410.7)/849.5,IF($D109="Chlorine Dioxide",(($L109*EXP(0.072*$G109))+35.15)/21.25,IF($D109="Ozone",(($L109*EXP(0.068*$G109))-0.01)/0.47,"Check Dsfctnt."))))</f>
        <v>0.10430027109593797</v>
      </c>
      <c r="O109" s="960">
        <f t="shared" ref="O109:O114" si="16">IF(N109&lt;0,0,N109)</f>
        <v>0.10430027109593797</v>
      </c>
      <c r="Q109">
        <f>T8</f>
        <v>25.46</v>
      </c>
      <c r="T109" s="950">
        <v>9</v>
      </c>
      <c r="U109" s="961">
        <f>E171</f>
        <v>0.95</v>
      </c>
      <c r="V109" s="962">
        <f>F171</f>
        <v>7.0724999999999998</v>
      </c>
      <c r="W109" s="962">
        <f>G171</f>
        <v>12.11</v>
      </c>
      <c r="X109" s="962">
        <f>L171</f>
        <v>107.52849119216174</v>
      </c>
      <c r="Y109" s="954">
        <f t="shared" si="13"/>
        <v>1.4337132158954899</v>
      </c>
      <c r="Z109" s="335">
        <v>75</v>
      </c>
    </row>
    <row r="110" spans="1:119" ht="12.6" thickBot="1" x14ac:dyDescent="0.45">
      <c r="A110" s="939"/>
      <c r="B110" s="940"/>
      <c r="C110" s="987" t="str">
        <f>C$102</f>
        <v>2. Filter&amp;Filter Eff.</v>
      </c>
      <c r="D110" s="987" t="str">
        <f>D$102</f>
        <v>Free Chlorine</v>
      </c>
      <c r="E110" s="956">
        <f>Z8</f>
        <v>0.2</v>
      </c>
      <c r="F110" s="956">
        <f>AK8</f>
        <v>6.33</v>
      </c>
      <c r="G110" s="965">
        <f>X8</f>
        <v>12.94</v>
      </c>
      <c r="H110" s="944">
        <f>(Q110*1000000)/1440</f>
        <v>17680.555555555555</v>
      </c>
      <c r="I110" s="989">
        <f>I$102</f>
        <v>566414.48</v>
      </c>
      <c r="J110" s="958">
        <f>+I110*$F$90</f>
        <v>385161.84640000004</v>
      </c>
      <c r="K110" s="958">
        <f>+(J110/H$110)</f>
        <v>21.784487777533389</v>
      </c>
      <c r="L110" s="958">
        <f>+(K110*E110)</f>
        <v>4.356897555506678</v>
      </c>
      <c r="M110" s="947">
        <f t="shared" si="14"/>
        <v>0.21416707893557344</v>
      </c>
      <c r="N110" s="964">
        <f t="shared" si="15"/>
        <v>3.5710729972962638</v>
      </c>
      <c r="O110" s="960">
        <f t="shared" si="16"/>
        <v>3.5710729972962638</v>
      </c>
      <c r="Q110">
        <f>T8</f>
        <v>25.46</v>
      </c>
      <c r="T110" s="950">
        <v>10</v>
      </c>
      <c r="U110" s="961">
        <f>E179</f>
        <v>1.0249999999999999</v>
      </c>
      <c r="V110" s="962">
        <f>F179</f>
        <v>7.0525000000000011</v>
      </c>
      <c r="W110" s="962">
        <f>G179</f>
        <v>12.39</v>
      </c>
      <c r="X110" s="962">
        <f>L179</f>
        <v>128.21350552409302</v>
      </c>
      <c r="Y110" s="954">
        <f t="shared" si="13"/>
        <v>1.709513406987907</v>
      </c>
      <c r="Z110" s="335">
        <v>75</v>
      </c>
    </row>
    <row r="111" spans="1:119" ht="12.6" thickBot="1" x14ac:dyDescent="0.45">
      <c r="A111" s="939"/>
      <c r="B111" s="940"/>
      <c r="C111" s="987" t="str">
        <f>C$103</f>
        <v xml:space="preserve">3. Plant Effluent </v>
      </c>
      <c r="D111" s="987" t="str">
        <f>D$103</f>
        <v>Free Chlorine</v>
      </c>
      <c r="E111" s="956">
        <f>AA8</f>
        <v>1.76</v>
      </c>
      <c r="F111" s="956">
        <f>AM8</f>
        <v>7.99</v>
      </c>
      <c r="G111" s="965">
        <f>X8</f>
        <v>12.94</v>
      </c>
      <c r="H111" s="944">
        <f>(Q111*1000000)/1440</f>
        <v>17680.555555555555</v>
      </c>
      <c r="I111" s="989">
        <f>I$103</f>
        <v>14092</v>
      </c>
      <c r="J111" s="958">
        <f>+I111*$F$91</f>
        <v>14092</v>
      </c>
      <c r="K111" s="958">
        <f>+(J111/H$111)</f>
        <v>0.79703377847604084</v>
      </c>
      <c r="L111" s="958">
        <f>+(K111*E111)</f>
        <v>1.4027794501178319</v>
      </c>
      <c r="M111" s="947">
        <f t="shared" si="14"/>
        <v>2.9510189755934405E-2</v>
      </c>
      <c r="N111" s="964">
        <f t="shared" si="15"/>
        <v>1.0529076905839709</v>
      </c>
      <c r="O111" s="960">
        <f t="shared" si="16"/>
        <v>1.0529076905839709</v>
      </c>
      <c r="Q111">
        <f>T8</f>
        <v>25.46</v>
      </c>
      <c r="T111" s="950">
        <v>11</v>
      </c>
      <c r="U111" s="961">
        <f>E192</f>
        <v>0.8</v>
      </c>
      <c r="V111" s="962">
        <f>F192</f>
        <v>7.0974999999999993</v>
      </c>
      <c r="W111" s="962">
        <f>G192</f>
        <v>12.97</v>
      </c>
      <c r="X111" s="962">
        <f>L192</f>
        <v>99.685438735583475</v>
      </c>
      <c r="Y111" s="954">
        <f t="shared" si="13"/>
        <v>1.3655539552819653</v>
      </c>
      <c r="Z111" s="335">
        <v>73</v>
      </c>
    </row>
    <row r="112" spans="1:119" ht="12.6" thickBot="1" x14ac:dyDescent="0.45">
      <c r="A112" s="939"/>
      <c r="B112" s="940"/>
      <c r="C112" s="987" t="str">
        <f>C$104</f>
        <v>4. Clearwell #1</v>
      </c>
      <c r="D112" s="987" t="str">
        <f>D$104</f>
        <v>Free Chlorine</v>
      </c>
      <c r="E112" s="956">
        <f>AB8</f>
        <v>1</v>
      </c>
      <c r="F112" s="956">
        <f>AO8</f>
        <v>7.88</v>
      </c>
      <c r="G112" s="965">
        <f>X8</f>
        <v>12.94</v>
      </c>
      <c r="H112" s="944">
        <f>(Q112*1000000)/1440</f>
        <v>16437.5</v>
      </c>
      <c r="I112" s="957">
        <f>V8*145792</f>
        <v>1971107.8399999999</v>
      </c>
      <c r="J112" s="958">
        <f>+I112*$K$89</f>
        <v>1379775.4879999999</v>
      </c>
      <c r="K112" s="958">
        <f>+(J112/H$112)</f>
        <v>83.940714098859303</v>
      </c>
      <c r="L112" s="958">
        <f>+(K112*E112)</f>
        <v>83.940714098859303</v>
      </c>
      <c r="M112" s="947">
        <f t="shared" si="14"/>
        <v>1.9951588456722258</v>
      </c>
      <c r="N112" s="964">
        <f t="shared" si="15"/>
        <v>71.410339622977574</v>
      </c>
      <c r="O112" s="960">
        <f t="shared" si="16"/>
        <v>71.410339622977574</v>
      </c>
      <c r="Q112">
        <f>U8</f>
        <v>23.67</v>
      </c>
      <c r="T112" s="950">
        <v>12</v>
      </c>
      <c r="U112" s="961">
        <f>E200</f>
        <v>1.0499999999999998</v>
      </c>
      <c r="V112" s="962">
        <f>F200</f>
        <v>7.1849999999999996</v>
      </c>
      <c r="W112" s="962">
        <f>G200</f>
        <v>13.13</v>
      </c>
      <c r="X112" s="962">
        <f>L200</f>
        <v>121.59766617088127</v>
      </c>
      <c r="Y112" s="954">
        <f t="shared" si="13"/>
        <v>1.6213022156117503</v>
      </c>
      <c r="Z112" s="335">
        <v>75</v>
      </c>
    </row>
    <row r="113" spans="1:26" ht="12.6" thickBot="1" x14ac:dyDescent="0.45">
      <c r="A113" s="939"/>
      <c r="B113" s="940"/>
      <c r="C113" s="987" t="str">
        <f>C$105</f>
        <v xml:space="preserve">5. Clearwells 2&amp;3 </v>
      </c>
      <c r="D113" s="987" t="str">
        <f>D$105</f>
        <v>Chloramine</v>
      </c>
      <c r="E113" s="956">
        <f>AF8</f>
        <v>0</v>
      </c>
      <c r="F113" s="956">
        <f>AQ8</f>
        <v>7.92</v>
      </c>
      <c r="G113" s="965">
        <f>X8</f>
        <v>12.94</v>
      </c>
      <c r="H113" s="944">
        <f>(Q113*1000000)/1440</f>
        <v>16437.5</v>
      </c>
      <c r="I113" s="957">
        <f>W8*347599</f>
        <v>4751678.33</v>
      </c>
      <c r="J113" s="958">
        <f>+I113*$K$90</f>
        <v>2375839.165</v>
      </c>
      <c r="K113" s="958">
        <f>+(J113/H$113)</f>
        <v>144.53774387832701</v>
      </c>
      <c r="L113" s="958">
        <f>+(K113*E113)</f>
        <v>0</v>
      </c>
      <c r="M113" s="947">
        <f t="shared" si="14"/>
        <v>0</v>
      </c>
      <c r="N113" s="964">
        <f t="shared" si="15"/>
        <v>0.48346085932901706</v>
      </c>
      <c r="O113" s="960">
        <f t="shared" si="16"/>
        <v>0.48346085932901706</v>
      </c>
      <c r="Q113">
        <f>U8</f>
        <v>23.67</v>
      </c>
      <c r="T113" s="950">
        <v>13</v>
      </c>
      <c r="U113" s="961">
        <f>E208</f>
        <v>0.85000000000000009</v>
      </c>
      <c r="V113" s="962">
        <f>F208</f>
        <v>7.1550000000000002</v>
      </c>
      <c r="W113" s="962">
        <f>G208</f>
        <v>13.4</v>
      </c>
      <c r="X113" s="962">
        <f>L208</f>
        <v>92.99350992390724</v>
      </c>
      <c r="Y113" s="954">
        <f t="shared" si="13"/>
        <v>1.2738836975877703</v>
      </c>
      <c r="Z113" s="335">
        <v>73</v>
      </c>
    </row>
    <row r="114" spans="1:26" ht="12.6" thickBot="1" x14ac:dyDescent="0.45">
      <c r="A114" s="939"/>
      <c r="B114" s="940"/>
      <c r="C114" s="987"/>
      <c r="D114" s="987"/>
      <c r="E114" s="956"/>
      <c r="F114" s="956"/>
      <c r="G114" s="965"/>
      <c r="H114" s="990"/>
      <c r="I114" s="989"/>
      <c r="J114" s="958"/>
      <c r="K114" s="958"/>
      <c r="L114" s="958"/>
      <c r="M114" s="947" t="str">
        <f t="shared" si="14"/>
        <v>Check Dsfctnt.</v>
      </c>
      <c r="N114" s="964" t="str">
        <f t="shared" si="15"/>
        <v>Check Dsfctnt.</v>
      </c>
      <c r="O114" s="960" t="str">
        <f t="shared" si="16"/>
        <v>Check Dsfctnt.</v>
      </c>
      <c r="T114" s="950">
        <v>14</v>
      </c>
      <c r="U114" s="961">
        <f>E216</f>
        <v>1</v>
      </c>
      <c r="V114" s="962">
        <f>F216</f>
        <v>7.0749999999999993</v>
      </c>
      <c r="W114" s="962">
        <f>G216</f>
        <v>13.73</v>
      </c>
      <c r="X114" s="962">
        <f>L216</f>
        <v>108.74468269590976</v>
      </c>
      <c r="Y114" s="954">
        <f t="shared" si="13"/>
        <v>1.4499291026121301</v>
      </c>
      <c r="Z114" s="335">
        <v>75</v>
      </c>
    </row>
    <row r="115" spans="1:26" ht="12.6" thickBot="1" x14ac:dyDescent="0.45">
      <c r="A115" s="966"/>
      <c r="B115" s="967"/>
      <c r="C115" s="968" t="str">
        <f>C$107</f>
        <v>System TOTAL</v>
      </c>
      <c r="D115" s="969"/>
      <c r="E115" s="970">
        <f>AVERAGE(E109:E112)</f>
        <v>0.84000000000000008</v>
      </c>
      <c r="F115" s="970">
        <f>AVERAGE(F109:F112)</f>
        <v>7.1275000000000004</v>
      </c>
      <c r="G115" s="970">
        <f>AVERAGE(G109:G112)</f>
        <v>12.94</v>
      </c>
      <c r="H115" s="971"/>
      <c r="I115" s="991"/>
      <c r="J115" s="972"/>
      <c r="K115" s="972"/>
      <c r="L115" s="972">
        <f>SUM(L109:L112)</f>
        <v>89.990337197178235</v>
      </c>
      <c r="M115" s="973">
        <f>SUM(M109:M114)</f>
        <v>2.2532105111576972</v>
      </c>
      <c r="N115" s="974">
        <f>SUM(N109:N114)</f>
        <v>76.622081441282759</v>
      </c>
      <c r="O115" s="975">
        <f>SUM(O109:O114)</f>
        <v>76.622081441282759</v>
      </c>
      <c r="T115" s="950">
        <v>15</v>
      </c>
      <c r="U115" s="961">
        <f>E224</f>
        <v>1.1000000000000001</v>
      </c>
      <c r="V115" s="962">
        <f>F224</f>
        <v>7.0724999999999998</v>
      </c>
      <c r="W115" s="962">
        <f>G224</f>
        <v>13.87</v>
      </c>
      <c r="X115" s="962">
        <f>L224</f>
        <v>133.31985515649902</v>
      </c>
      <c r="Y115" s="954">
        <f t="shared" si="13"/>
        <v>1.7775980687533202</v>
      </c>
      <c r="Z115" s="335">
        <v>75</v>
      </c>
    </row>
    <row r="116" spans="1:26" ht="12.75" customHeight="1" thickBot="1" x14ac:dyDescent="0.45">
      <c r="A116" s="976"/>
      <c r="B116" s="977"/>
      <c r="C116" s="992"/>
      <c r="D116" s="992"/>
      <c r="E116" s="993"/>
      <c r="F116" s="993"/>
      <c r="G116" s="993"/>
      <c r="H116" s="992"/>
      <c r="I116" s="992"/>
      <c r="J116" s="994"/>
      <c r="K116" s="994"/>
      <c r="L116" s="994"/>
      <c r="M116" s="995"/>
      <c r="N116" s="996"/>
      <c r="O116" s="997"/>
      <c r="T116" s="950">
        <v>16</v>
      </c>
      <c r="U116" s="961">
        <f>E232</f>
        <v>0.85</v>
      </c>
      <c r="V116" s="962">
        <f>F232</f>
        <v>7.0674999999999999</v>
      </c>
      <c r="W116" s="962">
        <f>G232</f>
        <v>14.06</v>
      </c>
      <c r="X116" s="962">
        <f>L232</f>
        <v>111.26971990371165</v>
      </c>
      <c r="Y116" s="954">
        <f t="shared" si="13"/>
        <v>1.5242427384070087</v>
      </c>
      <c r="Z116" s="335">
        <v>73</v>
      </c>
    </row>
    <row r="117" spans="1:26" ht="12.6" thickBot="1" x14ac:dyDescent="0.45">
      <c r="A117" s="985">
        <v>3</v>
      </c>
      <c r="B117" s="986">
        <v>1</v>
      </c>
      <c r="C117" s="987" t="str">
        <f>C$101</f>
        <v xml:space="preserve">1. Filter Influent </v>
      </c>
      <c r="D117" s="987" t="str">
        <f>D$101</f>
        <v>Free Chlorine</v>
      </c>
      <c r="E117" s="942">
        <f>Y9</f>
        <v>0.5</v>
      </c>
      <c r="F117" s="942">
        <f>AI9</f>
        <v>6.26</v>
      </c>
      <c r="G117" s="965">
        <f>X9</f>
        <v>12.8</v>
      </c>
      <c r="H117" s="944">
        <f>(Q117*1000000)/1440</f>
        <v>14937.5</v>
      </c>
      <c r="I117" s="989">
        <f>I$101</f>
        <v>91543</v>
      </c>
      <c r="J117" s="958">
        <f>+I117*$F$89</f>
        <v>12816.02</v>
      </c>
      <c r="K117" s="958">
        <f>+(J117/H$117)</f>
        <v>0.85797623430962344</v>
      </c>
      <c r="L117" s="958">
        <f>+(K117*E117)</f>
        <v>0.42898811715481172</v>
      </c>
      <c r="M117" s="947">
        <f t="shared" ref="M117:M122" si="17">IF(AND($D117="Free Chlorine",$E117&gt;0.4),$L117/(0.2828*($F117^2.69)*($E117^0.15)*(0.933^($G117-5))),IF(AND($D117="Free Chlorine",$E117&lt;=0.4),$L117/(0.2828*($F117^2.69)*(0.4^0.15)*(0.933^($G117-5))),IF(AND($D117="Chloramine",$G117&gt;1),$L117/(858.5-(24.3*$G117)),IF(AND($D117="Chloramine",$G117&lt;=1),$L117/(858.5-(24.3)),IF(AND($D117="Chlorine Dioxide",$G117&gt;1),(($L117*($G117^0.49))+0.18)/23.85,IF(AND($D117="Chlorine Dioxide",$G117&lt;=1),($L117+0.18)/23.85,IF($D117="Ozone",(($L117*EXP(0.072*$G117))-0.01)/0.98,"Check Dsfctnt.")))))))</f>
        <v>2.0809353084233501E-2</v>
      </c>
      <c r="N117" s="959">
        <f t="shared" ref="N117:N122" si="18">IF($D117="Free Chlorine",IF(F117&gt;9,(($L117*EXP(0.071*$G117))-0.21)/22.37,(($L117*EXP(0.071*$G117))-0.42)/2.94),IF($D117="Chloramine",(($L117*EXP(0.071*$G117))+410.7)/849.5,IF($D117="Chlorine Dioxide",(($L117*EXP(0.072*$G117))+35.15)/21.25,IF($D117="Ozone",(($L117*EXP(0.068*$G117))-0.01)/0.47,"Check Dsfctnt."))))</f>
        <v>0.21920636708036345</v>
      </c>
      <c r="O117" s="960">
        <f t="shared" ref="O117:O122" si="19">IF(N117&lt;0,0,N117)</f>
        <v>0.21920636708036345</v>
      </c>
      <c r="Q117">
        <f>T9</f>
        <v>21.51</v>
      </c>
      <c r="T117" s="950">
        <v>17</v>
      </c>
      <c r="U117" s="961">
        <f>E240</f>
        <v>1.25</v>
      </c>
      <c r="V117" s="962">
        <f>F240</f>
        <v>7.2275</v>
      </c>
      <c r="W117" s="962">
        <f>G240</f>
        <v>14.2</v>
      </c>
      <c r="X117" s="962">
        <f>L240</f>
        <v>159.5400053653992</v>
      </c>
      <c r="Y117" s="954">
        <f t="shared" si="13"/>
        <v>2.0992105969131472</v>
      </c>
      <c r="Z117" s="335">
        <v>76</v>
      </c>
    </row>
    <row r="118" spans="1:26" ht="12.6" thickBot="1" x14ac:dyDescent="0.45">
      <c r="A118" s="939"/>
      <c r="B118" s="940"/>
      <c r="C118" s="987" t="str">
        <f>C$102</f>
        <v>2. Filter&amp;Filter Eff.</v>
      </c>
      <c r="D118" s="987" t="str">
        <f>D$102</f>
        <v>Free Chlorine</v>
      </c>
      <c r="E118" s="956">
        <f>Z9</f>
        <v>0.2</v>
      </c>
      <c r="F118" s="956">
        <f>AK9</f>
        <v>6.27</v>
      </c>
      <c r="G118" s="965">
        <f>X9</f>
        <v>12.8</v>
      </c>
      <c r="H118" s="944">
        <f>(Q118*1000000)/1440</f>
        <v>14937.5</v>
      </c>
      <c r="I118" s="989">
        <f>I$102</f>
        <v>566414.48</v>
      </c>
      <c r="J118" s="958">
        <f>+I118*$F$90</f>
        <v>385161.84640000004</v>
      </c>
      <c r="K118" s="958">
        <f>+(J118/H$118)</f>
        <v>25.784893482845192</v>
      </c>
      <c r="L118" s="958">
        <f>+(K118*E118)</f>
        <v>5.1569786965690385</v>
      </c>
      <c r="M118" s="947">
        <f t="shared" si="17"/>
        <v>0.25756119265918603</v>
      </c>
      <c r="N118" s="964">
        <f t="shared" si="18"/>
        <v>4.2096032934279037</v>
      </c>
      <c r="O118" s="960">
        <f t="shared" si="19"/>
        <v>4.2096032934279037</v>
      </c>
      <c r="Q118">
        <f>T9</f>
        <v>21.51</v>
      </c>
      <c r="T118" s="950">
        <v>18</v>
      </c>
      <c r="U118" s="961">
        <f>E248</f>
        <v>1.1000000000000001</v>
      </c>
      <c r="V118" s="962">
        <f>F248</f>
        <v>7.0575000000000001</v>
      </c>
      <c r="W118" s="962">
        <f>G248</f>
        <v>14.3</v>
      </c>
      <c r="X118" s="962">
        <f>L248</f>
        <v>124.28446335306467</v>
      </c>
      <c r="Y118" s="954">
        <f t="shared" si="13"/>
        <v>1.6571261780408622</v>
      </c>
      <c r="Z118" s="335">
        <v>75</v>
      </c>
    </row>
    <row r="119" spans="1:26" ht="12.6" thickBot="1" x14ac:dyDescent="0.45">
      <c r="A119" s="939"/>
      <c r="B119" s="940"/>
      <c r="C119" s="987" t="str">
        <f>C$103</f>
        <v xml:space="preserve">3. Plant Effluent </v>
      </c>
      <c r="D119" s="987" t="str">
        <f>D$103</f>
        <v>Free Chlorine</v>
      </c>
      <c r="E119" s="956">
        <f>AA9</f>
        <v>1.4</v>
      </c>
      <c r="F119" s="956">
        <f>AM9</f>
        <v>7.96</v>
      </c>
      <c r="G119" s="965">
        <f>X9</f>
        <v>12.8</v>
      </c>
      <c r="H119" s="944">
        <f>(Q119*1000000)/1440</f>
        <v>14937.5</v>
      </c>
      <c r="I119" s="989">
        <f>I$103</f>
        <v>14092</v>
      </c>
      <c r="J119" s="958">
        <f>+I119*$F$91</f>
        <v>14092</v>
      </c>
      <c r="K119" s="958">
        <f>+(J119/H$119)</f>
        <v>0.943397489539749</v>
      </c>
      <c r="L119" s="958">
        <f>+(K119*E119)</f>
        <v>1.3207564853556486</v>
      </c>
      <c r="M119" s="947">
        <f t="shared" si="17"/>
        <v>2.8766774434679301E-2</v>
      </c>
      <c r="N119" s="964">
        <f t="shared" si="18"/>
        <v>0.97185375410698083</v>
      </c>
      <c r="O119" s="960">
        <f t="shared" si="19"/>
        <v>0.97185375410698083</v>
      </c>
      <c r="Q119">
        <f>T9</f>
        <v>21.51</v>
      </c>
      <c r="T119" s="950">
        <v>19</v>
      </c>
      <c r="U119" s="961">
        <f>E256</f>
        <v>1.075</v>
      </c>
      <c r="V119" s="962">
        <f>F256</f>
        <v>7.0724999999999998</v>
      </c>
      <c r="W119" s="962">
        <f>G256</f>
        <v>14.44</v>
      </c>
      <c r="X119" s="962">
        <f>L256</f>
        <v>134.43262756875504</v>
      </c>
      <c r="Y119" s="954">
        <f t="shared" si="13"/>
        <v>1.7924350342500672</v>
      </c>
      <c r="Z119" s="335">
        <v>75</v>
      </c>
    </row>
    <row r="120" spans="1:26" ht="12.6" thickBot="1" x14ac:dyDescent="0.45">
      <c r="A120" s="939"/>
      <c r="B120" s="940"/>
      <c r="C120" s="987" t="str">
        <f>C$104</f>
        <v>4. Clearwell #1</v>
      </c>
      <c r="D120" s="987" t="str">
        <f>D$104</f>
        <v>Free Chlorine</v>
      </c>
      <c r="E120" s="956">
        <f>AB9</f>
        <v>1.3</v>
      </c>
      <c r="F120" s="956">
        <f>AO9</f>
        <v>7.94</v>
      </c>
      <c r="G120" s="965">
        <f>X9</f>
        <v>12.8</v>
      </c>
      <c r="H120" s="944">
        <f>(Q120*1000000)/1440</f>
        <v>17277.777777777777</v>
      </c>
      <c r="I120" s="957">
        <f>V9*145792</f>
        <v>1734924.8</v>
      </c>
      <c r="J120" s="958">
        <f>+I120*$K$89</f>
        <v>1214447.3599999999</v>
      </c>
      <c r="K120" s="958">
        <f>+(J120/H$120)</f>
        <v>70.289557813504814</v>
      </c>
      <c r="L120" s="958">
        <f>+(K120*E120)</f>
        <v>91.376425157556255</v>
      </c>
      <c r="M120" s="947">
        <f t="shared" si="17"/>
        <v>2.0261392177575916</v>
      </c>
      <c r="N120" s="964">
        <f t="shared" si="18"/>
        <v>76.978321498432379</v>
      </c>
      <c r="O120" s="960">
        <f t="shared" si="19"/>
        <v>76.978321498432379</v>
      </c>
      <c r="Q120">
        <f>U9</f>
        <v>24.88</v>
      </c>
      <c r="T120" s="950">
        <v>20</v>
      </c>
      <c r="U120" s="961">
        <f>E264</f>
        <v>1.0249999999999999</v>
      </c>
      <c r="V120" s="962">
        <f>F264</f>
        <v>7.0525000000000002</v>
      </c>
      <c r="W120" s="962">
        <f>G264</f>
        <v>14.38</v>
      </c>
      <c r="X120" s="962">
        <f>L264</f>
        <v>124.51781842953945</v>
      </c>
      <c r="Y120" s="954">
        <f t="shared" si="13"/>
        <v>1.6602375790605259</v>
      </c>
      <c r="Z120" s="335">
        <v>75</v>
      </c>
    </row>
    <row r="121" spans="1:26" ht="12.6" thickBot="1" x14ac:dyDescent="0.45">
      <c r="A121" s="939"/>
      <c r="B121" s="940"/>
      <c r="C121" s="987" t="str">
        <f>C$105</f>
        <v xml:space="preserve">5. Clearwells 2&amp;3 </v>
      </c>
      <c r="D121" s="987" t="str">
        <f>D$105</f>
        <v>Chloramine</v>
      </c>
      <c r="E121" s="956">
        <f>AF9</f>
        <v>0</v>
      </c>
      <c r="F121" s="956">
        <f>AQ9</f>
        <v>8.02</v>
      </c>
      <c r="G121" s="965">
        <f>X9</f>
        <v>12.8</v>
      </c>
      <c r="H121" s="944">
        <f>(Q121*1000000)/1440</f>
        <v>17277.777777777777</v>
      </c>
      <c r="I121" s="957">
        <f>W9*347599</f>
        <v>4237231.8099999996</v>
      </c>
      <c r="J121" s="958">
        <f>+I121*$K$90</f>
        <v>2118615.9049999998</v>
      </c>
      <c r="K121" s="958">
        <f>+(J121/H$121)</f>
        <v>122.62085623794211</v>
      </c>
      <c r="L121" s="958">
        <f>+(K121*E121)</f>
        <v>0</v>
      </c>
      <c r="M121" s="947">
        <f t="shared" si="17"/>
        <v>0</v>
      </c>
      <c r="N121" s="964">
        <f t="shared" si="18"/>
        <v>0.48346085932901706</v>
      </c>
      <c r="O121" s="960">
        <f t="shared" si="19"/>
        <v>0.48346085932901706</v>
      </c>
      <c r="Q121">
        <f>U9</f>
        <v>24.88</v>
      </c>
      <c r="T121" s="950">
        <v>21</v>
      </c>
      <c r="U121" s="961">
        <f>E277</f>
        <v>1.075</v>
      </c>
      <c r="V121" s="962">
        <f>F277</f>
        <v>7.1875</v>
      </c>
      <c r="W121" s="962">
        <f>G277</f>
        <v>14</v>
      </c>
      <c r="X121" s="962">
        <f>L277</f>
        <v>145.53795424215008</v>
      </c>
      <c r="Y121" s="954">
        <f t="shared" si="13"/>
        <v>1.9405060565620011</v>
      </c>
      <c r="Z121" s="335">
        <v>75</v>
      </c>
    </row>
    <row r="122" spans="1:26" ht="12.6" thickBot="1" x14ac:dyDescent="0.45">
      <c r="A122" s="939"/>
      <c r="B122" s="940"/>
      <c r="C122" s="987"/>
      <c r="D122" s="987"/>
      <c r="E122" s="956"/>
      <c r="F122" s="956"/>
      <c r="G122" s="965"/>
      <c r="H122" s="990"/>
      <c r="I122" s="989"/>
      <c r="J122" s="958"/>
      <c r="K122" s="958"/>
      <c r="L122" s="958"/>
      <c r="M122" s="947" t="str">
        <f t="shared" si="17"/>
        <v>Check Dsfctnt.</v>
      </c>
      <c r="N122" s="964" t="str">
        <f t="shared" si="18"/>
        <v>Check Dsfctnt.</v>
      </c>
      <c r="O122" s="960" t="str">
        <f t="shared" si="19"/>
        <v>Check Dsfctnt.</v>
      </c>
      <c r="T122" s="950">
        <v>22</v>
      </c>
      <c r="U122" s="961">
        <f>E285</f>
        <v>0.95000000000000007</v>
      </c>
      <c r="V122" s="962">
        <f>F285</f>
        <v>7.1574999999999998</v>
      </c>
      <c r="W122" s="962">
        <f>G285</f>
        <v>14.1</v>
      </c>
      <c r="X122" s="962">
        <f>L285</f>
        <v>123.7704668630027</v>
      </c>
      <c r="Y122" s="954">
        <f t="shared" si="13"/>
        <v>1.6502728915067026</v>
      </c>
      <c r="Z122" s="335">
        <v>75</v>
      </c>
    </row>
    <row r="123" spans="1:26" ht="12.6" thickBot="1" x14ac:dyDescent="0.45">
      <c r="A123" s="966"/>
      <c r="B123" s="967"/>
      <c r="C123" s="968" t="str">
        <f>C$107</f>
        <v>System TOTAL</v>
      </c>
      <c r="D123" s="969"/>
      <c r="E123" s="970">
        <f>AVERAGE(E117:E120)</f>
        <v>0.84999999999999987</v>
      </c>
      <c r="F123" s="970">
        <f>AVERAGE(F117:F120)</f>
        <v>7.1074999999999999</v>
      </c>
      <c r="G123" s="970">
        <f>AVERAGE(G117:G120)</f>
        <v>12.8</v>
      </c>
      <c r="H123" s="971"/>
      <c r="I123" s="998"/>
      <c r="J123" s="972"/>
      <c r="K123" s="972"/>
      <c r="L123" s="972">
        <f>SUM(L117:L120)</f>
        <v>98.283148456635757</v>
      </c>
      <c r="M123" s="973">
        <f>SUM(M117:M122)</f>
        <v>2.3332765379356903</v>
      </c>
      <c r="N123" s="974">
        <f>SUM(N117:N122)</f>
        <v>82.862445772376645</v>
      </c>
      <c r="O123" s="975">
        <f>SUM(O117:O122)</f>
        <v>82.862445772376645</v>
      </c>
      <c r="T123" s="950">
        <v>23</v>
      </c>
      <c r="U123" s="961">
        <f>E293</f>
        <v>1.1125</v>
      </c>
      <c r="V123" s="962">
        <f>F293</f>
        <v>6.8800000000000008</v>
      </c>
      <c r="W123" s="962">
        <f>G293</f>
        <v>14.5</v>
      </c>
      <c r="X123" s="962">
        <f>L293</f>
        <v>122.76088735768597</v>
      </c>
      <c r="Y123" s="954">
        <f t="shared" si="13"/>
        <v>1.6368118314358129</v>
      </c>
      <c r="Z123" s="335">
        <v>75</v>
      </c>
    </row>
    <row r="124" spans="1:26" ht="12.75" customHeight="1" thickBot="1" x14ac:dyDescent="0.45">
      <c r="A124" s="976"/>
      <c r="B124" s="977"/>
      <c r="C124" s="978"/>
      <c r="D124" s="978"/>
      <c r="E124" s="979"/>
      <c r="F124" s="979"/>
      <c r="G124" s="979"/>
      <c r="H124" s="980"/>
      <c r="I124" s="999"/>
      <c r="J124" s="981"/>
      <c r="K124" s="981"/>
      <c r="L124" s="981"/>
      <c r="M124" s="982"/>
      <c r="N124" s="983"/>
      <c r="O124" s="984"/>
      <c r="T124" s="950">
        <v>24</v>
      </c>
      <c r="U124" s="961">
        <f>E301</f>
        <v>1</v>
      </c>
      <c r="V124" s="962">
        <f>F301</f>
        <v>7.17</v>
      </c>
      <c r="W124" s="962">
        <f>G301</f>
        <v>14.94</v>
      </c>
      <c r="X124" s="962">
        <f>L301</f>
        <v>120.77838156601727</v>
      </c>
      <c r="Y124" s="954">
        <f t="shared" si="13"/>
        <v>1.6103784208802303</v>
      </c>
      <c r="Z124" s="335">
        <v>75</v>
      </c>
    </row>
    <row r="125" spans="1:26" ht="12.6" thickBot="1" x14ac:dyDescent="0.45">
      <c r="A125" s="985">
        <v>4</v>
      </c>
      <c r="B125" s="986">
        <v>1</v>
      </c>
      <c r="C125" s="987" t="str">
        <f>C$101</f>
        <v xml:space="preserve">1. Filter Influent </v>
      </c>
      <c r="D125" s="987" t="str">
        <f>D$101</f>
        <v>Free Chlorine</v>
      </c>
      <c r="E125" s="942">
        <f>Y10</f>
        <v>0.6</v>
      </c>
      <c r="F125" s="942">
        <f>AI10</f>
        <v>6.39</v>
      </c>
      <c r="G125" s="965">
        <f>X10</f>
        <v>12.8</v>
      </c>
      <c r="H125" s="944">
        <f>(Q125*1000000)/1440</f>
        <v>17729.166666666668</v>
      </c>
      <c r="I125" s="989">
        <f>I$101</f>
        <v>91543</v>
      </c>
      <c r="J125" s="958">
        <f>+I125*$F$89</f>
        <v>12816.02</v>
      </c>
      <c r="K125" s="958">
        <f>+(J125/H$125)</f>
        <v>0.72287774383078729</v>
      </c>
      <c r="L125" s="958">
        <f>+(K125*E125)</f>
        <v>0.43372664629847235</v>
      </c>
      <c r="M125" s="947">
        <f t="shared" ref="M125:M130" si="20">IF(AND($D125="Free Chlorine",$E125&gt;0.4),$L125/(0.2828*($F125^2.69)*($E125^0.15)*(0.933^($G125-5))),IF(AND($D125="Free Chlorine",$E125&lt;=0.4),$L125/(0.2828*($F125^2.69)*(0.4^0.15)*(0.933^($G125-5))),IF(AND($D125="Chloramine",$G125&gt;1),$L125/(858.5-(24.3*$G125)),IF(AND($D125="Chloramine",$G125&lt;=1),$L125/(858.5-(24.3)),IF(AND($D125="Chlorine Dioxide",$G125&gt;1),(($L125*($G125^0.49))+0.18)/23.85,IF(AND($D125="Chlorine Dioxide",$G125&lt;=1),($L125+0.18)/23.85,IF($D125="Ozone",(($L125*EXP(0.072*$G125))-0.01)/0.98,"Check Dsfctnt.")))))))</f>
        <v>1.9370457660672771E-2</v>
      </c>
      <c r="N125" s="959">
        <f t="shared" ref="N125:N130" si="21">IF($D125="Free Chlorine",IF(F125&gt;9,(($L125*EXP(0.071*$G125))-0.21)/22.37,(($L125*EXP(0.071*$G125))-0.42)/2.94),IF($D125="Chloramine",(($L125*EXP(0.071*$G125))+410.7)/849.5,IF($D125="Chlorine Dioxide",(($L125*EXP(0.072*$G125))+35.15)/21.25,IF($D125="Ozone",(($L125*EXP(0.068*$G125))-0.01)/0.47,"Check Dsfctnt."))))</f>
        <v>0.22320565849447921</v>
      </c>
      <c r="O125" s="960">
        <f t="shared" ref="O125:O130" si="22">IF(N125&lt;0,0,N125)</f>
        <v>0.22320565849447921</v>
      </c>
      <c r="Q125">
        <f>T10</f>
        <v>25.53</v>
      </c>
      <c r="T125" s="950">
        <v>25</v>
      </c>
      <c r="U125" s="961">
        <f>E309</f>
        <v>1.0375000000000001</v>
      </c>
      <c r="V125" s="962">
        <f>F309</f>
        <v>6.9675000000000002</v>
      </c>
      <c r="W125" s="962">
        <f>G309</f>
        <v>15.39</v>
      </c>
      <c r="X125" s="962">
        <f>L309</f>
        <v>130.18755920134424</v>
      </c>
      <c r="Y125" s="954">
        <f t="shared" si="13"/>
        <v>2.3247778428811472</v>
      </c>
      <c r="Z125" s="335">
        <v>56</v>
      </c>
    </row>
    <row r="126" spans="1:26" ht="12.6" thickBot="1" x14ac:dyDescent="0.45">
      <c r="A126" s="939"/>
      <c r="B126" s="940"/>
      <c r="C126" s="987" t="str">
        <f>C$102</f>
        <v>2. Filter&amp;Filter Eff.</v>
      </c>
      <c r="D126" s="987" t="str">
        <f>D$102</f>
        <v>Free Chlorine</v>
      </c>
      <c r="E126" s="956">
        <f>Z10</f>
        <v>0.4</v>
      </c>
      <c r="F126" s="956">
        <f>AK10</f>
        <v>6.28</v>
      </c>
      <c r="G126" s="965">
        <f>X10</f>
        <v>12.8</v>
      </c>
      <c r="H126" s="944">
        <f>(Q126*1000000)/1440</f>
        <v>17729.166666666668</v>
      </c>
      <c r="I126" s="989">
        <f>I$102</f>
        <v>566414.48</v>
      </c>
      <c r="J126" s="958">
        <f>+I126*$F$90</f>
        <v>385161.84640000004</v>
      </c>
      <c r="K126" s="958">
        <f>+(J126/H$126)</f>
        <v>21.724757493772035</v>
      </c>
      <c r="L126" s="958">
        <f>+(K126*E126)</f>
        <v>8.6899029975088151</v>
      </c>
      <c r="M126" s="947">
        <f t="shared" si="20"/>
        <v>0.4321537260812503</v>
      </c>
      <c r="N126" s="964">
        <f t="shared" si="21"/>
        <v>7.1913711363822888</v>
      </c>
      <c r="O126" s="960">
        <f t="shared" si="22"/>
        <v>7.1913711363822888</v>
      </c>
      <c r="Q126">
        <f>T10</f>
        <v>25.53</v>
      </c>
      <c r="T126" s="950">
        <v>26</v>
      </c>
      <c r="U126" s="961">
        <f>E317</f>
        <v>0.9375</v>
      </c>
      <c r="V126" s="962">
        <f>F317</f>
        <v>7.12</v>
      </c>
      <c r="W126" s="962">
        <f>G317</f>
        <v>15.7</v>
      </c>
      <c r="X126" s="962">
        <f>L317</f>
        <v>89.994837194011168</v>
      </c>
      <c r="Y126" s="954">
        <f t="shared" si="13"/>
        <v>1.6362697671638393</v>
      </c>
      <c r="Z126" s="335">
        <v>55</v>
      </c>
    </row>
    <row r="127" spans="1:26" ht="12.6" thickBot="1" x14ac:dyDescent="0.45">
      <c r="A127" s="939"/>
      <c r="B127" s="940"/>
      <c r="C127" s="987" t="str">
        <f>C$103</f>
        <v xml:space="preserve">3. Plant Effluent </v>
      </c>
      <c r="D127" s="987" t="str">
        <f>D$103</f>
        <v>Free Chlorine</v>
      </c>
      <c r="E127" s="956">
        <f>AA10</f>
        <v>1.8</v>
      </c>
      <c r="F127" s="956">
        <f>AM10</f>
        <v>7.79</v>
      </c>
      <c r="G127" s="965">
        <f>X10</f>
        <v>12.8</v>
      </c>
      <c r="H127" s="944">
        <f>(Q127*1000000)/1440</f>
        <v>17729.166666666668</v>
      </c>
      <c r="I127" s="989">
        <f>I$103</f>
        <v>14092</v>
      </c>
      <c r="J127" s="958">
        <f>+I127*$F$91</f>
        <v>14092</v>
      </c>
      <c r="K127" s="958">
        <f>+(J127/H$127)</f>
        <v>0.79484841363102232</v>
      </c>
      <c r="L127" s="958">
        <f>+(K127*E127)</f>
        <v>1.4307271445358403</v>
      </c>
      <c r="M127" s="947">
        <f t="shared" si="20"/>
        <v>3.1803429449307773E-2</v>
      </c>
      <c r="N127" s="964">
        <f t="shared" si="21"/>
        <v>1.0646683595953483</v>
      </c>
      <c r="O127" s="960">
        <f t="shared" si="22"/>
        <v>1.0646683595953483</v>
      </c>
      <c r="Q127">
        <f>T10</f>
        <v>25.53</v>
      </c>
      <c r="T127" s="950">
        <v>27</v>
      </c>
      <c r="U127" s="961">
        <f>E325</f>
        <v>1</v>
      </c>
      <c r="V127" s="962">
        <f>F325</f>
        <v>7.1949999999999994</v>
      </c>
      <c r="W127" s="962">
        <f>G325</f>
        <v>15.7</v>
      </c>
      <c r="X127" s="962">
        <f>L325</f>
        <v>102.09883299906053</v>
      </c>
      <c r="Y127" s="954">
        <f t="shared" si="13"/>
        <v>1.8231934464117951</v>
      </c>
      <c r="Z127" s="335">
        <v>56</v>
      </c>
    </row>
    <row r="128" spans="1:26" ht="12.6" thickBot="1" x14ac:dyDescent="0.45">
      <c r="A128" s="939"/>
      <c r="B128" s="940"/>
      <c r="C128" s="987" t="str">
        <f>C$104</f>
        <v>4. Clearwell #1</v>
      </c>
      <c r="D128" s="987" t="str">
        <f>D$104</f>
        <v>Free Chlorine</v>
      </c>
      <c r="E128" s="956">
        <f>AB10</f>
        <v>1.6</v>
      </c>
      <c r="F128" s="956">
        <f>AO10</f>
        <v>8.2100000000000009</v>
      </c>
      <c r="G128" s="965">
        <f>X10</f>
        <v>12.8</v>
      </c>
      <c r="H128" s="944">
        <f>(Q128*1000000)/1440</f>
        <v>20159.722222222223</v>
      </c>
      <c r="I128" s="957">
        <f>V10*145792</f>
        <v>1769914.8800000001</v>
      </c>
      <c r="J128" s="958">
        <f>+I128*$K$89</f>
        <v>1238940.416</v>
      </c>
      <c r="K128" s="958">
        <f>+(J128/H$128)</f>
        <v>61.456224562177056</v>
      </c>
      <c r="L128" s="958">
        <f>+(K128*E128)</f>
        <v>98.329959299483292</v>
      </c>
      <c r="M128" s="947">
        <f t="shared" si="20"/>
        <v>1.931650465181711</v>
      </c>
      <c r="N128" s="964">
        <f t="shared" si="21"/>
        <v>82.847064424446415</v>
      </c>
      <c r="O128" s="960">
        <f t="shared" si="22"/>
        <v>82.847064424446415</v>
      </c>
      <c r="Q128">
        <f>U10</f>
        <v>29.03</v>
      </c>
      <c r="T128" s="950">
        <v>28</v>
      </c>
      <c r="U128" s="961">
        <f>E333</f>
        <v>0.97499999999999998</v>
      </c>
      <c r="V128" s="962">
        <f>F333</f>
        <v>7.0774999999999997</v>
      </c>
      <c r="W128" s="962">
        <f>G333</f>
        <v>15.76</v>
      </c>
      <c r="X128" s="962">
        <f>L333</f>
        <v>102.35599641071364</v>
      </c>
      <c r="Y128" s="954">
        <f>X128/Z128</f>
        <v>1.827785650191315</v>
      </c>
      <c r="Z128" s="335">
        <v>56</v>
      </c>
    </row>
    <row r="129" spans="1:119" ht="12.6" thickBot="1" x14ac:dyDescent="0.45">
      <c r="A129" s="939"/>
      <c r="B129" s="940"/>
      <c r="C129" s="987" t="str">
        <f>C$105</f>
        <v xml:space="preserve">5. Clearwells 2&amp;3 </v>
      </c>
      <c r="D129" s="987" t="str">
        <f>D$105</f>
        <v>Chloramine</v>
      </c>
      <c r="E129" s="956">
        <f>AF10</f>
        <v>0</v>
      </c>
      <c r="F129" s="956">
        <f>AQ10</f>
        <v>8.11</v>
      </c>
      <c r="G129" s="965">
        <f>X10</f>
        <v>12.8</v>
      </c>
      <c r="H129" s="944">
        <f>(Q129*1000000)/1440</f>
        <v>20159.722222222223</v>
      </c>
      <c r="I129" s="957">
        <f>W10*347599</f>
        <v>4334559.53</v>
      </c>
      <c r="J129" s="958">
        <f>+I129*$K$90</f>
        <v>2167279.7650000001</v>
      </c>
      <c r="K129" s="958">
        <f>+(J129/H$129)</f>
        <v>107.50543787805718</v>
      </c>
      <c r="L129" s="958">
        <f>+(K129*E129)</f>
        <v>0</v>
      </c>
      <c r="M129" s="947">
        <f t="shared" si="20"/>
        <v>0</v>
      </c>
      <c r="N129" s="964">
        <f t="shared" si="21"/>
        <v>0.48346085932901706</v>
      </c>
      <c r="O129" s="960">
        <f t="shared" si="22"/>
        <v>0.48346085932901706</v>
      </c>
      <c r="Q129">
        <f>U10</f>
        <v>29.03</v>
      </c>
      <c r="T129" s="950">
        <v>29</v>
      </c>
      <c r="U129" s="961">
        <f>E341</f>
        <v>1.05</v>
      </c>
      <c r="V129" s="962">
        <f>F341</f>
        <v>7.1274999999999995</v>
      </c>
      <c r="W129" s="962">
        <f>G341</f>
        <v>16.11</v>
      </c>
      <c r="X129" s="962">
        <f>L341</f>
        <v>130.37523777324125</v>
      </c>
      <c r="Y129" s="954">
        <f t="shared" si="13"/>
        <v>2.3281292459507368</v>
      </c>
      <c r="Z129" s="335">
        <v>56</v>
      </c>
    </row>
    <row r="130" spans="1:119" ht="12.6" thickBot="1" x14ac:dyDescent="0.45">
      <c r="A130" s="939"/>
      <c r="B130" s="940"/>
      <c r="C130" s="987"/>
      <c r="D130" s="987"/>
      <c r="E130" s="956"/>
      <c r="F130" s="956"/>
      <c r="G130" s="965"/>
      <c r="H130" s="990"/>
      <c r="I130" s="989"/>
      <c r="J130" s="958"/>
      <c r="K130" s="958"/>
      <c r="L130" s="958"/>
      <c r="M130" s="947" t="str">
        <f t="shared" si="20"/>
        <v>Check Dsfctnt.</v>
      </c>
      <c r="N130" s="964" t="str">
        <f t="shared" si="21"/>
        <v>Check Dsfctnt.</v>
      </c>
      <c r="O130" s="960" t="str">
        <f t="shared" si="22"/>
        <v>Check Dsfctnt.</v>
      </c>
      <c r="T130" s="950">
        <v>30</v>
      </c>
      <c r="U130" s="961">
        <f>E349</f>
        <v>0.82499999999999996</v>
      </c>
      <c r="V130" s="962">
        <f>F349</f>
        <v>7.0299999999999994</v>
      </c>
      <c r="W130" s="962">
        <f>G349</f>
        <v>16.2</v>
      </c>
      <c r="X130" s="962">
        <f>L349</f>
        <v>123.20910071631208</v>
      </c>
      <c r="Y130" s="954">
        <f t="shared" si="13"/>
        <v>2.2401654675693106</v>
      </c>
      <c r="Z130" s="335">
        <v>55</v>
      </c>
    </row>
    <row r="131" spans="1:119" x14ac:dyDescent="0.4">
      <c r="A131" s="966"/>
      <c r="B131" s="967"/>
      <c r="C131" s="968" t="str">
        <f>C$107</f>
        <v>System TOTAL</v>
      </c>
      <c r="D131" s="969"/>
      <c r="E131" s="970">
        <f>AVERAGE(E125:E128)</f>
        <v>1.1000000000000001</v>
      </c>
      <c r="F131" s="970">
        <f>AVERAGE(F125:F128)</f>
        <v>7.1675000000000004</v>
      </c>
      <c r="G131" s="970">
        <f>AVERAGE(G125:G128)</f>
        <v>12.8</v>
      </c>
      <c r="H131" s="971"/>
      <c r="I131" s="998"/>
      <c r="J131" s="972"/>
      <c r="K131" s="972"/>
      <c r="L131" s="972">
        <f>SUM(L125:L128)</f>
        <v>108.88431608782642</v>
      </c>
      <c r="M131" s="973">
        <f>SUM(M125:M130)</f>
        <v>2.414978078372942</v>
      </c>
      <c r="N131" s="974">
        <f>SUM(N125:N130)</f>
        <v>91.809770438247554</v>
      </c>
      <c r="O131" s="975">
        <f>SUM(O125:O130)</f>
        <v>91.809770438247554</v>
      </c>
      <c r="S131" t="s">
        <v>0</v>
      </c>
      <c r="T131" s="950">
        <v>31</v>
      </c>
      <c r="U131" s="961">
        <f>E357</f>
        <v>0.95</v>
      </c>
      <c r="V131" s="962">
        <f>F357</f>
        <v>7.0325000000000006</v>
      </c>
      <c r="W131" s="962">
        <f>G357</f>
        <v>16.23</v>
      </c>
      <c r="X131" s="962">
        <f>L357</f>
        <v>109.96969962167861</v>
      </c>
      <c r="Y131" s="1000">
        <f>X131/Z131</f>
        <v>1.9637446361014039</v>
      </c>
      <c r="Z131" s="335">
        <v>56</v>
      </c>
    </row>
    <row r="132" spans="1:119" s="449" customFormat="1" ht="4" customHeight="1" x14ac:dyDescent="0.4">
      <c r="A132" s="1001"/>
      <c r="B132" s="978"/>
      <c r="C132" s="978"/>
      <c r="D132" s="978"/>
      <c r="E132" s="979"/>
      <c r="F132" s="979"/>
      <c r="G132" s="979"/>
      <c r="H132" s="980"/>
      <c r="I132" s="999"/>
      <c r="J132" s="981"/>
      <c r="K132" s="981"/>
      <c r="L132" s="981"/>
      <c r="M132" s="982"/>
      <c r="N132" s="983"/>
      <c r="O132" s="984"/>
      <c r="CA132" s="1002"/>
      <c r="CB132" s="1002"/>
      <c r="CG132" s="1002"/>
      <c r="CK132" s="1003"/>
      <c r="CL132" s="1003"/>
      <c r="CM132" s="1002"/>
      <c r="CN132" s="1002"/>
      <c r="CO132" s="1004"/>
      <c r="CP132" s="1002"/>
      <c r="DA132" s="467"/>
      <c r="DB132" s="1002"/>
      <c r="DG132" s="836"/>
      <c r="DH132" s="889"/>
      <c r="DI132" s="889"/>
      <c r="DJ132" s="836"/>
      <c r="DK132" s="765"/>
      <c r="DL132" s="765"/>
      <c r="DM132" s="765"/>
      <c r="DN132" s="765"/>
      <c r="DO132" s="765"/>
    </row>
    <row r="133" spans="1:119" x14ac:dyDescent="0.4">
      <c r="A133" s="985">
        <v>5</v>
      </c>
      <c r="B133" s="986">
        <v>1</v>
      </c>
      <c r="C133" s="987" t="str">
        <f>C$101</f>
        <v xml:space="preserve">1. Filter Influent </v>
      </c>
      <c r="D133" s="987" t="str">
        <f>D$101</f>
        <v>Free Chlorine</v>
      </c>
      <c r="E133" s="942">
        <f>Y11</f>
        <v>0.6</v>
      </c>
      <c r="F133" s="942">
        <f>AI11</f>
        <v>6.33</v>
      </c>
      <c r="G133" s="965">
        <f>X11</f>
        <v>12.84</v>
      </c>
      <c r="H133" s="944">
        <f>(Q133*1000000)/1440</f>
        <v>17659.722222222223</v>
      </c>
      <c r="I133" s="989">
        <f>I$101</f>
        <v>91543</v>
      </c>
      <c r="J133" s="958">
        <f>+I133*$F$89</f>
        <v>12816.02</v>
      </c>
      <c r="K133" s="958">
        <f>+(J133/H$133)</f>
        <v>0.72572036177742827</v>
      </c>
      <c r="L133" s="958">
        <f>+(K133*E133)</f>
        <v>0.43543221706645696</v>
      </c>
      <c r="M133" s="947">
        <f t="shared" ref="M133:M138" si="23">IF(AND($D133="Free Chlorine",$E133&gt;0.4),$L133/(0.2828*($F133^2.69)*($E133^0.15)*(0.933^($G133-5))),IF(AND($D133="Free Chlorine",$E133&lt;=0.4),$L133/(0.2828*($F133^2.69)*(0.4^0.15)*(0.933^($G133-5))),IF(AND($D133="Chloramine",$G133&gt;1),$L133/(858.5-(24.3*$G133)),IF(AND($D133="Chloramine",$G133&lt;=1),$L133/(858.5-(24.3)),IF(AND($D133="Chlorine Dioxide",$G133&gt;1),(($L133*($G133^0.49))+0.18)/23.85,IF(AND($D133="Chlorine Dioxide",$G133&lt;=1),($L133+0.18)/23.85,IF($D133="Ozone",(($L133*EXP(0.072*$G133))-0.01)/0.98,"Check Dsfctnt.")))))))</f>
        <v>2.0001860737186485E-2</v>
      </c>
      <c r="N133" s="959">
        <f t="shared" ref="N133:N138" si="24">IF($D133="Free Chlorine",IF(F133&gt;9,(($L133*EXP(0.071*$G133))-0.21)/22.37,(($L133*EXP(0.071*$G133))-0.42)/2.94),IF($D133="Chloramine",(($L133*EXP(0.071*$G133))+410.7)/849.5,IF($D133="Chlorine Dioxide",(($L133*EXP(0.072*$G133))+35.15)/21.25,IF($D133="Ozone",(($L133*EXP(0.068*$G133))-0.01)/0.47,"Check Dsfctnt."))))</f>
        <v>0.22569034041867392</v>
      </c>
      <c r="O133" s="960">
        <f t="shared" ref="O133:O138" si="25">IF(N133&lt;0,0,N133)</f>
        <v>0.22569034041867392</v>
      </c>
      <c r="Q133">
        <f>T11</f>
        <v>25.43</v>
      </c>
    </row>
    <row r="134" spans="1:119" x14ac:dyDescent="0.4">
      <c r="A134" s="939"/>
      <c r="B134" s="940"/>
      <c r="C134" s="987" t="str">
        <f>C$102</f>
        <v>2. Filter&amp;Filter Eff.</v>
      </c>
      <c r="D134" s="987" t="str">
        <f>D$102</f>
        <v>Free Chlorine</v>
      </c>
      <c r="E134" s="956">
        <f>Z11</f>
        <v>0.3</v>
      </c>
      <c r="F134" s="956">
        <f>AK11</f>
        <v>6.33</v>
      </c>
      <c r="G134" s="965">
        <f>X11</f>
        <v>12.84</v>
      </c>
      <c r="H134" s="944">
        <f>(Q134*1000000)/1440</f>
        <v>17659.722222222223</v>
      </c>
      <c r="I134" s="989">
        <f>I$102</f>
        <v>566414.48</v>
      </c>
      <c r="J134" s="958">
        <f>+I134*$F$90</f>
        <v>385161.84640000004</v>
      </c>
      <c r="K134" s="958">
        <f>+(J134/H$134)</f>
        <v>21.810187133936296</v>
      </c>
      <c r="L134" s="958">
        <f>+(K134*E134)</f>
        <v>6.5430561401808882</v>
      </c>
      <c r="M134" s="947">
        <f t="shared" si="23"/>
        <v>0.31940681328970322</v>
      </c>
      <c r="N134" s="964">
        <f t="shared" si="24"/>
        <v>5.3951503331216202</v>
      </c>
      <c r="O134" s="960">
        <f t="shared" si="25"/>
        <v>5.3951503331216202</v>
      </c>
      <c r="Q134">
        <f>T11</f>
        <v>25.43</v>
      </c>
    </row>
    <row r="135" spans="1:119" x14ac:dyDescent="0.4">
      <c r="A135" s="939"/>
      <c r="B135" s="940"/>
      <c r="C135" s="987" t="str">
        <f>C$103</f>
        <v xml:space="preserve">3. Plant Effluent </v>
      </c>
      <c r="D135" s="987" t="str">
        <f>D$103</f>
        <v>Free Chlorine</v>
      </c>
      <c r="E135" s="956">
        <f>AA11</f>
        <v>1.8</v>
      </c>
      <c r="F135" s="956">
        <f>AM11</f>
        <v>7.96</v>
      </c>
      <c r="G135" s="965">
        <f>X11</f>
        <v>12.84</v>
      </c>
      <c r="H135" s="944">
        <f>(Q135*1000000)/1440</f>
        <v>17659.722222222223</v>
      </c>
      <c r="I135" s="989">
        <f>I$103</f>
        <v>14092</v>
      </c>
      <c r="J135" s="958">
        <f>+I135*$F$91</f>
        <v>14092</v>
      </c>
      <c r="K135" s="958">
        <f>+(J135/H$135)</f>
        <v>0.79797404640188752</v>
      </c>
      <c r="L135" s="958">
        <f>+(K135*E135)</f>
        <v>1.4363532835233976</v>
      </c>
      <c r="M135" s="947">
        <f t="shared" si="23"/>
        <v>3.0210836565946163E-2</v>
      </c>
      <c r="N135" s="964">
        <f t="shared" si="24"/>
        <v>1.0728645400809635</v>
      </c>
      <c r="O135" s="960">
        <f t="shared" si="25"/>
        <v>1.0728645400809635</v>
      </c>
      <c r="Q135">
        <f>T11</f>
        <v>25.43</v>
      </c>
    </row>
    <row r="136" spans="1:119" x14ac:dyDescent="0.4">
      <c r="A136" s="939"/>
      <c r="B136" s="940"/>
      <c r="C136" s="987" t="str">
        <f>C$104</f>
        <v>4. Clearwell #1</v>
      </c>
      <c r="D136" s="987" t="str">
        <f>D$104</f>
        <v>Free Chlorine</v>
      </c>
      <c r="E136" s="956">
        <f>AB11</f>
        <v>1.3</v>
      </c>
      <c r="F136" s="956">
        <f>AO11</f>
        <v>8.08</v>
      </c>
      <c r="G136" s="965">
        <f>X11</f>
        <v>12.84</v>
      </c>
      <c r="H136" s="944">
        <f>(Q136*1000000)/1440</f>
        <v>19763.888888888891</v>
      </c>
      <c r="I136" s="957">
        <f>V11*145792</f>
        <v>1914248.9600000002</v>
      </c>
      <c r="J136" s="958">
        <f>+I136*$K$89</f>
        <v>1339974.2720000001</v>
      </c>
      <c r="K136" s="958">
        <f>+(J136/H$136)</f>
        <v>67.799119876317633</v>
      </c>
      <c r="L136" s="958">
        <f>+(K136*E136)</f>
        <v>88.138855839212923</v>
      </c>
      <c r="M136" s="947">
        <f t="shared" si="23"/>
        <v>1.8697685607587378</v>
      </c>
      <c r="N136" s="964">
        <f t="shared" si="24"/>
        <v>74.457395721285536</v>
      </c>
      <c r="O136" s="960">
        <f t="shared" si="25"/>
        <v>74.457395721285536</v>
      </c>
      <c r="Q136">
        <f>U11</f>
        <v>28.46</v>
      </c>
    </row>
    <row r="137" spans="1:119" x14ac:dyDescent="0.4">
      <c r="A137" s="939"/>
      <c r="B137" s="940"/>
      <c r="C137" s="987" t="str">
        <f>C$105</f>
        <v xml:space="preserve">5. Clearwells 2&amp;3 </v>
      </c>
      <c r="D137" s="987" t="str">
        <f>D$105</f>
        <v>Chloramine</v>
      </c>
      <c r="E137" s="956">
        <f>AF11</f>
        <v>0</v>
      </c>
      <c r="F137" s="956">
        <f>AQ11</f>
        <v>8.11</v>
      </c>
      <c r="G137" s="965">
        <f>X11</f>
        <v>12.84</v>
      </c>
      <c r="H137" s="944">
        <f>(Q137*1000000)/1440</f>
        <v>19763.888888888891</v>
      </c>
      <c r="I137" s="957">
        <f>W11*347599</f>
        <v>4675206.55</v>
      </c>
      <c r="J137" s="958">
        <f>+I137*$K$90</f>
        <v>2337603.2749999999</v>
      </c>
      <c r="K137" s="958">
        <f>+(J137/H$137)</f>
        <v>118.27648334504566</v>
      </c>
      <c r="L137" s="958">
        <f>+(K137*E137)</f>
        <v>0</v>
      </c>
      <c r="M137" s="947">
        <f t="shared" si="23"/>
        <v>0</v>
      </c>
      <c r="N137" s="964">
        <f t="shared" si="24"/>
        <v>0.48346085932901706</v>
      </c>
      <c r="O137" s="960">
        <f t="shared" si="25"/>
        <v>0.48346085932901706</v>
      </c>
      <c r="Q137">
        <f>U11</f>
        <v>28.46</v>
      </c>
    </row>
    <row r="138" spans="1:119" x14ac:dyDescent="0.4">
      <c r="A138" s="939"/>
      <c r="B138" s="940"/>
      <c r="C138" s="987"/>
      <c r="D138" s="987"/>
      <c r="E138" s="956"/>
      <c r="F138" s="956"/>
      <c r="G138" s="965"/>
      <c r="H138" s="990"/>
      <c r="I138" s="989"/>
      <c r="J138" s="958"/>
      <c r="K138" s="958"/>
      <c r="L138" s="958"/>
      <c r="M138" s="947" t="str">
        <f t="shared" si="23"/>
        <v>Check Dsfctnt.</v>
      </c>
      <c r="N138" s="964" t="str">
        <f t="shared" si="24"/>
        <v>Check Dsfctnt.</v>
      </c>
      <c r="O138" s="960" t="str">
        <f t="shared" si="25"/>
        <v>Check Dsfctnt.</v>
      </c>
    </row>
    <row r="139" spans="1:119" x14ac:dyDescent="0.4">
      <c r="A139" s="966"/>
      <c r="B139" s="967"/>
      <c r="C139" s="968" t="str">
        <f>C$107</f>
        <v>System TOTAL</v>
      </c>
      <c r="D139" s="969"/>
      <c r="E139" s="970">
        <f>AVERAGE(E133:E136)</f>
        <v>1</v>
      </c>
      <c r="F139" s="970">
        <f>AVERAGE(F133:F136)</f>
        <v>7.1750000000000007</v>
      </c>
      <c r="G139" s="970">
        <f>AVERAGE(G133:G136)</f>
        <v>12.84</v>
      </c>
      <c r="H139" s="971"/>
      <c r="I139" s="998"/>
      <c r="J139" s="972"/>
      <c r="K139" s="972"/>
      <c r="L139" s="972">
        <f>SUM(L133:L136)</f>
        <v>96.553697479983668</v>
      </c>
      <c r="M139" s="973">
        <f>SUM(M133:M138)</f>
        <v>2.2393880713515735</v>
      </c>
      <c r="N139" s="974">
        <f>SUM(N133:N138)</f>
        <v>81.634561794235807</v>
      </c>
      <c r="O139" s="975">
        <f>SUM(O133:O138)</f>
        <v>81.634561794235807</v>
      </c>
    </row>
    <row r="140" spans="1:119" s="449" customFormat="1" ht="4" customHeight="1" x14ac:dyDescent="0.4">
      <c r="A140" s="1001"/>
      <c r="B140" s="978"/>
      <c r="C140" s="978"/>
      <c r="D140" s="978"/>
      <c r="E140" s="979"/>
      <c r="F140" s="979"/>
      <c r="G140" s="979"/>
      <c r="H140" s="980"/>
      <c r="I140" s="999"/>
      <c r="J140" s="981"/>
      <c r="K140" s="981"/>
      <c r="L140" s="981"/>
      <c r="M140" s="982"/>
      <c r="N140" s="983"/>
      <c r="O140" s="984"/>
      <c r="CA140" s="1002"/>
      <c r="CB140" s="1002"/>
      <c r="CG140" s="1002"/>
      <c r="CK140" s="1003"/>
      <c r="CL140" s="1003"/>
      <c r="CM140" s="1002"/>
      <c r="CN140" s="1002"/>
      <c r="CO140" s="1004"/>
      <c r="CP140" s="1002"/>
      <c r="DA140" s="467"/>
      <c r="DB140" s="1002"/>
      <c r="DG140" s="836"/>
      <c r="DH140" s="889"/>
      <c r="DI140" s="889"/>
      <c r="DJ140" s="836"/>
      <c r="DK140" s="765"/>
      <c r="DL140" s="765"/>
      <c r="DM140" s="765"/>
      <c r="DN140" s="765"/>
      <c r="DO140" s="765"/>
    </row>
    <row r="141" spans="1:119" x14ac:dyDescent="0.4">
      <c r="A141" s="985">
        <v>6</v>
      </c>
      <c r="B141" s="986">
        <v>1</v>
      </c>
      <c r="C141" s="987" t="str">
        <f>C$101</f>
        <v xml:space="preserve">1. Filter Influent </v>
      </c>
      <c r="D141" s="987" t="str">
        <f>D$101</f>
        <v>Free Chlorine</v>
      </c>
      <c r="E141" s="942">
        <f>Y12</f>
        <v>0.5</v>
      </c>
      <c r="F141" s="942">
        <f>AI12</f>
        <v>6.38</v>
      </c>
      <c r="G141" s="965">
        <f>X12</f>
        <v>12.56</v>
      </c>
      <c r="H141" s="944">
        <f>(Q141*1000000)/1440</f>
        <v>14826.388888888889</v>
      </c>
      <c r="I141" s="989">
        <f>I$101</f>
        <v>91543</v>
      </c>
      <c r="J141" s="958">
        <f>+I141*$F$89</f>
        <v>12816.02</v>
      </c>
      <c r="K141" s="958">
        <f>+(J141/H$141)</f>
        <v>0.86440603278688533</v>
      </c>
      <c r="L141" s="958">
        <f>+(K141*E141)</f>
        <v>0.43220301639344266</v>
      </c>
      <c r="M141" s="947">
        <f t="shared" ref="M141:M146" si="26">IF(AND($D141="Free Chlorine",$E141&gt;0.4),$L141/(0.2828*($F141^2.69)*($E141^0.15)*(0.933^($G141-5))),IF(AND($D141="Free Chlorine",$E141&lt;=0.4),$L141/(0.2828*($F141^2.69)*(0.4^0.15)*(0.933^($G141-5))),IF(AND($D141="Chloramine",$G141&gt;1),$L141/(858.5-(24.3*$G141)),IF(AND($D141="Chloramine",$G141&lt;=1),$L141/(858.5-(24.3)),IF(AND($D141="Chlorine Dioxide",$G141&gt;1),(($L141*($G141^0.49))+0.18)/23.85,IF(AND($D141="Chlorine Dioxide",$G141&lt;=1),($L141+0.18)/23.85,IF($D141="Ozone",(($L141*EXP(0.072*$G141))-0.01)/0.98,"Check Dsfctnt.")))))))</f>
        <v>1.9592508113606889E-2</v>
      </c>
      <c r="N141" s="959">
        <f t="shared" ref="N141:N146" si="27">IF($D141="Free Chlorine",IF(F141&gt;9,(($L141*EXP(0.071*$G141))-0.21)/22.37,(($L141*EXP(0.071*$G141))-0.42)/2.94),IF($D141="Chloramine",(($L141*EXP(0.071*$G141))+410.7)/849.5,IF($D141="Chlorine Dioxide",(($L141*EXP(0.072*$G141))+35.15)/21.25,IF($D141="Ozone",(($L141*EXP(0.068*$G141))-0.01)/0.47,"Check Dsfctnt."))))</f>
        <v>0.21575658486030544</v>
      </c>
      <c r="O141" s="960">
        <f t="shared" ref="O141:O146" si="28">IF(N141&lt;0,0,N141)</f>
        <v>0.21575658486030544</v>
      </c>
      <c r="Q141">
        <f>T12</f>
        <v>21.35</v>
      </c>
    </row>
    <row r="142" spans="1:119" x14ac:dyDescent="0.4">
      <c r="A142" s="939"/>
      <c r="B142" s="940"/>
      <c r="C142" s="987" t="str">
        <f>C$102</f>
        <v>2. Filter&amp;Filter Eff.</v>
      </c>
      <c r="D142" s="987" t="str">
        <f>D$102</f>
        <v>Free Chlorine</v>
      </c>
      <c r="E142" s="956">
        <f>Z12</f>
        <v>0.3</v>
      </c>
      <c r="F142" s="956">
        <f>AK12</f>
        <v>6.33</v>
      </c>
      <c r="G142" s="965">
        <f>X12</f>
        <v>12.56</v>
      </c>
      <c r="H142" s="944">
        <f>(Q142*1000000)/1440</f>
        <v>14826.388888888889</v>
      </c>
      <c r="I142" s="989">
        <f>I$102</f>
        <v>566414.48</v>
      </c>
      <c r="J142" s="958">
        <f>+I142*$F$90</f>
        <v>385161.84640000004</v>
      </c>
      <c r="K142" s="958">
        <f>+(J142/H$142)</f>
        <v>25.978129218548013</v>
      </c>
      <c r="L142" s="958">
        <f>+(K142*E142)</f>
        <v>7.7934387655644031</v>
      </c>
      <c r="M142" s="947">
        <f t="shared" si="26"/>
        <v>0.37312944051806446</v>
      </c>
      <c r="N142" s="964">
        <f t="shared" si="27"/>
        <v>6.3236274059515765</v>
      </c>
      <c r="O142" s="960">
        <f t="shared" si="28"/>
        <v>6.3236274059515765</v>
      </c>
      <c r="Q142">
        <f>T12</f>
        <v>21.35</v>
      </c>
    </row>
    <row r="143" spans="1:119" x14ac:dyDescent="0.4">
      <c r="A143" s="939"/>
      <c r="B143" s="940"/>
      <c r="C143" s="987" t="str">
        <f>C$103</f>
        <v xml:space="preserve">3. Plant Effluent </v>
      </c>
      <c r="D143" s="987" t="str">
        <f>D$103</f>
        <v>Free Chlorine</v>
      </c>
      <c r="E143" s="956">
        <f>AA12</f>
        <v>1.6</v>
      </c>
      <c r="F143" s="956">
        <f>AM12</f>
        <v>7.7</v>
      </c>
      <c r="G143" s="965">
        <f>X12</f>
        <v>12.56</v>
      </c>
      <c r="H143" s="944">
        <f>(Q143*1000000)/1440</f>
        <v>14826.388888888889</v>
      </c>
      <c r="I143" s="989">
        <f>I$103</f>
        <v>14092</v>
      </c>
      <c r="J143" s="958">
        <f>+I143*$F$91</f>
        <v>14092</v>
      </c>
      <c r="K143" s="958">
        <f>+(J143/H$143)</f>
        <v>0.95046744730679156</v>
      </c>
      <c r="L143" s="958">
        <f>+(K143*E143)</f>
        <v>1.5207479156908665</v>
      </c>
      <c r="M143" s="947">
        <f t="shared" si="26"/>
        <v>3.4913593406388541E-2</v>
      </c>
      <c r="N143" s="964">
        <f t="shared" si="27"/>
        <v>1.1189597771524777</v>
      </c>
      <c r="O143" s="960">
        <f t="shared" si="28"/>
        <v>1.1189597771524777</v>
      </c>
      <c r="Q143">
        <f>T12</f>
        <v>21.35</v>
      </c>
    </row>
    <row r="144" spans="1:119" x14ac:dyDescent="0.4">
      <c r="A144" s="939"/>
      <c r="B144" s="940"/>
      <c r="C144" s="987" t="str">
        <f>C$104</f>
        <v>4. Clearwell #1</v>
      </c>
      <c r="D144" s="987" t="str">
        <f>D$104</f>
        <v>Free Chlorine</v>
      </c>
      <c r="E144" s="956">
        <f>AB12</f>
        <v>1.7</v>
      </c>
      <c r="F144" s="956">
        <f>AO12</f>
        <v>7.64</v>
      </c>
      <c r="G144" s="965">
        <f>X12</f>
        <v>12.56</v>
      </c>
      <c r="H144" s="944">
        <f>(Q144*1000000)/1440</f>
        <v>17423.611111111109</v>
      </c>
      <c r="I144" s="957">
        <f>V12*145792</f>
        <v>1909875.2</v>
      </c>
      <c r="J144" s="958">
        <f>+I144*$K$89</f>
        <v>1336912.6399999999</v>
      </c>
      <c r="K144" s="958">
        <f>+(J144/H$144)</f>
        <v>76.729940278995613</v>
      </c>
      <c r="L144" s="958">
        <f>+(K144*E144)</f>
        <v>130.44089847429254</v>
      </c>
      <c r="M144" s="947">
        <f t="shared" si="26"/>
        <v>3.0306841447294905</v>
      </c>
      <c r="N144" s="964">
        <f t="shared" si="27"/>
        <v>108.08844868888291</v>
      </c>
      <c r="O144" s="960">
        <f t="shared" si="28"/>
        <v>108.08844868888291</v>
      </c>
      <c r="Q144">
        <f>U12</f>
        <v>25.09</v>
      </c>
    </row>
    <row r="145" spans="1:119" x14ac:dyDescent="0.4">
      <c r="A145" s="939"/>
      <c r="B145" s="940"/>
      <c r="C145" s="987" t="str">
        <f>C$105</f>
        <v xml:space="preserve">5. Clearwells 2&amp;3 </v>
      </c>
      <c r="D145" s="987" t="str">
        <f>D$105</f>
        <v>Chloramine</v>
      </c>
      <c r="E145" s="956">
        <f>AF12</f>
        <v>0</v>
      </c>
      <c r="F145" s="956">
        <f>AQ12</f>
        <v>7.85</v>
      </c>
      <c r="G145" s="965">
        <f>X12</f>
        <v>12.56</v>
      </c>
      <c r="H145" s="944">
        <f>(Q145*1000000)/1440</f>
        <v>17423.611111111109</v>
      </c>
      <c r="I145" s="957">
        <f>W12*347599</f>
        <v>4633494.67</v>
      </c>
      <c r="J145" s="958">
        <f>+I145*$K$90</f>
        <v>2316747.335</v>
      </c>
      <c r="K145" s="958">
        <f>+(J145/H$145)</f>
        <v>132.96596900757274</v>
      </c>
      <c r="L145" s="958">
        <f>+(K145*E145)</f>
        <v>0</v>
      </c>
      <c r="M145" s="947">
        <f t="shared" si="26"/>
        <v>0</v>
      </c>
      <c r="N145" s="964">
        <f t="shared" si="27"/>
        <v>0.48346085932901706</v>
      </c>
      <c r="O145" s="960">
        <f t="shared" si="28"/>
        <v>0.48346085932901706</v>
      </c>
      <c r="Q145">
        <f>U12</f>
        <v>25.09</v>
      </c>
    </row>
    <row r="146" spans="1:119" x14ac:dyDescent="0.4">
      <c r="A146" s="939"/>
      <c r="B146" s="940"/>
      <c r="C146" s="987"/>
      <c r="D146" s="987"/>
      <c r="E146" s="956"/>
      <c r="F146" s="956"/>
      <c r="G146" s="965"/>
      <c r="H146" s="990"/>
      <c r="I146" s="989"/>
      <c r="J146" s="958"/>
      <c r="K146" s="958"/>
      <c r="L146" s="958"/>
      <c r="M146" s="947" t="str">
        <f t="shared" si="26"/>
        <v>Check Dsfctnt.</v>
      </c>
      <c r="N146" s="964" t="str">
        <f t="shared" si="27"/>
        <v>Check Dsfctnt.</v>
      </c>
      <c r="O146" s="960" t="str">
        <f t="shared" si="28"/>
        <v>Check Dsfctnt.</v>
      </c>
    </row>
    <row r="147" spans="1:119" x14ac:dyDescent="0.4">
      <c r="A147" s="966"/>
      <c r="B147" s="967"/>
      <c r="C147" s="968" t="str">
        <f>C$107</f>
        <v>System TOTAL</v>
      </c>
      <c r="D147" s="969"/>
      <c r="E147" s="970">
        <f>AVERAGE(E141:E144)</f>
        <v>1.0250000000000001</v>
      </c>
      <c r="F147" s="970">
        <f>AVERAGE(F141:F144)</f>
        <v>7.0125000000000002</v>
      </c>
      <c r="G147" s="970">
        <f>AVERAGE(G141:G144)</f>
        <v>12.56</v>
      </c>
      <c r="H147" s="971"/>
      <c r="I147" s="998"/>
      <c r="J147" s="972"/>
      <c r="K147" s="972"/>
      <c r="L147" s="972">
        <f>SUM(L141:L144)</f>
        <v>140.18728817194125</v>
      </c>
      <c r="M147" s="973">
        <f>SUM(M141:M146)</f>
        <v>3.4583196867675503</v>
      </c>
      <c r="N147" s="974">
        <f>SUM(N141:N146)</f>
        <v>116.23025331617627</v>
      </c>
      <c r="O147" s="975">
        <f>SUM(O141:O146)</f>
        <v>116.23025331617627</v>
      </c>
    </row>
    <row r="148" spans="1:119" s="449" customFormat="1" ht="4" customHeight="1" x14ac:dyDescent="0.4">
      <c r="A148" s="1001"/>
      <c r="B148" s="978"/>
      <c r="C148" s="978"/>
      <c r="D148" s="978"/>
      <c r="E148" s="979"/>
      <c r="F148" s="979"/>
      <c r="G148" s="979"/>
      <c r="H148" s="980"/>
      <c r="I148" s="999"/>
      <c r="J148" s="981"/>
      <c r="K148" s="981"/>
      <c r="L148" s="981"/>
      <c r="M148" s="982"/>
      <c r="N148" s="983"/>
      <c r="O148" s="984"/>
      <c r="CA148" s="1002"/>
      <c r="CB148" s="1002"/>
      <c r="CG148" s="1002"/>
      <c r="CK148" s="1003"/>
      <c r="CL148" s="1003"/>
      <c r="CM148" s="1002"/>
      <c r="CN148" s="1002"/>
      <c r="CO148" s="1004"/>
      <c r="CP148" s="1002"/>
      <c r="DA148" s="467"/>
      <c r="DB148" s="1002"/>
      <c r="DG148" s="836"/>
      <c r="DH148" s="889"/>
      <c r="DI148" s="889"/>
      <c r="DJ148" s="836"/>
      <c r="DK148" s="765"/>
      <c r="DL148" s="765"/>
      <c r="DM148" s="765"/>
      <c r="DN148" s="765"/>
      <c r="DO148" s="765"/>
    </row>
    <row r="149" spans="1:119" x14ac:dyDescent="0.4">
      <c r="A149" s="985">
        <v>7</v>
      </c>
      <c r="B149" s="986">
        <v>1</v>
      </c>
      <c r="C149" s="987" t="str">
        <f>C$101</f>
        <v xml:space="preserve">1. Filter Influent </v>
      </c>
      <c r="D149" s="987" t="str">
        <f>D$101</f>
        <v>Free Chlorine</v>
      </c>
      <c r="E149" s="942">
        <f>Y13</f>
        <v>0.5</v>
      </c>
      <c r="F149" s="942">
        <f>AI13</f>
        <v>6.32</v>
      </c>
      <c r="G149" s="965">
        <f>X13</f>
        <v>12.1</v>
      </c>
      <c r="H149" s="944">
        <f>(Q149*1000000)/1440</f>
        <v>16409.722222222223</v>
      </c>
      <c r="I149" s="989">
        <f>I$101</f>
        <v>91543</v>
      </c>
      <c r="J149" s="958">
        <f>+I149*$F$89</f>
        <v>12816.02</v>
      </c>
      <c r="K149" s="958">
        <f>+(J149/H$149)</f>
        <v>0.78100164198053323</v>
      </c>
      <c r="L149" s="958">
        <f>+(K149*E149)</f>
        <v>0.39050082099026662</v>
      </c>
      <c r="M149" s="947">
        <f t="shared" ref="M149:M154" si="29">IF(AND($D149="Free Chlorine",$E149&gt;0.4),$L149/(0.2828*($F149^2.69)*($E149^0.15)*(0.933^($G149-5))),IF(AND($D149="Free Chlorine",$E149&lt;=0.4),$L149/(0.2828*($F149^2.69)*(0.4^0.15)*(0.933^($G149-5))),IF(AND($D149="Chloramine",$G149&gt;1),$L149/(858.5-(24.3*$G149)),IF(AND($D149="Chloramine",$G149&lt;=1),$L149/(858.5-(24.3)),IF(AND($D149="Chlorine Dioxide",$G149&gt;1),(($L149*($G149^0.49))+0.18)/23.85,IF(AND($D149="Chlorine Dioxide",$G149&lt;=1),($L149+0.18)/23.85,IF($D149="Ozone",(($L149*EXP(0.072*$G149))-0.01)/0.98,"Check Dsfctnt.")))))))</f>
        <v>1.7587675103754714E-2</v>
      </c>
      <c r="N149" s="959">
        <f t="shared" ref="N149:N154" si="30">IF($D149="Free Chlorine",IF(F149&gt;9,(($L149*EXP(0.071*$G149))-0.21)/22.37,(($L149*EXP(0.071*$G149))-0.42)/2.94),IF($D149="Chloramine",(($L149*EXP(0.071*$G149))+410.7)/849.5,IF($D149="Chlorine Dioxide",(($L149*EXP(0.072*$G149))+35.15)/21.25,IF($D149="Ozone",(($L149*EXP(0.068*$G149))-0.01)/0.47,"Check Dsfctnt."))))</f>
        <v>0.17074354764645566</v>
      </c>
      <c r="O149" s="960">
        <f t="shared" ref="O149:O154" si="31">IF(N149&lt;0,0,N149)</f>
        <v>0.17074354764645566</v>
      </c>
      <c r="Q149">
        <f>T13</f>
        <v>23.63</v>
      </c>
    </row>
    <row r="150" spans="1:119" x14ac:dyDescent="0.4">
      <c r="A150" s="939"/>
      <c r="B150" s="940"/>
      <c r="C150" s="987" t="str">
        <f>C$102</f>
        <v>2. Filter&amp;Filter Eff.</v>
      </c>
      <c r="D150" s="987" t="str">
        <f>D$102</f>
        <v>Free Chlorine</v>
      </c>
      <c r="E150" s="956">
        <f>Z13</f>
        <v>0.2</v>
      </c>
      <c r="F150" s="956">
        <f>AK13</f>
        <v>6.35</v>
      </c>
      <c r="G150" s="965">
        <f>X13</f>
        <v>12.1</v>
      </c>
      <c r="H150" s="944">
        <f>(Q150*1000000)/1440</f>
        <v>16409.722222222223</v>
      </c>
      <c r="I150" s="989">
        <f>I$102</f>
        <v>566414.48</v>
      </c>
      <c r="J150" s="958">
        <f>+I150*$F$90</f>
        <v>385161.84640000004</v>
      </c>
      <c r="K150" s="958">
        <f>+(J150/H$150)</f>
        <v>23.471564063309355</v>
      </c>
      <c r="L150" s="958">
        <f>+(K150*E150)</f>
        <v>4.6943128126618712</v>
      </c>
      <c r="M150" s="947">
        <f t="shared" si="29"/>
        <v>0.21585525729208352</v>
      </c>
      <c r="N150" s="964">
        <f t="shared" si="30"/>
        <v>3.6270190273323846</v>
      </c>
      <c r="O150" s="960">
        <f t="shared" si="31"/>
        <v>3.6270190273323846</v>
      </c>
      <c r="Q150">
        <f>T13</f>
        <v>23.63</v>
      </c>
    </row>
    <row r="151" spans="1:119" x14ac:dyDescent="0.4">
      <c r="A151" s="939"/>
      <c r="B151" s="940"/>
      <c r="C151" s="987" t="str">
        <f>C$103</f>
        <v xml:space="preserve">3. Plant Effluent </v>
      </c>
      <c r="D151" s="987" t="str">
        <f>D$103</f>
        <v>Free Chlorine</v>
      </c>
      <c r="E151" s="956">
        <f>AA13</f>
        <v>1.6</v>
      </c>
      <c r="F151" s="956">
        <f>AM13</f>
        <v>7.81</v>
      </c>
      <c r="G151" s="965">
        <f>X13</f>
        <v>12.1</v>
      </c>
      <c r="H151" s="944">
        <f>(Q151*1000000)/1440</f>
        <v>16409.722222222223</v>
      </c>
      <c r="I151" s="989">
        <f>I$103</f>
        <v>14092</v>
      </c>
      <c r="J151" s="958">
        <f>+I151*$F$91</f>
        <v>14092</v>
      </c>
      <c r="K151" s="958">
        <f>+(J151/H$151)</f>
        <v>0.85875920440118492</v>
      </c>
      <c r="L151" s="958">
        <f>+(K151*E151)</f>
        <v>1.3740147270418959</v>
      </c>
      <c r="M151" s="947">
        <f t="shared" si="29"/>
        <v>2.9410542357726933E-2</v>
      </c>
      <c r="N151" s="964">
        <f t="shared" si="30"/>
        <v>0.9605770729013744</v>
      </c>
      <c r="O151" s="960">
        <f t="shared" si="31"/>
        <v>0.9605770729013744</v>
      </c>
      <c r="Q151">
        <f>T13</f>
        <v>23.63</v>
      </c>
    </row>
    <row r="152" spans="1:119" x14ac:dyDescent="0.4">
      <c r="A152" s="939"/>
      <c r="B152" s="940"/>
      <c r="C152" s="987" t="str">
        <f>C$104</f>
        <v>4. Clearwell #1</v>
      </c>
      <c r="D152" s="987" t="str">
        <f>D$104</f>
        <v>Free Chlorine</v>
      </c>
      <c r="E152" s="956">
        <f>AB13</f>
        <v>1.3</v>
      </c>
      <c r="F152" s="956">
        <f>AO13</f>
        <v>7.94</v>
      </c>
      <c r="G152" s="965">
        <f>X13</f>
        <v>12.1</v>
      </c>
      <c r="H152" s="944">
        <f>(Q152*1000000)/1440</f>
        <v>17465.277777777777</v>
      </c>
      <c r="I152" s="957">
        <f>V13*145792</f>
        <v>1883632.6399999999</v>
      </c>
      <c r="J152" s="958">
        <f>+I152*$K$89</f>
        <v>1318542.8479999998</v>
      </c>
      <c r="K152" s="958">
        <f>+(J152/H$152)</f>
        <v>75.495097460039744</v>
      </c>
      <c r="L152" s="958">
        <f>+(K152*E152)</f>
        <v>98.143626698051676</v>
      </c>
      <c r="M152" s="947">
        <f t="shared" si="29"/>
        <v>2.073071935293775</v>
      </c>
      <c r="N152" s="964">
        <f t="shared" si="30"/>
        <v>78.673645785323799</v>
      </c>
      <c r="O152" s="960">
        <f t="shared" si="31"/>
        <v>78.673645785323799</v>
      </c>
      <c r="Q152">
        <f>U13</f>
        <v>25.15</v>
      </c>
    </row>
    <row r="153" spans="1:119" x14ac:dyDescent="0.4">
      <c r="A153" s="939"/>
      <c r="B153" s="940"/>
      <c r="C153" s="987" t="str">
        <f>C$105</f>
        <v xml:space="preserve">5. Clearwells 2&amp;3 </v>
      </c>
      <c r="D153" s="987" t="str">
        <f>D$105</f>
        <v>Chloramine</v>
      </c>
      <c r="E153" s="956">
        <f>AF13</f>
        <v>0</v>
      </c>
      <c r="F153" s="956">
        <f>AQ13</f>
        <v>8.06</v>
      </c>
      <c r="G153" s="965">
        <f>X13</f>
        <v>12.1</v>
      </c>
      <c r="H153" s="944">
        <f>(Q153*1000000)/1440</f>
        <v>17465.277777777777</v>
      </c>
      <c r="I153" s="957">
        <f>W13*347599</f>
        <v>4508359.03</v>
      </c>
      <c r="J153" s="958">
        <f>+I153*$K$90</f>
        <v>2254179.5150000001</v>
      </c>
      <c r="K153" s="958">
        <f>+(J153/H$153)</f>
        <v>129.06634201192844</v>
      </c>
      <c r="L153" s="958">
        <f>+(K153*E153)</f>
        <v>0</v>
      </c>
      <c r="M153" s="947">
        <f t="shared" si="29"/>
        <v>0</v>
      </c>
      <c r="N153" s="964">
        <f t="shared" si="30"/>
        <v>0.48346085932901706</v>
      </c>
      <c r="O153" s="960">
        <f t="shared" si="31"/>
        <v>0.48346085932901706</v>
      </c>
      <c r="Q153">
        <f>U13</f>
        <v>25.15</v>
      </c>
    </row>
    <row r="154" spans="1:119" x14ac:dyDescent="0.4">
      <c r="A154" s="939"/>
      <c r="B154" s="940"/>
      <c r="C154" s="987"/>
      <c r="D154" s="987"/>
      <c r="E154" s="956"/>
      <c r="F154" s="956"/>
      <c r="G154" s="965"/>
      <c r="H154" s="990"/>
      <c r="I154" s="989"/>
      <c r="J154" s="958"/>
      <c r="K154" s="958"/>
      <c r="L154" s="958"/>
      <c r="M154" s="947" t="str">
        <f t="shared" si="29"/>
        <v>Check Dsfctnt.</v>
      </c>
      <c r="N154" s="964" t="str">
        <f t="shared" si="30"/>
        <v>Check Dsfctnt.</v>
      </c>
      <c r="O154" s="960" t="str">
        <f t="shared" si="31"/>
        <v>Check Dsfctnt.</v>
      </c>
    </row>
    <row r="155" spans="1:119" x14ac:dyDescent="0.4">
      <c r="A155" s="966"/>
      <c r="B155" s="967"/>
      <c r="C155" s="968" t="str">
        <f>C$107</f>
        <v>System TOTAL</v>
      </c>
      <c r="D155" s="969"/>
      <c r="E155" s="970">
        <f>AVERAGE(E149:E152)</f>
        <v>0.89999999999999991</v>
      </c>
      <c r="F155" s="970">
        <f>AVERAGE(F149:F152)</f>
        <v>7.1050000000000004</v>
      </c>
      <c r="G155" s="970">
        <f>AVERAGE(G149:G152)</f>
        <v>12.1</v>
      </c>
      <c r="H155" s="971"/>
      <c r="I155" s="998"/>
      <c r="J155" s="972"/>
      <c r="K155" s="972"/>
      <c r="L155" s="972">
        <f>SUM(L149:L152)</f>
        <v>104.6024550587457</v>
      </c>
      <c r="M155" s="973">
        <f>SUM(M149:M154)</f>
        <v>2.3359254100473401</v>
      </c>
      <c r="N155" s="974">
        <f>SUM(N149:N154)</f>
        <v>83.915446292533034</v>
      </c>
      <c r="O155" s="975">
        <f>SUM(O149:O154)</f>
        <v>83.915446292533034</v>
      </c>
    </row>
    <row r="156" spans="1:119" s="449" customFormat="1" ht="4" customHeight="1" x14ac:dyDescent="0.4">
      <c r="A156" s="1001"/>
      <c r="B156" s="978"/>
      <c r="C156" s="978"/>
      <c r="D156" s="978"/>
      <c r="E156" s="979"/>
      <c r="F156" s="979"/>
      <c r="G156" s="979"/>
      <c r="H156" s="980"/>
      <c r="I156" s="999"/>
      <c r="J156" s="981"/>
      <c r="K156" s="981"/>
      <c r="L156" s="981"/>
      <c r="M156" s="982"/>
      <c r="N156" s="983"/>
      <c r="O156" s="984"/>
      <c r="CA156" s="1002"/>
      <c r="CB156" s="1002"/>
      <c r="CG156" s="1002"/>
      <c r="CK156" s="1003"/>
      <c r="CL156" s="1003"/>
      <c r="CM156" s="1002"/>
      <c r="CN156" s="1002"/>
      <c r="CO156" s="1004"/>
      <c r="CP156" s="1002"/>
      <c r="DA156" s="467"/>
      <c r="DB156" s="1002"/>
      <c r="DG156" s="836"/>
      <c r="DH156" s="889"/>
      <c r="DI156" s="889"/>
      <c r="DJ156" s="836"/>
      <c r="DK156" s="765"/>
      <c r="DL156" s="765"/>
      <c r="DM156" s="765"/>
      <c r="DN156" s="765"/>
      <c r="DO156" s="765"/>
    </row>
    <row r="157" spans="1:119" x14ac:dyDescent="0.4">
      <c r="A157" s="985">
        <v>8</v>
      </c>
      <c r="B157" s="986">
        <v>1</v>
      </c>
      <c r="C157" s="987" t="str">
        <f>C$101</f>
        <v xml:space="preserve">1. Filter Influent </v>
      </c>
      <c r="D157" s="987" t="str">
        <f>D$101</f>
        <v>Free Chlorine</v>
      </c>
      <c r="E157" s="942">
        <f>Y14</f>
        <v>0.6</v>
      </c>
      <c r="F157" s="942">
        <f>AI14</f>
        <v>6.67</v>
      </c>
      <c r="G157" s="965">
        <f>X14</f>
        <v>12.1</v>
      </c>
      <c r="H157" s="944">
        <f>(Q157*1000000)/1440</f>
        <v>16451.388888888891</v>
      </c>
      <c r="I157" s="989">
        <f>I$101</f>
        <v>91543</v>
      </c>
      <c r="J157" s="958">
        <f>+I157*$F$89</f>
        <v>12816.02</v>
      </c>
      <c r="K157" s="958">
        <f>+(J157/H$157)</f>
        <v>0.77902358801181926</v>
      </c>
      <c r="L157" s="958">
        <f>+(K157*E157)</f>
        <v>0.46741415280709153</v>
      </c>
      <c r="M157" s="947">
        <f t="shared" ref="M157:M162" si="32">IF(AND($D157="Free Chlorine",$E157&gt;0.4),$L157/(0.2828*($F157^2.69)*($E157^0.15)*(0.933^($G157-5))),IF(AND($D157="Free Chlorine",$E157&lt;=0.4),$L157/(0.2828*($F157^2.69)*(0.4^0.15)*(0.933^($G157-5))),IF(AND($D157="Chloramine",$G157&gt;1),$L157/(858.5-(24.3*$G157)),IF(AND($D157="Chloramine",$G157&lt;=1),$L157/(858.5-(24.3)),IF(AND($D157="Chlorine Dioxide",$G157&gt;1),(($L157*($G157^0.49))+0.18)/23.85,IF(AND($D157="Chlorine Dioxide",$G157&lt;=1),($L157+0.18)/23.85,IF($D157="Ozone",(($L157*EXP(0.072*$G157))-0.01)/0.98,"Check Dsfctnt.")))))))</f>
        <v>1.7719097656909523E-2</v>
      </c>
      <c r="N157" s="959">
        <f t="shared" ref="N157:N162" si="33">IF($D157="Free Chlorine",IF(F157&gt;9,(($L157*EXP(0.071*$G157))-0.21)/22.37,(($L157*EXP(0.071*$G157))-0.42)/2.94),IF($D157="Chloramine",(($L157*EXP(0.071*$G157))+410.7)/849.5,IF($D157="Chlorine Dioxide",(($L157*EXP(0.072*$G157))+35.15)/21.25,IF($D157="Ozone",(($L157*EXP(0.068*$G157))-0.01)/0.47,"Check Dsfctnt."))))</f>
        <v>0.2325105726312505</v>
      </c>
      <c r="O157" s="960">
        <f t="shared" ref="O157:O162" si="34">IF(N157&lt;0,0,N157)</f>
        <v>0.2325105726312505</v>
      </c>
      <c r="Q157">
        <f>T14</f>
        <v>23.69</v>
      </c>
    </row>
    <row r="158" spans="1:119" x14ac:dyDescent="0.4">
      <c r="A158" s="939"/>
      <c r="B158" s="940"/>
      <c r="C158" s="987" t="str">
        <f>C$102</f>
        <v>2. Filter&amp;Filter Eff.</v>
      </c>
      <c r="D158" s="987" t="str">
        <f>D$102</f>
        <v>Free Chlorine</v>
      </c>
      <c r="E158" s="956">
        <f>Z14</f>
        <v>0.4</v>
      </c>
      <c r="F158" s="956">
        <f>AK14</f>
        <v>6.47</v>
      </c>
      <c r="G158" s="965">
        <f>X14</f>
        <v>12.1</v>
      </c>
      <c r="H158" s="944">
        <f>(Q158*1000000)/1440</f>
        <v>16451.388888888891</v>
      </c>
      <c r="I158" s="989">
        <f>I$102</f>
        <v>566414.48</v>
      </c>
      <c r="J158" s="958">
        <f>+I158*$F$90</f>
        <v>385161.84640000004</v>
      </c>
      <c r="K158" s="958">
        <f>+(J158/H$158)</f>
        <v>23.41211729911355</v>
      </c>
      <c r="L158" s="958">
        <f>+(K158*E158)</f>
        <v>9.3648469196454212</v>
      </c>
      <c r="M158" s="947">
        <f t="shared" si="32"/>
        <v>0.40946811881720607</v>
      </c>
      <c r="N158" s="964">
        <f t="shared" si="33"/>
        <v>7.3777991595133532</v>
      </c>
      <c r="O158" s="960">
        <f t="shared" si="34"/>
        <v>7.3777991595133532</v>
      </c>
      <c r="Q158">
        <f>T14</f>
        <v>23.69</v>
      </c>
    </row>
    <row r="159" spans="1:119" x14ac:dyDescent="0.4">
      <c r="A159" s="939"/>
      <c r="B159" s="940"/>
      <c r="C159" s="987" t="str">
        <f>C$103</f>
        <v xml:space="preserve">3. Plant Effluent </v>
      </c>
      <c r="D159" s="987" t="str">
        <f>D$103</f>
        <v>Free Chlorine</v>
      </c>
      <c r="E159" s="956">
        <f>AA14</f>
        <v>1.7</v>
      </c>
      <c r="F159" s="956">
        <f>AM14</f>
        <v>7.9</v>
      </c>
      <c r="G159" s="965">
        <f>X14</f>
        <v>12.1</v>
      </c>
      <c r="H159" s="944">
        <f>(Q159*1000000)/1440</f>
        <v>16451.388888888891</v>
      </c>
      <c r="I159" s="989">
        <f>I$103</f>
        <v>14092</v>
      </c>
      <c r="J159" s="958">
        <f>+I159*$F$91</f>
        <v>14092</v>
      </c>
      <c r="K159" s="958">
        <f>+(J159/H$159)</f>
        <v>0.8565842127479949</v>
      </c>
      <c r="L159" s="958">
        <f>+(K159*E159)</f>
        <v>1.4561931616715913</v>
      </c>
      <c r="M159" s="947">
        <f t="shared" si="32"/>
        <v>2.9949922143703719E-2</v>
      </c>
      <c r="N159" s="964">
        <f t="shared" si="33"/>
        <v>1.0265723601302832</v>
      </c>
      <c r="O159" s="960">
        <f t="shared" si="34"/>
        <v>1.0265723601302832</v>
      </c>
      <c r="Q159">
        <f>T14</f>
        <v>23.69</v>
      </c>
    </row>
    <row r="160" spans="1:119" x14ac:dyDescent="0.4">
      <c r="A160" s="939"/>
      <c r="B160" s="940"/>
      <c r="C160" s="987" t="str">
        <f>C$104</f>
        <v>4. Clearwell #1</v>
      </c>
      <c r="D160" s="987" t="str">
        <f>D$104</f>
        <v>Free Chlorine</v>
      </c>
      <c r="E160" s="956">
        <f>AB14</f>
        <v>1.6</v>
      </c>
      <c r="F160" s="956">
        <f>AO14</f>
        <v>7.95</v>
      </c>
      <c r="G160" s="965">
        <f>X14</f>
        <v>12.1</v>
      </c>
      <c r="H160" s="944">
        <f>(Q160*1000000)/1440</f>
        <v>16909.722222222223</v>
      </c>
      <c r="I160" s="957">
        <f>V14*145792</f>
        <v>1963818.24</v>
      </c>
      <c r="J160" s="958">
        <f>+I160*$K$89</f>
        <v>1374672.7679999999</v>
      </c>
      <c r="K160" s="958">
        <f>+(J160/H$160)</f>
        <v>81.29481667022587</v>
      </c>
      <c r="L160" s="958">
        <f>+(K160*E160)</f>
        <v>130.07170667236139</v>
      </c>
      <c r="M160" s="947">
        <f t="shared" si="32"/>
        <v>2.6542277746760159</v>
      </c>
      <c r="N160" s="964">
        <f t="shared" si="33"/>
        <v>104.31422677310925</v>
      </c>
      <c r="O160" s="960">
        <f t="shared" si="34"/>
        <v>104.31422677310925</v>
      </c>
      <c r="Q160">
        <f>U14</f>
        <v>24.35</v>
      </c>
    </row>
    <row r="161" spans="1:119" x14ac:dyDescent="0.4">
      <c r="A161" s="939"/>
      <c r="B161" s="940"/>
      <c r="C161" s="987" t="str">
        <f>C$105</f>
        <v xml:space="preserve">5. Clearwells 2&amp;3 </v>
      </c>
      <c r="D161" s="987" t="str">
        <f>D$105</f>
        <v>Chloramine</v>
      </c>
      <c r="E161" s="956">
        <f>AF14</f>
        <v>0</v>
      </c>
      <c r="F161" s="956">
        <f>AQ14</f>
        <v>8.02</v>
      </c>
      <c r="G161" s="965">
        <f>X14</f>
        <v>12.1</v>
      </c>
      <c r="H161" s="944">
        <f>(Q161*1000000)/1440</f>
        <v>16909.722222222223</v>
      </c>
      <c r="I161" s="957">
        <f>W14*347599</f>
        <v>4678682.54</v>
      </c>
      <c r="J161" s="958">
        <f>+I161*$K$90</f>
        <v>2339341.27</v>
      </c>
      <c r="K161" s="958">
        <f>+(J161/H$161)</f>
        <v>138.34297448870637</v>
      </c>
      <c r="L161" s="958">
        <f>+(K161*E161)</f>
        <v>0</v>
      </c>
      <c r="M161" s="947">
        <f t="shared" si="32"/>
        <v>0</v>
      </c>
      <c r="N161" s="964">
        <f t="shared" si="33"/>
        <v>0.48346085932901706</v>
      </c>
      <c r="O161" s="960">
        <f t="shared" si="34"/>
        <v>0.48346085932901706</v>
      </c>
      <c r="Q161">
        <f>U14</f>
        <v>24.35</v>
      </c>
    </row>
    <row r="162" spans="1:119" x14ac:dyDescent="0.4">
      <c r="A162" s="939"/>
      <c r="B162" s="940"/>
      <c r="C162" s="987"/>
      <c r="D162" s="987"/>
      <c r="E162" s="956"/>
      <c r="F162" s="956"/>
      <c r="G162" s="965"/>
      <c r="H162" s="990"/>
      <c r="I162" s="989"/>
      <c r="J162" s="958"/>
      <c r="K162" s="958"/>
      <c r="L162" s="958"/>
      <c r="M162" s="947" t="str">
        <f t="shared" si="32"/>
        <v>Check Dsfctnt.</v>
      </c>
      <c r="N162" s="964" t="str">
        <f t="shared" si="33"/>
        <v>Check Dsfctnt.</v>
      </c>
      <c r="O162" s="960" t="str">
        <f t="shared" si="34"/>
        <v>Check Dsfctnt.</v>
      </c>
    </row>
    <row r="163" spans="1:119" x14ac:dyDescent="0.4">
      <c r="A163" s="966"/>
      <c r="B163" s="967"/>
      <c r="C163" s="968" t="str">
        <f>C$107</f>
        <v>System TOTAL</v>
      </c>
      <c r="D163" s="969"/>
      <c r="E163" s="970">
        <f>AVERAGE(E157:E160)</f>
        <v>1.0750000000000002</v>
      </c>
      <c r="F163" s="970">
        <f>AVERAGE(F157:F160)</f>
        <v>7.2474999999999996</v>
      </c>
      <c r="G163" s="970">
        <f>AVERAGE(G157:G160)</f>
        <v>12.1</v>
      </c>
      <c r="H163" s="971"/>
      <c r="I163" s="998"/>
      <c r="J163" s="972"/>
      <c r="K163" s="972"/>
      <c r="L163" s="970">
        <f>SUM(L157:L160)</f>
        <v>141.36016090648548</v>
      </c>
      <c r="M163" s="973">
        <f>SUM(M157:M162)</f>
        <v>3.1113649132938352</v>
      </c>
      <c r="N163" s="974">
        <f>SUM(N157:N162)</f>
        <v>113.43456972471316</v>
      </c>
      <c r="O163" s="975">
        <f>SUM(O157:O162)</f>
        <v>113.43456972471316</v>
      </c>
    </row>
    <row r="164" spans="1:119" s="449" customFormat="1" ht="4" customHeight="1" x14ac:dyDescent="0.4">
      <c r="A164" s="1001"/>
      <c r="B164" s="978"/>
      <c r="C164" s="978"/>
      <c r="D164" s="978"/>
      <c r="E164" s="979"/>
      <c r="F164" s="979"/>
      <c r="G164" s="979"/>
      <c r="H164" s="980"/>
      <c r="I164" s="999"/>
      <c r="J164" s="981"/>
      <c r="K164" s="981"/>
      <c r="L164" s="981"/>
      <c r="M164" s="982"/>
      <c r="N164" s="983"/>
      <c r="O164" s="984"/>
      <c r="CA164" s="1002"/>
      <c r="CB164" s="1002"/>
      <c r="CG164" s="1002"/>
      <c r="CK164" s="1003"/>
      <c r="CL164" s="1003"/>
      <c r="CM164" s="1002"/>
      <c r="CN164" s="1002"/>
      <c r="CO164" s="1004"/>
      <c r="CP164" s="1002"/>
      <c r="DA164" s="467"/>
      <c r="DB164" s="1002"/>
      <c r="DG164" s="836"/>
      <c r="DH164" s="889"/>
      <c r="DI164" s="889"/>
      <c r="DJ164" s="836"/>
      <c r="DK164" s="765"/>
      <c r="DL164" s="765"/>
      <c r="DM164" s="765"/>
      <c r="DN164" s="765"/>
      <c r="DO164" s="765"/>
    </row>
    <row r="165" spans="1:119" x14ac:dyDescent="0.4">
      <c r="A165" s="985">
        <v>9</v>
      </c>
      <c r="B165" s="986">
        <v>1</v>
      </c>
      <c r="C165" s="987" t="str">
        <f>C$101</f>
        <v xml:space="preserve">1. Filter Influent </v>
      </c>
      <c r="D165" s="987" t="str">
        <f>D$101</f>
        <v>Free Chlorine</v>
      </c>
      <c r="E165" s="942">
        <f>Y15</f>
        <v>0.6</v>
      </c>
      <c r="F165" s="942">
        <f>AI15</f>
        <v>6.38</v>
      </c>
      <c r="G165" s="965">
        <f>X15</f>
        <v>12.11</v>
      </c>
      <c r="H165" s="944">
        <f>(Q165*1000000)/1440</f>
        <v>15958.333333333334</v>
      </c>
      <c r="I165" s="989">
        <f>I$101</f>
        <v>91543</v>
      </c>
      <c r="J165" s="958">
        <f>+I165*$F$89</f>
        <v>12816.02</v>
      </c>
      <c r="K165" s="958">
        <f>+(J165/H$165)</f>
        <v>0.80309263707571799</v>
      </c>
      <c r="L165" s="958">
        <f>+(K165*E165)</f>
        <v>0.48185558224543079</v>
      </c>
      <c r="M165" s="947">
        <f t="shared" ref="M165:M170" si="35">IF(AND($D165="Free Chlorine",$E165&gt;0.4),$L165/(0.2828*($F165^2.69)*($E165^0.15)*(0.933^($G165-5))),IF(AND($D165="Free Chlorine",$E165&lt;=0.4),$L165/(0.2828*($F165^2.69)*(0.4^0.15)*(0.933^($G165-5))),IF(AND($D165="Chloramine",$G165&gt;1),$L165/(858.5-(24.3*$G165)),IF(AND($D165="Chloramine",$G165&lt;=1),$L165/(858.5-(24.3)),IF(AND($D165="Chlorine Dioxide",$G165&gt;1),(($L165*($G165^0.49))+0.18)/23.85,IF(AND($D165="Chlorine Dioxide",$G165&lt;=1),($L165+0.18)/23.85,IF($D165="Ozone",(($L165*EXP(0.072*$G165))-0.01)/0.98,"Check Dsfctnt.")))))))</f>
        <v>2.0601018358061423E-2</v>
      </c>
      <c r="N165" s="959">
        <f t="shared" ref="N165:N170" si="36">IF($D165="Free Chlorine",IF(F165&gt;9,(($L165*EXP(0.071*$G165))-0.21)/22.37,(($L165*EXP(0.071*$G165))-0.42)/2.94),IF($D165="Chloramine",(($L165*EXP(0.071*$G165))+410.7)/849.5,IF($D165="Chlorine Dioxide",(($L165*EXP(0.072*$G165))+35.15)/21.25,IF($D165="Ozone",(($L165*EXP(0.068*$G165))-0.01)/0.47,"Check Dsfctnt."))))</f>
        <v>0.24438293848459644</v>
      </c>
      <c r="O165" s="960">
        <f t="shared" ref="O165:O170" si="37">IF(N165&lt;0,0,N165)</f>
        <v>0.24438293848459644</v>
      </c>
      <c r="Q165">
        <f>T15</f>
        <v>22.98</v>
      </c>
    </row>
    <row r="166" spans="1:119" x14ac:dyDescent="0.4">
      <c r="A166" s="939"/>
      <c r="B166" s="940"/>
      <c r="C166" s="987" t="str">
        <f>C$102</f>
        <v>2. Filter&amp;Filter Eff.</v>
      </c>
      <c r="D166" s="987" t="str">
        <f>D$102</f>
        <v>Free Chlorine</v>
      </c>
      <c r="E166" s="956">
        <f>Z15</f>
        <v>0.4</v>
      </c>
      <c r="F166" s="956">
        <f>AK15</f>
        <v>6.38</v>
      </c>
      <c r="G166" s="965">
        <f>X15</f>
        <v>12.11</v>
      </c>
      <c r="H166" s="944">
        <f>(Q166*1000000)/1440</f>
        <v>15958.333333333334</v>
      </c>
      <c r="I166" s="989">
        <f>I$102</f>
        <v>566414.48</v>
      </c>
      <c r="J166" s="958">
        <f>+I166*$F$90</f>
        <v>385161.84640000004</v>
      </c>
      <c r="K166" s="958">
        <f>+(J166/H$166)</f>
        <v>24.13546818172324</v>
      </c>
      <c r="L166" s="958">
        <f>+(K166*E166)</f>
        <v>9.6541872726892972</v>
      </c>
      <c r="M166" s="947">
        <f t="shared" si="35"/>
        <v>0.43863289925739518</v>
      </c>
      <c r="N166" s="964">
        <f t="shared" si="36"/>
        <v>7.61566720035656</v>
      </c>
      <c r="O166" s="960">
        <f t="shared" si="37"/>
        <v>7.61566720035656</v>
      </c>
      <c r="Q166">
        <f>T15</f>
        <v>22.98</v>
      </c>
    </row>
    <row r="167" spans="1:119" x14ac:dyDescent="0.4">
      <c r="A167" s="939"/>
      <c r="B167" s="940"/>
      <c r="C167" s="987" t="str">
        <f>C$103</f>
        <v xml:space="preserve">3. Plant Effluent </v>
      </c>
      <c r="D167" s="987" t="str">
        <f>D$103</f>
        <v>Free Chlorine</v>
      </c>
      <c r="E167" s="956">
        <f>AA15</f>
        <v>1.5</v>
      </c>
      <c r="F167" s="956">
        <f>AM15</f>
        <v>7.75</v>
      </c>
      <c r="G167" s="965">
        <f>X15</f>
        <v>12.11</v>
      </c>
      <c r="H167" s="944">
        <f>(Q167*1000000)/1440</f>
        <v>15958.333333333334</v>
      </c>
      <c r="I167" s="989">
        <f>I$103</f>
        <v>14092</v>
      </c>
      <c r="J167" s="958">
        <f>+I167*$F$91</f>
        <v>14092</v>
      </c>
      <c r="K167" s="958">
        <f>+(J167/H$167)</f>
        <v>0.88304960835509139</v>
      </c>
      <c r="L167" s="958">
        <f>+(K167*E167)</f>
        <v>1.3245744125326371</v>
      </c>
      <c r="M167" s="947">
        <f t="shared" si="35"/>
        <v>2.9248473209974892E-2</v>
      </c>
      <c r="N167" s="964">
        <f t="shared" si="36"/>
        <v>0.92162840458032014</v>
      </c>
      <c r="O167" s="960">
        <f t="shared" si="37"/>
        <v>0.92162840458032014</v>
      </c>
      <c r="Q167">
        <f>T15</f>
        <v>22.98</v>
      </c>
    </row>
    <row r="168" spans="1:119" x14ac:dyDescent="0.4">
      <c r="A168" s="939"/>
      <c r="B168" s="940"/>
      <c r="C168" s="987" t="str">
        <f>C$104</f>
        <v>4. Clearwell #1</v>
      </c>
      <c r="D168" s="987" t="str">
        <f>D$104</f>
        <v>Free Chlorine</v>
      </c>
      <c r="E168" s="956">
        <f>AB15</f>
        <v>1.3</v>
      </c>
      <c r="F168" s="956">
        <f>AO15</f>
        <v>7.78</v>
      </c>
      <c r="G168" s="965">
        <f>X15</f>
        <v>12.11</v>
      </c>
      <c r="H168" s="944">
        <f>(Q168*1000000)/1440</f>
        <v>17041.666666666668</v>
      </c>
      <c r="I168" s="957">
        <f>V15*145792</f>
        <v>1799073.28</v>
      </c>
      <c r="J168" s="958">
        <f>+I168*$K$89</f>
        <v>1259351.2959999999</v>
      </c>
      <c r="K168" s="958">
        <f>+(J168/H$168)</f>
        <v>73.898364557457199</v>
      </c>
      <c r="L168" s="958">
        <f>+(K168*E168)</f>
        <v>96.067873924694368</v>
      </c>
      <c r="M168" s="947">
        <f t="shared" si="35"/>
        <v>2.1449326918395686</v>
      </c>
      <c r="N168" s="964">
        <f t="shared" si="36"/>
        <v>77.061460257741714</v>
      </c>
      <c r="O168" s="960">
        <f t="shared" si="37"/>
        <v>77.061460257741714</v>
      </c>
      <c r="Q168">
        <f>U15</f>
        <v>24.54</v>
      </c>
    </row>
    <row r="169" spans="1:119" x14ac:dyDescent="0.4">
      <c r="A169" s="939"/>
      <c r="B169" s="940"/>
      <c r="C169" s="987" t="str">
        <f>C$105</f>
        <v xml:space="preserve">5. Clearwells 2&amp;3 </v>
      </c>
      <c r="D169" s="987" t="str">
        <f>D$105</f>
        <v>Chloramine</v>
      </c>
      <c r="E169" s="956">
        <f>AF15</f>
        <v>0</v>
      </c>
      <c r="F169" s="956">
        <f>AQ15</f>
        <v>7.88</v>
      </c>
      <c r="G169" s="965">
        <f>X15</f>
        <v>12.11</v>
      </c>
      <c r="H169" s="944">
        <f>(Q169*1000000)/1440</f>
        <v>17041.666666666668</v>
      </c>
      <c r="I169" s="957">
        <f>W15*347599</f>
        <v>4331083.54</v>
      </c>
      <c r="J169" s="958">
        <f>+I169*$K$90</f>
        <v>2165541.77</v>
      </c>
      <c r="K169" s="958">
        <f>+(J169/H$169)</f>
        <v>127.07335569682151</v>
      </c>
      <c r="L169" s="958">
        <f>+(K169*E169)</f>
        <v>0</v>
      </c>
      <c r="M169" s="947">
        <f t="shared" si="35"/>
        <v>0</v>
      </c>
      <c r="N169" s="964">
        <f t="shared" si="36"/>
        <v>0.48346085932901706</v>
      </c>
      <c r="O169" s="960">
        <f t="shared" si="37"/>
        <v>0.48346085932901706</v>
      </c>
      <c r="Q169">
        <f>U15</f>
        <v>24.54</v>
      </c>
    </row>
    <row r="170" spans="1:119" x14ac:dyDescent="0.4">
      <c r="A170" s="939"/>
      <c r="B170" s="940"/>
      <c r="C170" s="987"/>
      <c r="D170" s="987"/>
      <c r="E170" s="956"/>
      <c r="F170" s="956"/>
      <c r="G170" s="965"/>
      <c r="H170" s="990"/>
      <c r="I170" s="989"/>
      <c r="J170" s="958"/>
      <c r="K170" s="958"/>
      <c r="L170" s="958"/>
      <c r="M170" s="947" t="str">
        <f t="shared" si="35"/>
        <v>Check Dsfctnt.</v>
      </c>
      <c r="N170" s="964" t="str">
        <f t="shared" si="36"/>
        <v>Check Dsfctnt.</v>
      </c>
      <c r="O170" s="960" t="str">
        <f t="shared" si="37"/>
        <v>Check Dsfctnt.</v>
      </c>
    </row>
    <row r="171" spans="1:119" x14ac:dyDescent="0.4">
      <c r="A171" s="966"/>
      <c r="B171" s="967"/>
      <c r="C171" s="968" t="str">
        <f>C$107</f>
        <v>System TOTAL</v>
      </c>
      <c r="D171" s="969"/>
      <c r="E171" s="970">
        <f>AVERAGE(E165:E168)</f>
        <v>0.95</v>
      </c>
      <c r="F171" s="970">
        <f>AVERAGE(F165:F168)</f>
        <v>7.0724999999999998</v>
      </c>
      <c r="G171" s="970">
        <f>AVERAGE(G165:G168)</f>
        <v>12.11</v>
      </c>
      <c r="H171" s="971"/>
      <c r="I171" s="998"/>
      <c r="J171" s="972"/>
      <c r="K171" s="972"/>
      <c r="L171" s="970">
        <f>SUM(L165:L168)</f>
        <v>107.52849119216174</v>
      </c>
      <c r="M171" s="973">
        <f>SUM(M165:M170)</f>
        <v>2.633415082665</v>
      </c>
      <c r="N171" s="974">
        <f>SUM(N165:N170)</f>
        <v>86.326599660492207</v>
      </c>
      <c r="O171" s="975">
        <f>SUM(O165:O170)</f>
        <v>86.326599660492207</v>
      </c>
    </row>
    <row r="172" spans="1:119" s="449" customFormat="1" ht="4" customHeight="1" x14ac:dyDescent="0.4">
      <c r="A172" s="1001"/>
      <c r="B172" s="978"/>
      <c r="C172" s="978"/>
      <c r="D172" s="978"/>
      <c r="E172" s="979"/>
      <c r="F172" s="979"/>
      <c r="G172" s="979"/>
      <c r="H172" s="980"/>
      <c r="I172" s="999"/>
      <c r="J172" s="981"/>
      <c r="K172" s="981"/>
      <c r="L172" s="981"/>
      <c r="M172" s="982"/>
      <c r="N172" s="983"/>
      <c r="O172" s="984"/>
      <c r="CA172" s="1002"/>
      <c r="CB172" s="1002"/>
      <c r="CG172" s="1002"/>
      <c r="CK172" s="1003"/>
      <c r="CL172" s="1003"/>
      <c r="CM172" s="1002"/>
      <c r="CN172" s="1002"/>
      <c r="CO172" s="1004"/>
      <c r="CP172" s="1002"/>
      <c r="DA172" s="467"/>
      <c r="DB172" s="1002"/>
      <c r="DG172" s="836"/>
      <c r="DH172" s="889"/>
      <c r="DI172" s="889"/>
      <c r="DJ172" s="836"/>
      <c r="DK172" s="765"/>
      <c r="DL172" s="765"/>
      <c r="DM172" s="765"/>
      <c r="DN172" s="765"/>
      <c r="DO172" s="765"/>
    </row>
    <row r="173" spans="1:119" x14ac:dyDescent="0.4">
      <c r="A173" s="985">
        <v>10</v>
      </c>
      <c r="B173" s="986">
        <v>1</v>
      </c>
      <c r="C173" s="987" t="str">
        <f>C$101</f>
        <v xml:space="preserve">1. Filter Influent </v>
      </c>
      <c r="D173" s="987" t="str">
        <f>D$101</f>
        <v>Free Chlorine</v>
      </c>
      <c r="E173" s="942">
        <f>Y16</f>
        <v>0.4</v>
      </c>
      <c r="F173" s="942">
        <f>AI16</f>
        <v>6.4</v>
      </c>
      <c r="G173" s="965">
        <f>X16</f>
        <v>12.39</v>
      </c>
      <c r="H173" s="944">
        <f>(Q173*1000000)/1440</f>
        <v>16423.611111111109</v>
      </c>
      <c r="I173" s="989">
        <f>I$101</f>
        <v>91543</v>
      </c>
      <c r="J173" s="958">
        <f>+I173*$F$89</f>
        <v>12816.02</v>
      </c>
      <c r="K173" s="958">
        <f>+(J173/H$173)</f>
        <v>0.78034117547568715</v>
      </c>
      <c r="L173" s="958">
        <f>+(K173*E173)</f>
        <v>0.31213647019027491</v>
      </c>
      <c r="M173" s="947">
        <f t="shared" ref="M173:M178" si="38">IF(AND($D173="Free Chlorine",$E173&gt;0.4),$L173/(0.2828*($F173^2.69)*($E173^0.15)*(0.933^($G173-5))),IF(AND($D173="Free Chlorine",$E173&lt;=0.4),$L173/(0.2828*($F173^2.69)*(0.4^0.15)*(0.933^($G173-5))),IF(AND($D173="Chloramine",$G173&gt;1),$L173/(858.5-(24.3*$G173)),IF(AND($D173="Chloramine",$G173&lt;=1),$L173/(858.5-(24.3)),IF(AND($D173="Chlorine Dioxide",$G173&gt;1),(($L173*($G173^0.49))+0.18)/23.85,IF(AND($D173="Chlorine Dioxide",$G173&lt;=1),($L173+0.18)/23.85,IF($D173="Ozone",(($L173*EXP(0.072*$G173))-0.01)/0.98,"Check Dsfctnt.")))))))</f>
        <v>1.4338596176036252E-2</v>
      </c>
      <c r="N173" s="959">
        <f t="shared" ref="N173:N178" si="39">IF($D173="Free Chlorine",IF(F173&gt;9,(($L173*EXP(0.071*$G173))-0.21)/22.37,(($L173*EXP(0.071*$G173))-0.42)/2.94),IF($D173="Chloramine",(($L173*EXP(0.071*$G173))+410.7)/849.5,IF($D173="Chlorine Dioxide",(($L173*EXP(0.072*$G173))+35.15)/21.25,IF($D173="Ozone",(($L173*EXP(0.068*$G173))-0.01)/0.47,"Check Dsfctnt."))))</f>
        <v>0.11302601234170354</v>
      </c>
      <c r="O173" s="960">
        <f t="shared" ref="O173:O178" si="40">IF(N173&lt;0,0,N173)</f>
        <v>0.11302601234170354</v>
      </c>
      <c r="Q173">
        <f>T16</f>
        <v>23.65</v>
      </c>
    </row>
    <row r="174" spans="1:119" x14ac:dyDescent="0.4">
      <c r="A174" s="939"/>
      <c r="B174" s="940"/>
      <c r="C174" s="987" t="str">
        <f>C$102</f>
        <v>2. Filter&amp;Filter Eff.</v>
      </c>
      <c r="D174" s="987" t="str">
        <f>D$102</f>
        <v>Free Chlorine</v>
      </c>
      <c r="E174" s="956">
        <f>Z16</f>
        <v>0.3</v>
      </c>
      <c r="F174" s="956">
        <f>AK16</f>
        <v>6.45</v>
      </c>
      <c r="G174" s="965">
        <f>X16</f>
        <v>12.39</v>
      </c>
      <c r="H174" s="944">
        <f>(Q174*1000000)/1440</f>
        <v>16423.611111111109</v>
      </c>
      <c r="I174" s="989">
        <f>I$102</f>
        <v>566414.48</v>
      </c>
      <c r="J174" s="958">
        <f>+I174*$F$90</f>
        <v>385161.84640000004</v>
      </c>
      <c r="K174" s="958">
        <f>+(J174/H$174)</f>
        <v>23.451714960507406</v>
      </c>
      <c r="L174" s="958">
        <f>+(K174*E174)</f>
        <v>7.0355144881522218</v>
      </c>
      <c r="M174" s="947">
        <f t="shared" si="38"/>
        <v>0.31649472659016309</v>
      </c>
      <c r="N174" s="964">
        <f t="shared" si="39"/>
        <v>5.6247151135285431</v>
      </c>
      <c r="O174" s="960">
        <f t="shared" si="40"/>
        <v>5.6247151135285431</v>
      </c>
      <c r="Q174">
        <f>T16</f>
        <v>23.65</v>
      </c>
    </row>
    <row r="175" spans="1:119" x14ac:dyDescent="0.4">
      <c r="A175" s="939"/>
      <c r="B175" s="940"/>
      <c r="C175" s="987" t="str">
        <f>C$103</f>
        <v xml:space="preserve">3. Plant Effluent </v>
      </c>
      <c r="D175" s="987" t="str">
        <f>D$103</f>
        <v>Free Chlorine</v>
      </c>
      <c r="E175" s="956">
        <f>AA16</f>
        <v>1.8</v>
      </c>
      <c r="F175" s="956">
        <f>AM16</f>
        <v>7.67</v>
      </c>
      <c r="G175" s="965">
        <f>X16</f>
        <v>12.39</v>
      </c>
      <c r="H175" s="944">
        <f>(Q175*1000000)/1440</f>
        <v>16423.611111111109</v>
      </c>
      <c r="I175" s="989">
        <f>I$103</f>
        <v>14092</v>
      </c>
      <c r="J175" s="958">
        <f>+I175*$F$91</f>
        <v>14092</v>
      </c>
      <c r="K175" s="958">
        <f>+(J175/H$175)</f>
        <v>0.8580329809725159</v>
      </c>
      <c r="L175" s="958">
        <f>+(K175*E175)</f>
        <v>1.5444593657505286</v>
      </c>
      <c r="M175" s="947">
        <f t="shared" si="38"/>
        <v>3.4792154998303307E-2</v>
      </c>
      <c r="N175" s="964">
        <f t="shared" si="39"/>
        <v>1.1232593585044064</v>
      </c>
      <c r="O175" s="960">
        <f t="shared" si="40"/>
        <v>1.1232593585044064</v>
      </c>
      <c r="Q175">
        <f>T16</f>
        <v>23.65</v>
      </c>
    </row>
    <row r="176" spans="1:119" x14ac:dyDescent="0.4">
      <c r="A176" s="939"/>
      <c r="B176" s="940"/>
      <c r="C176" s="987" t="str">
        <f>C$104</f>
        <v>4. Clearwell #1</v>
      </c>
      <c r="D176" s="987" t="str">
        <f>D$104</f>
        <v>Free Chlorine</v>
      </c>
      <c r="E176" s="956">
        <f>AB16</f>
        <v>1.6</v>
      </c>
      <c r="F176" s="956">
        <f>AO16</f>
        <v>7.69</v>
      </c>
      <c r="G176" s="965">
        <f>X16</f>
        <v>12.39</v>
      </c>
      <c r="H176" s="944">
        <f>(Q176*1000000)/1440</f>
        <v>17680.555555555555</v>
      </c>
      <c r="I176" s="957">
        <f>V16*145792</f>
        <v>1883632.6399999999</v>
      </c>
      <c r="J176" s="958">
        <f>+I176*$K$89</f>
        <v>1318542.8479999998</v>
      </c>
      <c r="K176" s="958">
        <f>+(J176/H$176)</f>
        <v>74.57587199999999</v>
      </c>
      <c r="L176" s="958">
        <f>+(K176*E176)</f>
        <v>119.32139519999998</v>
      </c>
      <c r="M176" s="947">
        <f t="shared" si="38"/>
        <v>2.7167752927089874</v>
      </c>
      <c r="N176" s="964">
        <f t="shared" si="39"/>
        <v>97.674405504767179</v>
      </c>
      <c r="O176" s="960">
        <f t="shared" si="40"/>
        <v>97.674405504767179</v>
      </c>
      <c r="Q176">
        <f>U16</f>
        <v>25.46</v>
      </c>
    </row>
    <row r="177" spans="1:119" x14ac:dyDescent="0.4">
      <c r="A177" s="939"/>
      <c r="B177" s="940"/>
      <c r="C177" s="987" t="str">
        <f>C$105</f>
        <v xml:space="preserve">5. Clearwells 2&amp;3 </v>
      </c>
      <c r="D177" s="987" t="str">
        <f>D$105</f>
        <v>Chloramine</v>
      </c>
      <c r="E177" s="956">
        <f>AF16</f>
        <v>0</v>
      </c>
      <c r="F177" s="956">
        <f>AQ16</f>
        <v>7.88</v>
      </c>
      <c r="G177" s="965">
        <f>X16</f>
        <v>12.39</v>
      </c>
      <c r="H177" s="944">
        <f>(Q177*1000000)/1440</f>
        <v>17680.555555555555</v>
      </c>
      <c r="I177" s="957">
        <f>W16*347599</f>
        <v>4581354.82</v>
      </c>
      <c r="J177" s="958">
        <f>+I177*$K$90</f>
        <v>2290677.41</v>
      </c>
      <c r="K177" s="958">
        <f>+(J177/H$177)</f>
        <v>129.55913080911236</v>
      </c>
      <c r="L177" s="958">
        <f>+(K177*E177)</f>
        <v>0</v>
      </c>
      <c r="M177" s="947">
        <f t="shared" si="38"/>
        <v>0</v>
      </c>
      <c r="N177" s="964">
        <f t="shared" si="39"/>
        <v>0.48346085932901706</v>
      </c>
      <c r="O177" s="960">
        <f t="shared" si="40"/>
        <v>0.48346085932901706</v>
      </c>
      <c r="Q177">
        <f>U16</f>
        <v>25.46</v>
      </c>
    </row>
    <row r="178" spans="1:119" x14ac:dyDescent="0.4">
      <c r="A178" s="939"/>
      <c r="B178" s="940"/>
      <c r="C178" s="987"/>
      <c r="D178" s="987"/>
      <c r="E178" s="956"/>
      <c r="F178" s="956"/>
      <c r="G178" s="965"/>
      <c r="H178" s="990"/>
      <c r="I178" s="989"/>
      <c r="J178" s="958"/>
      <c r="K178" s="958"/>
      <c r="L178" s="958"/>
      <c r="M178" s="947" t="str">
        <f t="shared" si="38"/>
        <v>Check Dsfctnt.</v>
      </c>
      <c r="N178" s="964" t="str">
        <f t="shared" si="39"/>
        <v>Check Dsfctnt.</v>
      </c>
      <c r="O178" s="960" t="str">
        <f t="shared" si="40"/>
        <v>Check Dsfctnt.</v>
      </c>
    </row>
    <row r="179" spans="1:119" ht="12.6" thickBot="1" x14ac:dyDescent="0.45">
      <c r="A179" s="1005"/>
      <c r="B179" s="1006"/>
      <c r="C179" s="1007" t="str">
        <f>C$107</f>
        <v>System TOTAL</v>
      </c>
      <c r="D179" s="1008"/>
      <c r="E179" s="1009">
        <f>AVERAGE(E173:E176)</f>
        <v>1.0249999999999999</v>
      </c>
      <c r="F179" s="1009">
        <f>AVERAGE(F173:F176)</f>
        <v>7.0525000000000011</v>
      </c>
      <c r="G179" s="1009">
        <f>AVERAGE(G173:G176)</f>
        <v>12.39</v>
      </c>
      <c r="H179" s="1010"/>
      <c r="I179" s="1011"/>
      <c r="J179" s="1012"/>
      <c r="K179" s="1012"/>
      <c r="L179" s="1009">
        <f>SUM(L173:L176)</f>
        <v>128.21350552409302</v>
      </c>
      <c r="M179" s="1013">
        <f>SUM(M173:M178)</f>
        <v>3.0824007704734901</v>
      </c>
      <c r="N179" s="1014">
        <f>SUM(N173:N178)</f>
        <v>105.01886684847085</v>
      </c>
      <c r="O179" s="1015">
        <f>SUM(O173:O178)</f>
        <v>105.01886684847085</v>
      </c>
    </row>
    <row r="180" spans="1:119" s="890" customFormat="1" ht="15" x14ac:dyDescent="0.5">
      <c r="B180" s="1016"/>
      <c r="C180" s="1017" t="str">
        <f>C95</f>
        <v>System Characteristics and Log-Reduction Credits for:</v>
      </c>
      <c r="D180" s="1016"/>
      <c r="E180" s="1018"/>
      <c r="F180" s="1018"/>
      <c r="G180" s="1019" t="str">
        <f>G95</f>
        <v>Town of Cary</v>
      </c>
      <c r="I180" s="1020"/>
      <c r="K180" s="1021"/>
      <c r="L180" s="1022"/>
      <c r="M180" s="1023"/>
      <c r="N180" s="1024"/>
      <c r="O180" s="1025" t="s">
        <v>948</v>
      </c>
      <c r="CA180" s="1016"/>
      <c r="CB180" s="1016"/>
      <c r="CG180" s="1016"/>
      <c r="CK180" s="1026"/>
      <c r="CL180" s="1026"/>
      <c r="CM180" s="1016"/>
      <c r="CN180" s="1016"/>
      <c r="CO180" s="1027"/>
      <c r="CP180" s="1016"/>
      <c r="DA180" s="1028"/>
      <c r="DB180" s="1016"/>
      <c r="DG180" s="836"/>
      <c r="DH180" s="889"/>
      <c r="DI180" s="889"/>
      <c r="DJ180" s="836"/>
      <c r="DK180" s="765"/>
      <c r="DL180" s="765"/>
      <c r="DM180" s="765"/>
      <c r="DN180" s="765"/>
      <c r="DO180" s="765"/>
    </row>
    <row r="181" spans="1:119" x14ac:dyDescent="0.4">
      <c r="A181" s="836"/>
      <c r="B181" s="836"/>
      <c r="C181" s="578"/>
      <c r="D181" s="578"/>
      <c r="E181" s="1029"/>
      <c r="F181" s="1029"/>
      <c r="G181" s="760"/>
      <c r="H181" s="1030"/>
      <c r="I181" s="1031"/>
      <c r="J181" s="1032"/>
      <c r="K181" s="1032"/>
      <c r="L181" s="1032"/>
      <c r="M181" s="1033"/>
      <c r="N181" s="1034"/>
    </row>
    <row r="182" spans="1:119" s="764" customFormat="1" x14ac:dyDescent="0.4">
      <c r="A182" s="1035"/>
      <c r="B182" s="1035"/>
      <c r="C182" s="1035"/>
      <c r="D182" s="1035"/>
      <c r="E182" s="1036"/>
      <c r="H182" s="1037"/>
      <c r="I182" s="1031"/>
      <c r="J182" s="1038"/>
      <c r="M182" s="1039" t="str">
        <f>M97</f>
        <v>July</v>
      </c>
      <c r="N182" s="1040"/>
      <c r="O182" s="1041">
        <f>O97</f>
        <v>2018</v>
      </c>
      <c r="CA182" s="1035"/>
      <c r="CB182" s="1035"/>
      <c r="CG182" s="1035"/>
      <c r="CK182" s="1025"/>
      <c r="CL182" s="1025"/>
      <c r="CM182" s="1035"/>
      <c r="CN182" s="1035"/>
      <c r="CO182" s="1042"/>
      <c r="CP182" s="1035"/>
      <c r="DA182" s="928"/>
      <c r="DB182" s="1035"/>
      <c r="DG182" s="836"/>
      <c r="DH182" s="889"/>
      <c r="DI182" s="889"/>
      <c r="DJ182" s="836"/>
      <c r="DK182" s="765"/>
      <c r="DL182" s="765"/>
      <c r="DM182" s="765"/>
      <c r="DN182" s="765"/>
      <c r="DO182" s="765"/>
    </row>
    <row r="183" spans="1:119" x14ac:dyDescent="0.4">
      <c r="A183" s="836"/>
      <c r="B183" s="836"/>
      <c r="C183" s="578"/>
      <c r="D183" s="578"/>
      <c r="E183" s="1029"/>
      <c r="F183" s="1029"/>
      <c r="G183" s="760"/>
      <c r="H183" s="1030"/>
      <c r="I183" s="1031"/>
      <c r="J183" s="1032"/>
      <c r="K183" s="1032"/>
      <c r="L183" s="1032"/>
      <c r="M183" s="1033"/>
      <c r="N183" s="1034"/>
    </row>
    <row r="184" spans="1:119" ht="12.6" thickBot="1" x14ac:dyDescent="0.45">
      <c r="A184" s="1043"/>
      <c r="B184" s="1043"/>
      <c r="C184" s="1044"/>
      <c r="D184" s="1044"/>
      <c r="E184" s="1045"/>
      <c r="F184" s="1045"/>
      <c r="G184" s="1046"/>
      <c r="H184" s="1047"/>
      <c r="I184" s="1048"/>
      <c r="J184" s="1049"/>
      <c r="K184" s="1049"/>
      <c r="L184" s="1049"/>
      <c r="M184" s="1050"/>
      <c r="N184" s="1051"/>
    </row>
    <row r="185" spans="1:119" s="934" customFormat="1" ht="24.9" thickBot="1" x14ac:dyDescent="0.45">
      <c r="A185" s="1052" t="str">
        <f>A100</f>
        <v>Day</v>
      </c>
      <c r="B185" s="1053" t="s">
        <v>925</v>
      </c>
      <c r="C185" s="1053" t="str">
        <f t="shared" ref="C185:O185" si="41">C100</f>
        <v>Treatment Stage</v>
      </c>
      <c r="D185" s="1053" t="str">
        <f t="shared" si="41"/>
        <v>Disinfectant</v>
      </c>
      <c r="E185" s="1053" t="str">
        <f t="shared" si="41"/>
        <v>Residual Conc. (mg/L)</v>
      </c>
      <c r="F185" s="1053" t="str">
        <f>F100</f>
        <v>pH</v>
      </c>
      <c r="G185" s="1053" t="str">
        <f>G100</f>
        <v>Temp. (Celsius)</v>
      </c>
      <c r="H185" s="1053" t="str">
        <f t="shared" si="41"/>
        <v>Peak Flow (GPM)</v>
      </c>
      <c r="I185" s="1054" t="str">
        <f t="shared" si="41"/>
        <v>Vol. Min. (gal)</v>
      </c>
      <c r="J185" s="1053" t="str">
        <f t="shared" si="41"/>
        <v>Vol. Eff. (gal)</v>
      </c>
      <c r="K185" s="1053" t="str">
        <f t="shared" si="41"/>
        <v>T10 (min)</v>
      </c>
      <c r="L185" s="1053" t="str">
        <f t="shared" si="41"/>
        <v>CT Actual</v>
      </c>
      <c r="M185" s="1055" t="str">
        <f t="shared" si="41"/>
        <v>Log-Reduction (Giardia)</v>
      </c>
      <c r="N185" s="1056" t="str">
        <f t="shared" si="41"/>
        <v>Log Reduction (viruses)</v>
      </c>
      <c r="O185" s="1057" t="str">
        <f t="shared" si="41"/>
        <v>Log-Reduction (viruses)</v>
      </c>
      <c r="CK185" s="936"/>
      <c r="CL185" s="936"/>
      <c r="CO185" s="937"/>
      <c r="DA185" s="938"/>
      <c r="DG185" s="836"/>
      <c r="DH185" s="889"/>
      <c r="DI185" s="889"/>
      <c r="DJ185" s="836"/>
      <c r="DK185" s="765"/>
      <c r="DL185" s="765"/>
      <c r="DM185" s="765"/>
      <c r="DN185" s="765"/>
      <c r="DO185" s="765"/>
    </row>
    <row r="186" spans="1:119" x14ac:dyDescent="0.4">
      <c r="A186" s="985">
        <v>11</v>
      </c>
      <c r="B186" s="986">
        <v>1</v>
      </c>
      <c r="C186" s="987" t="str">
        <f>C$101</f>
        <v xml:space="preserve">1. Filter Influent </v>
      </c>
      <c r="D186" s="987" t="str">
        <f>D$101</f>
        <v>Free Chlorine</v>
      </c>
      <c r="E186" s="942">
        <f>Y17</f>
        <v>0.4</v>
      </c>
      <c r="F186" s="942">
        <f>AI17</f>
        <v>6.3</v>
      </c>
      <c r="G186" s="965">
        <f>X17</f>
        <v>12.97</v>
      </c>
      <c r="H186" s="944">
        <f>(Q186*1000000)/1440</f>
        <v>15902.777777777777</v>
      </c>
      <c r="I186" s="989">
        <f>I$101</f>
        <v>91543</v>
      </c>
      <c r="J186" s="958">
        <f>+I186*$F$89</f>
        <v>12816.02</v>
      </c>
      <c r="K186" s="958">
        <f>+(J186/H$186)</f>
        <v>0.8058982008733625</v>
      </c>
      <c r="L186" s="958">
        <f>+(K186*E186)</f>
        <v>0.32235928034934502</v>
      </c>
      <c r="M186" s="947">
        <f t="shared" ref="M186:M191" si="42">IF(AND($D186="Free Chlorine",$E186&gt;0.4),$L186/(0.2828*($F186^2.69)*($E186^0.15)*(0.933^($G186-5))),IF(AND($D186="Free Chlorine",$E186&lt;=0.4),$L186/(0.2828*($F186^2.69)*(0.4^0.15)*(0.933^($G186-5))),IF(AND($D186="Chloramine",$G186&gt;1),$L186/(858.5-(24.3*$G186)),IF(AND($D186="Chloramine",$G186&lt;=1),$L186/(858.5-(24.3)),IF(AND($D186="Chlorine Dioxide",$G186&gt;1),(($L186*($G186^0.49))+0.18)/23.85,IF(AND($D186="Chlorine Dioxide",$G186&lt;=1),($L186+0.18)/23.85,IF($D186="Ozone",(($L186*EXP(0.072*$G186))-0.01)/0.98,"Check Dsfctnt.")))))))</f>
        <v>1.6083071587718354E-2</v>
      </c>
      <c r="N186" s="959">
        <f t="shared" ref="N186:N191" si="43">IF($D186="Free Chlorine",IF(F186&gt;9,(($L186*EXP(0.071*$G186))-0.21)/22.37,(($L186*EXP(0.071*$G186))-0.42)/2.94),IF($D186="Chloramine",(($L186*EXP(0.071*$G186))+410.7)/849.5,IF($D186="Chlorine Dioxide",(($L186*EXP(0.072*$G186))+35.15)/21.25,IF($D186="Ozone",(($L186*EXP(0.068*$G186))-0.01)/0.47,"Check Dsfctnt."))))</f>
        <v>0.13251601613955466</v>
      </c>
      <c r="O186" s="1058">
        <f t="shared" ref="O186:O191" si="44">IF(N186&lt;0,0,N186)</f>
        <v>0.13251601613955466</v>
      </c>
      <c r="Q186">
        <f>T17</f>
        <v>22.9</v>
      </c>
    </row>
    <row r="187" spans="1:119" x14ac:dyDescent="0.4">
      <c r="A187" s="939"/>
      <c r="B187" s="940"/>
      <c r="C187" s="987" t="str">
        <f>C$102</f>
        <v>2. Filter&amp;Filter Eff.</v>
      </c>
      <c r="D187" s="987" t="str">
        <f>D$102</f>
        <v>Free Chlorine</v>
      </c>
      <c r="E187" s="956">
        <f>Z17</f>
        <v>0.3</v>
      </c>
      <c r="F187" s="956">
        <f>AK17</f>
        <v>6.33</v>
      </c>
      <c r="G187" s="965">
        <f>X17</f>
        <v>12.97</v>
      </c>
      <c r="H187" s="944">
        <f>(Q187*1000000)/1440</f>
        <v>15902.777777777777</v>
      </c>
      <c r="I187" s="989">
        <f>I$102</f>
        <v>566414.48</v>
      </c>
      <c r="J187" s="958">
        <f>+I187*$F$90</f>
        <v>385161.84640000004</v>
      </c>
      <c r="K187" s="958">
        <f>+(J187/H$187)</f>
        <v>24.21978422777293</v>
      </c>
      <c r="L187" s="958">
        <f>+(K187*E187)</f>
        <v>7.2659352683318783</v>
      </c>
      <c r="M187" s="947">
        <f t="shared" si="42"/>
        <v>0.3579072040052847</v>
      </c>
      <c r="N187" s="964">
        <f t="shared" si="43"/>
        <v>6.0640172047270973</v>
      </c>
      <c r="O187" s="960">
        <f t="shared" si="44"/>
        <v>6.0640172047270973</v>
      </c>
      <c r="Q187">
        <f>T17</f>
        <v>22.9</v>
      </c>
    </row>
    <row r="188" spans="1:119" x14ac:dyDescent="0.4">
      <c r="A188" s="939"/>
      <c r="B188" s="940"/>
      <c r="C188" s="987" t="str">
        <f>C$103</f>
        <v xml:space="preserve">3. Plant Effluent </v>
      </c>
      <c r="D188" s="987" t="str">
        <f>D$103</f>
        <v>Free Chlorine</v>
      </c>
      <c r="E188" s="956">
        <f>AA17</f>
        <v>1.2</v>
      </c>
      <c r="F188" s="956">
        <f>AM17</f>
        <v>8.1</v>
      </c>
      <c r="G188" s="965">
        <f>X17</f>
        <v>12.97</v>
      </c>
      <c r="H188" s="944">
        <f>(Q188*1000000)/1440</f>
        <v>15902.777777777777</v>
      </c>
      <c r="I188" s="989">
        <f>I$103</f>
        <v>14092</v>
      </c>
      <c r="J188" s="958">
        <f>+I188*$F$91</f>
        <v>14092</v>
      </c>
      <c r="K188" s="958">
        <f>+(J188/H$188)</f>
        <v>0.88613449781659392</v>
      </c>
      <c r="L188" s="958">
        <f>+(K188*E188)</f>
        <v>1.0633613973799128</v>
      </c>
      <c r="M188" s="947">
        <f t="shared" si="42"/>
        <v>2.2884577396613322E-2</v>
      </c>
      <c r="N188" s="964">
        <f t="shared" si="43"/>
        <v>0.76551188822617178</v>
      </c>
      <c r="O188" s="960">
        <f t="shared" si="44"/>
        <v>0.76551188822617178</v>
      </c>
      <c r="Q188">
        <f>T17</f>
        <v>22.9</v>
      </c>
    </row>
    <row r="189" spans="1:119" x14ac:dyDescent="0.4">
      <c r="A189" s="939"/>
      <c r="B189" s="940"/>
      <c r="C189" s="987" t="str">
        <f>C$104</f>
        <v>4. Clearwell #1</v>
      </c>
      <c r="D189" s="987" t="str">
        <f>D$104</f>
        <v>Free Chlorine</v>
      </c>
      <c r="E189" s="956">
        <f>AB17</f>
        <v>1.3</v>
      </c>
      <c r="F189" s="956">
        <f>AO17</f>
        <v>7.66</v>
      </c>
      <c r="G189" s="965">
        <f>X17</f>
        <v>12.97</v>
      </c>
      <c r="H189" s="944">
        <f>(Q189*1000000)/1440</f>
        <v>18027.777777777777</v>
      </c>
      <c r="I189" s="957">
        <f>V17*145792</f>
        <v>1803447.0399999998</v>
      </c>
      <c r="J189" s="958">
        <f>+I189*$K$89</f>
        <v>1262412.9279999998</v>
      </c>
      <c r="K189" s="958">
        <f>+(J189/H$189)</f>
        <v>70.025986761171026</v>
      </c>
      <c r="L189" s="958">
        <f>+(K189*E189)</f>
        <v>91.033782789522334</v>
      </c>
      <c r="M189" s="947">
        <f t="shared" si="42"/>
        <v>2.2495704093280766</v>
      </c>
      <c r="N189" s="964">
        <f t="shared" si="43"/>
        <v>77.622114645773081</v>
      </c>
      <c r="O189" s="960">
        <f t="shared" si="44"/>
        <v>77.622114645773081</v>
      </c>
      <c r="Q189">
        <f>U17</f>
        <v>25.96</v>
      </c>
    </row>
    <row r="190" spans="1:119" x14ac:dyDescent="0.4">
      <c r="A190" s="939"/>
      <c r="B190" s="940"/>
      <c r="C190" s="987" t="str">
        <f>C$105</f>
        <v xml:space="preserve">5. Clearwells 2&amp;3 </v>
      </c>
      <c r="D190" s="987" t="str">
        <f>D$105</f>
        <v>Chloramine</v>
      </c>
      <c r="E190" s="956">
        <f>AF17</f>
        <v>0</v>
      </c>
      <c r="F190" s="956">
        <f>AQ17</f>
        <v>7.74</v>
      </c>
      <c r="G190" s="965">
        <f>X17</f>
        <v>12.97</v>
      </c>
      <c r="H190" s="944">
        <f>(Q190*1000000)/1440</f>
        <v>18027.777777777777</v>
      </c>
      <c r="I190" s="957">
        <f>W17*347599</f>
        <v>4348463.49</v>
      </c>
      <c r="J190" s="958">
        <f>+I190*$K$90</f>
        <v>2174231.7450000001</v>
      </c>
      <c r="K190" s="958">
        <f>+(J190/H$190)</f>
        <v>120.60453439137135</v>
      </c>
      <c r="L190" s="958">
        <f>+(K190*E190)</f>
        <v>0</v>
      </c>
      <c r="M190" s="947">
        <f t="shared" si="42"/>
        <v>0</v>
      </c>
      <c r="N190" s="964">
        <f t="shared" si="43"/>
        <v>0.48346085932901706</v>
      </c>
      <c r="O190" s="960">
        <f t="shared" si="44"/>
        <v>0.48346085932901706</v>
      </c>
      <c r="Q190">
        <f>U17</f>
        <v>25.96</v>
      </c>
    </row>
    <row r="191" spans="1:119" x14ac:dyDescent="0.4">
      <c r="A191" s="939"/>
      <c r="B191" s="940"/>
      <c r="C191" s="987"/>
      <c r="D191" s="987"/>
      <c r="E191" s="956"/>
      <c r="F191" s="956"/>
      <c r="G191" s="965"/>
      <c r="H191" s="990"/>
      <c r="I191" s="989"/>
      <c r="J191" s="958"/>
      <c r="K191" s="958"/>
      <c r="L191" s="958"/>
      <c r="M191" s="947" t="str">
        <f t="shared" si="42"/>
        <v>Check Dsfctnt.</v>
      </c>
      <c r="N191" s="964" t="str">
        <f t="shared" si="43"/>
        <v>Check Dsfctnt.</v>
      </c>
      <c r="O191" s="960" t="str">
        <f t="shared" si="44"/>
        <v>Check Dsfctnt.</v>
      </c>
    </row>
    <row r="192" spans="1:119" x14ac:dyDescent="0.4">
      <c r="A192" s="966"/>
      <c r="B192" s="967"/>
      <c r="C192" s="968" t="str">
        <f>C$107</f>
        <v>System TOTAL</v>
      </c>
      <c r="D192" s="969"/>
      <c r="E192" s="970">
        <f>AVERAGE(E186:E189)</f>
        <v>0.8</v>
      </c>
      <c r="F192" s="970">
        <f>AVERAGE(F186:F189)</f>
        <v>7.0974999999999993</v>
      </c>
      <c r="G192" s="970">
        <f>AVERAGE(G186:G189)</f>
        <v>12.97</v>
      </c>
      <c r="H192" s="971"/>
      <c r="I192" s="998"/>
      <c r="J192" s="972"/>
      <c r="K192" s="972"/>
      <c r="L192" s="970">
        <f>SUM(L186:L189)</f>
        <v>99.685438735583475</v>
      </c>
      <c r="M192" s="973">
        <f>SUM(M186:M191)</f>
        <v>2.6464452623176928</v>
      </c>
      <c r="N192" s="974">
        <f>SUM(N186:N191)</f>
        <v>85.067620614194922</v>
      </c>
      <c r="O192" s="975">
        <f>SUM(O186:O191)</f>
        <v>85.067620614194922</v>
      </c>
    </row>
    <row r="193" spans="1:119" s="449" customFormat="1" ht="4" customHeight="1" x14ac:dyDescent="0.4">
      <c r="A193" s="1001"/>
      <c r="B193" s="978"/>
      <c r="C193" s="978"/>
      <c r="D193" s="978"/>
      <c r="E193" s="979"/>
      <c r="F193" s="979"/>
      <c r="G193" s="979"/>
      <c r="H193" s="980"/>
      <c r="I193" s="999"/>
      <c r="J193" s="981"/>
      <c r="K193" s="981"/>
      <c r="L193" s="981"/>
      <c r="M193" s="1059"/>
      <c r="N193" s="1059"/>
      <c r="O193" s="984"/>
      <c r="CA193" s="1002"/>
      <c r="CB193" s="1002"/>
      <c r="CG193" s="1002"/>
      <c r="CK193" s="1003"/>
      <c r="CL193" s="1003"/>
      <c r="CM193" s="1002"/>
      <c r="CN193" s="1002"/>
      <c r="CO193" s="1004"/>
      <c r="CP193" s="1002"/>
      <c r="DA193" s="467"/>
      <c r="DB193" s="1002"/>
      <c r="DG193" s="836"/>
      <c r="DH193" s="889"/>
      <c r="DI193" s="889"/>
      <c r="DJ193" s="836"/>
      <c r="DK193" s="765"/>
      <c r="DL193" s="765"/>
      <c r="DM193" s="765"/>
      <c r="DN193" s="765"/>
      <c r="DO193" s="765"/>
    </row>
    <row r="194" spans="1:119" x14ac:dyDescent="0.4">
      <c r="A194" s="985">
        <v>12</v>
      </c>
      <c r="B194" s="986">
        <v>1</v>
      </c>
      <c r="C194" s="987" t="str">
        <f>C$101</f>
        <v xml:space="preserve">1. Filter Influent </v>
      </c>
      <c r="D194" s="987" t="str">
        <f>D$101</f>
        <v>Free Chlorine</v>
      </c>
      <c r="E194" s="942">
        <f>Y18</f>
        <v>0.4</v>
      </c>
      <c r="F194" s="942">
        <f>AI18</f>
        <v>6.38</v>
      </c>
      <c r="G194" s="965">
        <f>X18</f>
        <v>13.13</v>
      </c>
      <c r="H194" s="944">
        <f>(Q194*1000000)/1440</f>
        <v>17548.611111111109</v>
      </c>
      <c r="I194" s="989">
        <f>I$101</f>
        <v>91543</v>
      </c>
      <c r="J194" s="958">
        <f>+I194*$F$89</f>
        <v>12816.02</v>
      </c>
      <c r="K194" s="958">
        <f>+(J194/H$194)</f>
        <v>0.73031534626038785</v>
      </c>
      <c r="L194" s="958">
        <f>+(K194*E194)</f>
        <v>0.29212613850415514</v>
      </c>
      <c r="M194" s="947">
        <f t="shared" ref="M194:M199" si="45">IF(AND($D194="Free Chlorine",$E194&gt;0.4),$L194/(0.2828*($F194^2.69)*($E194^0.15)*(0.933^($G194-5))),IF(AND($D194="Free Chlorine",$E194&lt;=0.4),$L194/(0.2828*($F194^2.69)*(0.4^0.15)*(0.933^($G194-5))),IF(AND($D194="Chloramine",$G194&gt;1),$L194/(858.5-(24.3*$G194)),IF(AND($D194="Chloramine",$G194&lt;=1),$L194/(858.5-(24.3)),IF(AND($D194="Chlorine Dioxide",$G194&gt;1),(($L194*($G194^0.49))+0.18)/23.85,IF(AND($D194="Chlorine Dioxide",$G194&lt;=1),($L194+0.18)/23.85,IF($D194="Ozone",(($L194*EXP(0.072*$G194))-0.01)/0.98,"Check Dsfctnt.")))))))</f>
        <v>1.4245464826309858E-2</v>
      </c>
      <c r="N194" s="959">
        <f t="shared" ref="N194:N199" si="46">IF($D194="Free Chlorine",IF(F194&gt;9,(($L194*EXP(0.071*$G194))-0.21)/22.37,(($L194*EXP(0.071*$G194))-0.42)/2.94),IF($D194="Chloramine",(($L194*EXP(0.071*$G194))+410.7)/849.5,IF($D194="Chlorine Dioxide",(($L194*EXP(0.072*$G194))+35.15)/21.25,IF($D194="Ozone",(($L194*EXP(0.068*$G194))-0.01)/0.47,"Check Dsfctnt."))))</f>
        <v>0.10954058003875419</v>
      </c>
      <c r="O194" s="960">
        <f t="shared" ref="O194:O199" si="47">IF(N194&lt;0,0,N194)</f>
        <v>0.10954058003875419</v>
      </c>
      <c r="Q194">
        <f>T18</f>
        <v>25.27</v>
      </c>
    </row>
    <row r="195" spans="1:119" x14ac:dyDescent="0.4">
      <c r="A195" s="939"/>
      <c r="B195" s="940"/>
      <c r="C195" s="987" t="str">
        <f>C$102</f>
        <v>2. Filter&amp;Filter Eff.</v>
      </c>
      <c r="D195" s="987" t="str">
        <f>D$102</f>
        <v>Free Chlorine</v>
      </c>
      <c r="E195" s="956">
        <f>Z18</f>
        <v>0.3</v>
      </c>
      <c r="F195" s="956">
        <f>AK18</f>
        <v>6.41</v>
      </c>
      <c r="G195" s="965">
        <f>X18</f>
        <v>13.13</v>
      </c>
      <c r="H195" s="944">
        <f>(Q195*1000000)/1440</f>
        <v>17548.611111111109</v>
      </c>
      <c r="I195" s="989">
        <f>I$102</f>
        <v>566414.48</v>
      </c>
      <c r="J195" s="958">
        <f>+I195*$F$90</f>
        <v>385161.84640000004</v>
      </c>
      <c r="K195" s="958">
        <f>+(J195/H$195)</f>
        <v>21.948280918717852</v>
      </c>
      <c r="L195" s="958">
        <f>+(K195*E195)</f>
        <v>6.5844842756153552</v>
      </c>
      <c r="M195" s="947">
        <f t="shared" si="45"/>
        <v>0.31706441154313048</v>
      </c>
      <c r="N195" s="964">
        <f t="shared" si="46"/>
        <v>5.5461539333821603</v>
      </c>
      <c r="O195" s="960">
        <f t="shared" si="47"/>
        <v>5.5461539333821603</v>
      </c>
      <c r="Q195">
        <f>T18</f>
        <v>25.27</v>
      </c>
    </row>
    <row r="196" spans="1:119" x14ac:dyDescent="0.4">
      <c r="A196" s="939"/>
      <c r="B196" s="940"/>
      <c r="C196" s="987" t="str">
        <f>C$103</f>
        <v xml:space="preserve">3. Plant Effluent </v>
      </c>
      <c r="D196" s="987" t="str">
        <f>D$103</f>
        <v>Free Chlorine</v>
      </c>
      <c r="E196" s="956">
        <f>AA18</f>
        <v>1.9</v>
      </c>
      <c r="F196" s="956">
        <f>AM18</f>
        <v>7.95</v>
      </c>
      <c r="G196" s="965">
        <f>X18</f>
        <v>13.13</v>
      </c>
      <c r="H196" s="944">
        <f>(Q196*1000000)/1440</f>
        <v>17548.611111111109</v>
      </c>
      <c r="I196" s="989">
        <f>I$103</f>
        <v>14092</v>
      </c>
      <c r="J196" s="958">
        <f>+I196*$F$91</f>
        <v>14092</v>
      </c>
      <c r="K196" s="958">
        <f>+(J196/H$196)</f>
        <v>0.80302651365255251</v>
      </c>
      <c r="L196" s="958">
        <f>+(K196*E196)</f>
        <v>1.5257503759398496</v>
      </c>
      <c r="M196" s="947">
        <f t="shared" si="45"/>
        <v>3.2588599772358375E-2</v>
      </c>
      <c r="N196" s="964">
        <f t="shared" si="46"/>
        <v>1.1753950428824751</v>
      </c>
      <c r="O196" s="960">
        <f t="shared" si="47"/>
        <v>1.1753950428824751</v>
      </c>
      <c r="Q196">
        <f>T18</f>
        <v>25.27</v>
      </c>
    </row>
    <row r="197" spans="1:119" x14ac:dyDescent="0.4">
      <c r="A197" s="939"/>
      <c r="B197" s="940"/>
      <c r="C197" s="987" t="str">
        <f>C$104</f>
        <v>4. Clearwell #1</v>
      </c>
      <c r="D197" s="987" t="str">
        <f>D$104</f>
        <v>Free Chlorine</v>
      </c>
      <c r="E197" s="956">
        <f>AB18</f>
        <v>1.6</v>
      </c>
      <c r="F197" s="956">
        <f>AO18</f>
        <v>8</v>
      </c>
      <c r="G197" s="965">
        <f>X18</f>
        <v>13.13</v>
      </c>
      <c r="H197" s="944">
        <f>(Q197*1000000)/1440</f>
        <v>17743.055555555555</v>
      </c>
      <c r="I197" s="957">
        <f>V18*145792</f>
        <v>1793241.6</v>
      </c>
      <c r="J197" s="958">
        <f>+I197*$K$89</f>
        <v>1255269.1199999999</v>
      </c>
      <c r="K197" s="958">
        <f>+(J197/H$197)</f>
        <v>70.747065863013688</v>
      </c>
      <c r="L197" s="958">
        <f>+(K197*E197)</f>
        <v>113.19530538082191</v>
      </c>
      <c r="M197" s="947">
        <f t="shared" si="45"/>
        <v>2.4393896917789504</v>
      </c>
      <c r="N197" s="964">
        <f t="shared" si="46"/>
        <v>97.658173148099678</v>
      </c>
      <c r="O197" s="960">
        <f t="shared" si="47"/>
        <v>97.658173148099678</v>
      </c>
      <c r="Q197">
        <f>U18</f>
        <v>25.55</v>
      </c>
    </row>
    <row r="198" spans="1:119" x14ac:dyDescent="0.4">
      <c r="A198" s="939"/>
      <c r="B198" s="940"/>
      <c r="C198" s="987" t="str">
        <f>C$105</f>
        <v xml:space="preserve">5. Clearwells 2&amp;3 </v>
      </c>
      <c r="D198" s="987" t="str">
        <f>D$105</f>
        <v>Chloramine</v>
      </c>
      <c r="E198" s="956">
        <f>AF18</f>
        <v>0</v>
      </c>
      <c r="F198" s="956">
        <f>AQ18</f>
        <v>8.1</v>
      </c>
      <c r="G198" s="965">
        <f>X18</f>
        <v>13.13</v>
      </c>
      <c r="H198" s="944">
        <f>(Q198*1000000)/1440</f>
        <v>17743.055555555555</v>
      </c>
      <c r="I198" s="957">
        <f>W18*347599</f>
        <v>4320655.57</v>
      </c>
      <c r="J198" s="958">
        <f>+I198*$K$90</f>
        <v>2160327.7850000001</v>
      </c>
      <c r="K198" s="958">
        <f>+(J198/H$198)</f>
        <v>121.75624306849316</v>
      </c>
      <c r="L198" s="958">
        <f>+(K198*E198)</f>
        <v>0</v>
      </c>
      <c r="M198" s="947">
        <f t="shared" si="45"/>
        <v>0</v>
      </c>
      <c r="N198" s="964">
        <f t="shared" si="46"/>
        <v>0.48346085932901706</v>
      </c>
      <c r="O198" s="960">
        <f t="shared" si="47"/>
        <v>0.48346085932901706</v>
      </c>
      <c r="Q198">
        <f>U18</f>
        <v>25.55</v>
      </c>
    </row>
    <row r="199" spans="1:119" x14ac:dyDescent="0.4">
      <c r="A199" s="939"/>
      <c r="B199" s="940"/>
      <c r="C199" s="987"/>
      <c r="D199" s="987"/>
      <c r="E199" s="956"/>
      <c r="F199" s="956"/>
      <c r="G199" s="965"/>
      <c r="H199" s="990"/>
      <c r="I199" s="989"/>
      <c r="J199" s="958"/>
      <c r="K199" s="958"/>
      <c r="L199" s="958"/>
      <c r="M199" s="947" t="str">
        <f t="shared" si="45"/>
        <v>Check Dsfctnt.</v>
      </c>
      <c r="N199" s="964" t="str">
        <f t="shared" si="46"/>
        <v>Check Dsfctnt.</v>
      </c>
      <c r="O199" s="960" t="str">
        <f t="shared" si="47"/>
        <v>Check Dsfctnt.</v>
      </c>
    </row>
    <row r="200" spans="1:119" x14ac:dyDescent="0.4">
      <c r="A200" s="966"/>
      <c r="B200" s="967"/>
      <c r="C200" s="968" t="str">
        <f>C$107</f>
        <v>System TOTAL</v>
      </c>
      <c r="D200" s="969"/>
      <c r="E200" s="970">
        <f>AVERAGE(E194:E197)</f>
        <v>1.0499999999999998</v>
      </c>
      <c r="F200" s="970">
        <f>AVERAGE(F194:F197)</f>
        <v>7.1849999999999996</v>
      </c>
      <c r="G200" s="970">
        <f>AVERAGE(G194:G197)</f>
        <v>13.13</v>
      </c>
      <c r="H200" s="971"/>
      <c r="I200" s="998"/>
      <c r="J200" s="972"/>
      <c r="K200" s="972"/>
      <c r="L200" s="970">
        <f>SUM(L194:L197)</f>
        <v>121.59766617088127</v>
      </c>
      <c r="M200" s="973">
        <f>SUM(M194:M199)</f>
        <v>2.8032881679207491</v>
      </c>
      <c r="N200" s="974">
        <f>SUM(N194:N199)</f>
        <v>104.97272356373209</v>
      </c>
      <c r="O200" s="975">
        <f>SUM(O194:O199)</f>
        <v>104.97272356373209</v>
      </c>
    </row>
    <row r="201" spans="1:119" s="449" customFormat="1" ht="4" customHeight="1" x14ac:dyDescent="0.4">
      <c r="A201" s="1001"/>
      <c r="B201" s="978"/>
      <c r="C201" s="978"/>
      <c r="D201" s="978"/>
      <c r="E201" s="979"/>
      <c r="F201" s="979"/>
      <c r="G201" s="979"/>
      <c r="H201" s="980"/>
      <c r="I201" s="999"/>
      <c r="J201" s="981"/>
      <c r="K201" s="981"/>
      <c r="L201" s="981"/>
      <c r="M201" s="982"/>
      <c r="N201" s="983"/>
      <c r="O201" s="984"/>
      <c r="CA201" s="1002"/>
      <c r="CB201" s="1002"/>
      <c r="CG201" s="1002"/>
      <c r="CK201" s="1003"/>
      <c r="CL201" s="1003"/>
      <c r="CM201" s="1002"/>
      <c r="CN201" s="1002"/>
      <c r="CO201" s="1004"/>
      <c r="CP201" s="1002"/>
      <c r="DA201" s="467"/>
      <c r="DB201" s="1002"/>
      <c r="DG201" s="836"/>
      <c r="DH201" s="889"/>
      <c r="DI201" s="889"/>
      <c r="DJ201" s="836"/>
      <c r="DK201" s="765"/>
      <c r="DL201" s="765"/>
      <c r="DM201" s="765"/>
      <c r="DN201" s="765"/>
      <c r="DO201" s="765"/>
    </row>
    <row r="202" spans="1:119" x14ac:dyDescent="0.4">
      <c r="A202" s="985">
        <v>13</v>
      </c>
      <c r="B202" s="986">
        <v>1</v>
      </c>
      <c r="C202" s="987" t="str">
        <f>C$101</f>
        <v xml:space="preserve">1. Filter Influent </v>
      </c>
      <c r="D202" s="987" t="str">
        <f>D$101</f>
        <v>Free Chlorine</v>
      </c>
      <c r="E202" s="942">
        <f>Y19</f>
        <v>0.3</v>
      </c>
      <c r="F202" s="942">
        <f>AI19</f>
        <v>6.53</v>
      </c>
      <c r="G202" s="965">
        <f>X19</f>
        <v>13.4</v>
      </c>
      <c r="H202" s="944">
        <f>(Q202*1000000)/1440</f>
        <v>15680.555555555555</v>
      </c>
      <c r="I202" s="989">
        <f>I$101</f>
        <v>91543</v>
      </c>
      <c r="J202" s="958">
        <f>+I202*$F$89</f>
        <v>12816.02</v>
      </c>
      <c r="K202" s="958">
        <f>+(J202/H$202)</f>
        <v>0.81731925597874233</v>
      </c>
      <c r="L202" s="958">
        <f>+(K202*E202)</f>
        <v>0.2451957767936227</v>
      </c>
      <c r="M202" s="947">
        <f t="shared" ref="M202:M207" si="48">IF(AND($D202="Free Chlorine",$E202&gt;0.4),$L202/(0.2828*($F202^2.69)*($E202^0.15)*(0.933^($G202-5))),IF(AND($D202="Free Chlorine",$E202&lt;=0.4),$L202/(0.2828*($F202^2.69)*(0.4^0.15)*(0.933^($G202-5))),IF(AND($D202="Chloramine",$G202&gt;1),$L202/(858.5-(24.3*$G202)),IF(AND($D202="Chloramine",$G202&lt;=1),$L202/(858.5-(24.3)),IF(AND($D202="Chlorine Dioxide",$G202&gt;1),(($L202*($G202^0.49))+0.18)/23.85,IF(AND($D202="Chlorine Dioxide",$G202&lt;=1),($L202+0.18)/23.85,IF($D202="Ozone",(($L202*EXP(0.072*$G202))-0.01)/0.98,"Check Dsfctnt.")))))))</f>
        <v>1.1444644759804973E-2</v>
      </c>
      <c r="N202" s="959">
        <f t="shared" ref="N202:N207" si="49">IF($D202="Free Chlorine",IF(F202&gt;9,(($L202*EXP(0.071*$G202))-0.21)/22.37,(($L202*EXP(0.071*$G202))-0.42)/2.94),IF($D202="Chloramine",(($L202*EXP(0.071*$G202))+410.7)/849.5,IF($D202="Chlorine Dioxide",(($L202*EXP(0.072*$G202))+35.15)/21.25,IF($D202="Ozone",(($L202*EXP(0.068*$G202))-0.01)/0.47,"Check Dsfctnt."))))</f>
        <v>7.3092965040011074E-2</v>
      </c>
      <c r="O202" s="960">
        <f t="shared" ref="O202:O207" si="50">IF(N202&lt;0,0,N202)</f>
        <v>7.3092965040011074E-2</v>
      </c>
      <c r="Q202">
        <f>T19</f>
        <v>22.58</v>
      </c>
    </row>
    <row r="203" spans="1:119" x14ac:dyDescent="0.4">
      <c r="A203" s="939"/>
      <c r="B203" s="940"/>
      <c r="C203" s="987" t="str">
        <f>C$102</f>
        <v>2. Filter&amp;Filter Eff.</v>
      </c>
      <c r="D203" s="987" t="str">
        <f>D$102</f>
        <v>Free Chlorine</v>
      </c>
      <c r="E203" s="956">
        <f>Z19</f>
        <v>0.2</v>
      </c>
      <c r="F203" s="956">
        <f>AK19</f>
        <v>6.53</v>
      </c>
      <c r="G203" s="965">
        <f>X19</f>
        <v>13.4</v>
      </c>
      <c r="H203" s="944">
        <f>(Q203*1000000)/1440</f>
        <v>15680.555555555555</v>
      </c>
      <c r="I203" s="989">
        <f>I$102</f>
        <v>566414.48</v>
      </c>
      <c r="J203" s="958">
        <f>+I203*$F$90</f>
        <v>385161.84640000004</v>
      </c>
      <c r="K203" s="958">
        <f>+(J203/H$203)</f>
        <v>24.563022976793626</v>
      </c>
      <c r="L203" s="958">
        <f>+(K203*E203)</f>
        <v>4.9126045953587258</v>
      </c>
      <c r="M203" s="947">
        <f t="shared" si="48"/>
        <v>0.22929846172101109</v>
      </c>
      <c r="N203" s="964">
        <f t="shared" si="49"/>
        <v>4.1837976890353916</v>
      </c>
      <c r="O203" s="960">
        <f t="shared" si="50"/>
        <v>4.1837976890353916</v>
      </c>
      <c r="Q203">
        <f>T19</f>
        <v>22.58</v>
      </c>
    </row>
    <row r="204" spans="1:119" x14ac:dyDescent="0.4">
      <c r="A204" s="939"/>
      <c r="B204" s="940"/>
      <c r="C204" s="987" t="str">
        <f>C$103</f>
        <v xml:space="preserve">3. Plant Effluent </v>
      </c>
      <c r="D204" s="987" t="str">
        <f>D$103</f>
        <v>Free Chlorine</v>
      </c>
      <c r="E204" s="956">
        <f>AA19</f>
        <v>1.7</v>
      </c>
      <c r="F204" s="956">
        <f>AM19</f>
        <v>7.83</v>
      </c>
      <c r="G204" s="965">
        <f>X19</f>
        <v>13.4</v>
      </c>
      <c r="H204" s="944">
        <f>(Q204*1000000)/1440</f>
        <v>15680.555555555555</v>
      </c>
      <c r="I204" s="989">
        <f>I$103</f>
        <v>14092</v>
      </c>
      <c r="J204" s="958">
        <f>+I204*$F$91</f>
        <v>14092</v>
      </c>
      <c r="K204" s="958">
        <f>+(J204/H$204)</f>
        <v>0.89869264836138185</v>
      </c>
      <c r="L204" s="958">
        <f>+(K204*E204)</f>
        <v>1.5277775022143492</v>
      </c>
      <c r="M204" s="947">
        <f t="shared" si="48"/>
        <v>3.5219924419616223E-2</v>
      </c>
      <c r="N204" s="964">
        <f t="shared" si="49"/>
        <v>1.2026950553103013</v>
      </c>
      <c r="O204" s="960">
        <f t="shared" si="50"/>
        <v>1.2026950553103013</v>
      </c>
      <c r="Q204">
        <f>T19</f>
        <v>22.58</v>
      </c>
    </row>
    <row r="205" spans="1:119" x14ac:dyDescent="0.4">
      <c r="A205" s="939"/>
      <c r="B205" s="940"/>
      <c r="C205" s="987" t="str">
        <f>C$104</f>
        <v>4. Clearwell #1</v>
      </c>
      <c r="D205" s="987" t="str">
        <f>D$104</f>
        <v>Free Chlorine</v>
      </c>
      <c r="E205" s="956">
        <f>AB19</f>
        <v>1.2</v>
      </c>
      <c r="F205" s="956">
        <f>AO19</f>
        <v>7.73</v>
      </c>
      <c r="G205" s="965">
        <f>X19</f>
        <v>13.4</v>
      </c>
      <c r="H205" s="944">
        <f>(Q205*1000000)/1440</f>
        <v>17381.944444444445</v>
      </c>
      <c r="I205" s="957">
        <f>V19*145792</f>
        <v>1785952</v>
      </c>
      <c r="J205" s="958">
        <f>+I205*$K$89</f>
        <v>1250166.3999999999</v>
      </c>
      <c r="K205" s="958">
        <f>+(J205/H$205)</f>
        <v>71.92327670795045</v>
      </c>
      <c r="L205" s="958">
        <f>+(K205*E205)</f>
        <v>86.30793204954054</v>
      </c>
      <c r="M205" s="947">
        <f t="shared" si="48"/>
        <v>2.1701286114719949</v>
      </c>
      <c r="N205" s="964">
        <f t="shared" si="49"/>
        <v>75.87071650921267</v>
      </c>
      <c r="O205" s="960">
        <f t="shared" si="50"/>
        <v>75.87071650921267</v>
      </c>
      <c r="Q205">
        <f>U19</f>
        <v>25.03</v>
      </c>
    </row>
    <row r="206" spans="1:119" x14ac:dyDescent="0.4">
      <c r="A206" s="939"/>
      <c r="B206" s="940"/>
      <c r="C206" s="987" t="str">
        <f>C$105</f>
        <v xml:space="preserve">5. Clearwells 2&amp;3 </v>
      </c>
      <c r="D206" s="987" t="str">
        <f>D$105</f>
        <v>Chloramine</v>
      </c>
      <c r="E206" s="956">
        <f>AF19</f>
        <v>0</v>
      </c>
      <c r="F206" s="956">
        <f>AQ19</f>
        <v>8.17</v>
      </c>
      <c r="G206" s="965">
        <f>X19</f>
        <v>13.4</v>
      </c>
      <c r="H206" s="944">
        <f>(Q206*1000000)/1440</f>
        <v>17381.944444444445</v>
      </c>
      <c r="I206" s="957">
        <f>W19*347599</f>
        <v>4296323.6399999997</v>
      </c>
      <c r="J206" s="958">
        <f>+I206*$K$90</f>
        <v>2148161.8199999998</v>
      </c>
      <c r="K206" s="958">
        <f>+(J206/H$206)</f>
        <v>123.58581785057929</v>
      </c>
      <c r="L206" s="958">
        <f>+(K206*E206)</f>
        <v>0</v>
      </c>
      <c r="M206" s="947">
        <f t="shared" si="48"/>
        <v>0</v>
      </c>
      <c r="N206" s="964">
        <f t="shared" si="49"/>
        <v>0.48346085932901706</v>
      </c>
      <c r="O206" s="960">
        <f t="shared" si="50"/>
        <v>0.48346085932901706</v>
      </c>
      <c r="Q206">
        <f>U19</f>
        <v>25.03</v>
      </c>
    </row>
    <row r="207" spans="1:119" x14ac:dyDescent="0.4">
      <c r="A207" s="939"/>
      <c r="B207" s="940"/>
      <c r="C207" s="987"/>
      <c r="D207" s="987"/>
      <c r="E207" s="956"/>
      <c r="F207" s="956"/>
      <c r="G207" s="965"/>
      <c r="H207" s="990"/>
      <c r="I207" s="989"/>
      <c r="J207" s="958"/>
      <c r="K207" s="958"/>
      <c r="L207" s="958"/>
      <c r="M207" s="947" t="str">
        <f t="shared" si="48"/>
        <v>Check Dsfctnt.</v>
      </c>
      <c r="N207" s="964" t="str">
        <f t="shared" si="49"/>
        <v>Check Dsfctnt.</v>
      </c>
      <c r="O207" s="960" t="str">
        <f t="shared" si="50"/>
        <v>Check Dsfctnt.</v>
      </c>
    </row>
    <row r="208" spans="1:119" x14ac:dyDescent="0.4">
      <c r="A208" s="966"/>
      <c r="B208" s="967"/>
      <c r="C208" s="968" t="str">
        <f>C$107</f>
        <v>System TOTAL</v>
      </c>
      <c r="D208" s="969"/>
      <c r="E208" s="970">
        <f>AVERAGE(E202:E205)</f>
        <v>0.85000000000000009</v>
      </c>
      <c r="F208" s="970">
        <f>AVERAGE(F202:F205)</f>
        <v>7.1550000000000002</v>
      </c>
      <c r="G208" s="970">
        <f>AVERAGE(G202:G205)</f>
        <v>13.4</v>
      </c>
      <c r="H208" s="971"/>
      <c r="I208" s="998"/>
      <c r="J208" s="972"/>
      <c r="K208" s="972"/>
      <c r="L208" s="970">
        <f>SUM(L202:L205)</f>
        <v>92.99350992390724</v>
      </c>
      <c r="M208" s="973">
        <f>SUM(M202:M207)</f>
        <v>2.4460916423724273</v>
      </c>
      <c r="N208" s="974">
        <f>SUM(N202:N207)</f>
        <v>81.813763077927391</v>
      </c>
      <c r="O208" s="975">
        <f>SUM(O202:O207)</f>
        <v>81.813763077927391</v>
      </c>
    </row>
    <row r="209" spans="1:119" s="449" customFormat="1" ht="4" customHeight="1" x14ac:dyDescent="0.4">
      <c r="A209" s="1001"/>
      <c r="B209" s="978"/>
      <c r="C209" s="978"/>
      <c r="D209" s="978"/>
      <c r="E209" s="979"/>
      <c r="F209" s="979"/>
      <c r="G209" s="979"/>
      <c r="H209" s="980"/>
      <c r="I209" s="999"/>
      <c r="J209" s="981"/>
      <c r="K209" s="981"/>
      <c r="L209" s="981"/>
      <c r="M209" s="982"/>
      <c r="N209" s="983"/>
      <c r="O209" s="984"/>
      <c r="CA209" s="1002"/>
      <c r="CB209" s="1002"/>
      <c r="CG209" s="1002"/>
      <c r="CK209" s="1003"/>
      <c r="CL209" s="1003"/>
      <c r="CM209" s="1002"/>
      <c r="CN209" s="1002"/>
      <c r="CO209" s="1004"/>
      <c r="CP209" s="1002"/>
      <c r="DA209" s="467"/>
      <c r="DB209" s="1002"/>
      <c r="DG209" s="836"/>
      <c r="DH209" s="889"/>
      <c r="DI209" s="889"/>
      <c r="DJ209" s="836"/>
      <c r="DK209" s="765"/>
      <c r="DL209" s="765"/>
      <c r="DM209" s="765"/>
      <c r="DN209" s="765"/>
      <c r="DO209" s="765"/>
    </row>
    <row r="210" spans="1:119" x14ac:dyDescent="0.4">
      <c r="A210" s="985">
        <v>14</v>
      </c>
      <c r="B210" s="986">
        <v>1</v>
      </c>
      <c r="C210" s="987" t="str">
        <f>C$101</f>
        <v xml:space="preserve">1. Filter Influent </v>
      </c>
      <c r="D210" s="987" t="str">
        <f>D$101</f>
        <v>Free Chlorine</v>
      </c>
      <c r="E210" s="942">
        <f>Y20</f>
        <v>0.4</v>
      </c>
      <c r="F210" s="942">
        <f>AI20</f>
        <v>6.34</v>
      </c>
      <c r="G210" s="965">
        <f>X20</f>
        <v>13.73</v>
      </c>
      <c r="H210" s="944">
        <f>(Q210*1000000)/1440</f>
        <v>18006.944444444445</v>
      </c>
      <c r="I210" s="989">
        <f>I$101</f>
        <v>91543</v>
      </c>
      <c r="J210" s="958">
        <f>+I210*$F$89</f>
        <v>12816.02</v>
      </c>
      <c r="K210" s="958">
        <f>+(J210/H$210)</f>
        <v>0.71172652526031621</v>
      </c>
      <c r="L210" s="958">
        <f>+(K210*E210)</f>
        <v>0.2846906101041265</v>
      </c>
      <c r="M210" s="947">
        <f t="shared" ref="M210:M215" si="51">IF(AND($D210="Free Chlorine",$E210&gt;0.4),$L210/(0.2828*($F210^2.69)*($E210^0.15)*(0.933^($G210-5))),IF(AND($D210="Free Chlorine",$E210&lt;=0.4),$L210/(0.2828*($F210^2.69)*(0.4^0.15)*(0.933^($G210-5))),IF(AND($D210="Chloramine",$G210&gt;1),$L210/(858.5-(24.3*$G210)),IF(AND($D210="Chloramine",$G210&lt;=1),$L210/(858.5-(24.3)),IF(AND($D210="Chlorine Dioxide",$G210&gt;1),(($L210*($G210^0.49))+0.18)/23.85,IF(AND($D210="Chlorine Dioxide",$G210&lt;=1),($L210+0.18)/23.85,IF($D210="Ozone",(($L210*EXP(0.072*$G210))-0.01)/0.98,"Check Dsfctnt.")))))))</f>
        <v>1.4719663628999381E-2</v>
      </c>
      <c r="N210" s="959">
        <f t="shared" ref="N210:N215" si="52">IF($D210="Free Chlorine",IF(F210&gt;9,(($L210*EXP(0.071*$G210))-0.21)/22.37,(($L210*EXP(0.071*$G210))-0.42)/2.94),IF($D210="Chloramine",(($L210*EXP(0.071*$G210))+410.7)/849.5,IF($D210="Chlorine Dioxide",(($L210*EXP(0.072*$G210))+35.15)/21.25,IF($D210="Ozone",(($L210*EXP(0.068*$G210))-0.01)/0.47,"Check Dsfctnt."))))</f>
        <v>0.11382112655733316</v>
      </c>
      <c r="O210" s="960">
        <f t="shared" ref="O210:O215" si="53">IF(N210&lt;0,0,N210)</f>
        <v>0.11382112655733316</v>
      </c>
      <c r="Q210">
        <f>T20</f>
        <v>25.93</v>
      </c>
    </row>
    <row r="211" spans="1:119" x14ac:dyDescent="0.4">
      <c r="A211" s="939"/>
      <c r="B211" s="940"/>
      <c r="C211" s="987" t="str">
        <f>C$102</f>
        <v>2. Filter&amp;Filter Eff.</v>
      </c>
      <c r="D211" s="987" t="str">
        <f>D$102</f>
        <v>Free Chlorine</v>
      </c>
      <c r="E211" s="956">
        <f>Z20</f>
        <v>0.3</v>
      </c>
      <c r="F211" s="956">
        <f>AK20</f>
        <v>6.32</v>
      </c>
      <c r="G211" s="965">
        <f>X20</f>
        <v>13.73</v>
      </c>
      <c r="H211" s="944">
        <f>(Q211*1000000)/1440</f>
        <v>18006.944444444445</v>
      </c>
      <c r="I211" s="989">
        <f>I$102</f>
        <v>566414.48</v>
      </c>
      <c r="J211" s="958">
        <f>+I211*$F$90</f>
        <v>385161.84640000004</v>
      </c>
      <c r="K211" s="958">
        <f>+(J211/H$211)</f>
        <v>21.389628184188201</v>
      </c>
      <c r="L211" s="958">
        <f>+(K211*E211)</f>
        <v>6.4168884552564602</v>
      </c>
      <c r="M211" s="947">
        <f t="shared" si="51"/>
        <v>0.33461114011151799</v>
      </c>
      <c r="N211" s="964">
        <f t="shared" si="52"/>
        <v>5.6426368821074853</v>
      </c>
      <c r="O211" s="960">
        <f t="shared" si="53"/>
        <v>5.6426368821074853</v>
      </c>
      <c r="Q211">
        <f>T20</f>
        <v>25.93</v>
      </c>
    </row>
    <row r="212" spans="1:119" x14ac:dyDescent="0.4">
      <c r="A212" s="939"/>
      <c r="B212" s="940"/>
      <c r="C212" s="987" t="str">
        <f>C$103</f>
        <v xml:space="preserve">3. Plant Effluent </v>
      </c>
      <c r="D212" s="987" t="str">
        <f>D$103</f>
        <v>Free Chlorine</v>
      </c>
      <c r="E212" s="956">
        <f>AA20</f>
        <v>1.7</v>
      </c>
      <c r="F212" s="956">
        <f>AM20</f>
        <v>7.74</v>
      </c>
      <c r="G212" s="965">
        <f>X20</f>
        <v>13.73</v>
      </c>
      <c r="H212" s="944">
        <f>(Q212*1000000)/1440</f>
        <v>18006.944444444445</v>
      </c>
      <c r="I212" s="989">
        <f>I$103</f>
        <v>14092</v>
      </c>
      <c r="J212" s="958">
        <f>+I212*$F$91</f>
        <v>14092</v>
      </c>
      <c r="K212" s="958">
        <f>+(J212/H$212)</f>
        <v>0.78258696490551483</v>
      </c>
      <c r="L212" s="958">
        <f>+(K212*E212)</f>
        <v>1.3303978403393752</v>
      </c>
      <c r="M212" s="947">
        <f t="shared" si="51"/>
        <v>3.2370905932160583E-2</v>
      </c>
      <c r="N212" s="964">
        <f t="shared" si="52"/>
        <v>1.056635229462999</v>
      </c>
      <c r="O212" s="960">
        <f t="shared" si="53"/>
        <v>1.056635229462999</v>
      </c>
      <c r="Q212">
        <f>T20</f>
        <v>25.93</v>
      </c>
    </row>
    <row r="213" spans="1:119" x14ac:dyDescent="0.4">
      <c r="A213" s="939"/>
      <c r="B213" s="940"/>
      <c r="C213" s="987" t="str">
        <f>C$104</f>
        <v>4. Clearwell #1</v>
      </c>
      <c r="D213" s="987" t="str">
        <f>D$104</f>
        <v>Free Chlorine</v>
      </c>
      <c r="E213" s="956">
        <f>AB20</f>
        <v>1.6</v>
      </c>
      <c r="F213" s="956">
        <f>AO20</f>
        <v>7.9</v>
      </c>
      <c r="G213" s="965">
        <f>X20</f>
        <v>13.73</v>
      </c>
      <c r="H213" s="944">
        <f>(Q213*1000000)/1440</f>
        <v>19861.111111111109</v>
      </c>
      <c r="I213" s="957">
        <f>V20*145792</f>
        <v>1785952</v>
      </c>
      <c r="J213" s="958">
        <f>+I213*$K$89</f>
        <v>1250166.3999999999</v>
      </c>
      <c r="K213" s="958">
        <f>+(J213/H$213)</f>
        <v>62.945441118881121</v>
      </c>
      <c r="L213" s="958">
        <f>+(K213*E213)</f>
        <v>100.7127057902098</v>
      </c>
      <c r="M213" s="947">
        <f t="shared" si="51"/>
        <v>2.3404708478352734</v>
      </c>
      <c r="N213" s="964">
        <f t="shared" si="52"/>
        <v>90.660148340271817</v>
      </c>
      <c r="O213" s="960">
        <f t="shared" si="53"/>
        <v>90.660148340271817</v>
      </c>
      <c r="Q213">
        <f>U20</f>
        <v>28.6</v>
      </c>
    </row>
    <row r="214" spans="1:119" x14ac:dyDescent="0.4">
      <c r="A214" s="939"/>
      <c r="B214" s="940"/>
      <c r="C214" s="987" t="str">
        <f>C$105</f>
        <v xml:space="preserve">5. Clearwells 2&amp;3 </v>
      </c>
      <c r="D214" s="987" t="str">
        <f>D$105</f>
        <v>Chloramine</v>
      </c>
      <c r="E214" s="956">
        <f>AF20</f>
        <v>0</v>
      </c>
      <c r="F214" s="956">
        <f>AQ20</f>
        <v>7.9</v>
      </c>
      <c r="G214" s="965">
        <f>X20</f>
        <v>13.73</v>
      </c>
      <c r="H214" s="944">
        <f>(Q214*1000000)/1440</f>
        <v>19861.111111111109</v>
      </c>
      <c r="I214" s="957">
        <f>W20*347599</f>
        <v>4348463.49</v>
      </c>
      <c r="J214" s="958">
        <f>+I214*$K$90</f>
        <v>2174231.7450000001</v>
      </c>
      <c r="K214" s="958">
        <f>+(J214/H$214)</f>
        <v>109.47180813986016</v>
      </c>
      <c r="L214" s="958">
        <f>+(K214*E214)</f>
        <v>0</v>
      </c>
      <c r="M214" s="947">
        <f t="shared" si="51"/>
        <v>0</v>
      </c>
      <c r="N214" s="964">
        <f t="shared" si="52"/>
        <v>0.48346085932901706</v>
      </c>
      <c r="O214" s="960">
        <f t="shared" si="53"/>
        <v>0.48346085932901706</v>
      </c>
      <c r="Q214">
        <f>U20</f>
        <v>28.6</v>
      </c>
    </row>
    <row r="215" spans="1:119" x14ac:dyDescent="0.4">
      <c r="A215" s="939"/>
      <c r="B215" s="940"/>
      <c r="C215" s="987"/>
      <c r="D215" s="987"/>
      <c r="E215" s="956"/>
      <c r="F215" s="956"/>
      <c r="G215" s="965"/>
      <c r="H215" s="990"/>
      <c r="I215" s="989"/>
      <c r="J215" s="958"/>
      <c r="K215" s="958"/>
      <c r="L215" s="958"/>
      <c r="M215" s="947" t="str">
        <f t="shared" si="51"/>
        <v>Check Dsfctnt.</v>
      </c>
      <c r="N215" s="964" t="str">
        <f t="shared" si="52"/>
        <v>Check Dsfctnt.</v>
      </c>
      <c r="O215" s="960" t="str">
        <f t="shared" si="53"/>
        <v>Check Dsfctnt.</v>
      </c>
    </row>
    <row r="216" spans="1:119" x14ac:dyDescent="0.4">
      <c r="A216" s="966"/>
      <c r="B216" s="967"/>
      <c r="C216" s="968" t="str">
        <f>C$107</f>
        <v>System TOTAL</v>
      </c>
      <c r="D216" s="969"/>
      <c r="E216" s="970">
        <f>AVERAGE(E210:E213)</f>
        <v>1</v>
      </c>
      <c r="F216" s="970">
        <f>AVERAGE(F210:F213)</f>
        <v>7.0749999999999993</v>
      </c>
      <c r="G216" s="970">
        <f>AVERAGE(G210:G213)</f>
        <v>13.73</v>
      </c>
      <c r="H216" s="971"/>
      <c r="I216" s="998"/>
      <c r="J216" s="972"/>
      <c r="K216" s="972"/>
      <c r="L216" s="970">
        <f>SUM(L210:L213)</f>
        <v>108.74468269590976</v>
      </c>
      <c r="M216" s="973">
        <f>SUM(M210:M215)</f>
        <v>2.7221725575079514</v>
      </c>
      <c r="N216" s="974">
        <f>SUM(N210:N215)</f>
        <v>97.956702437728651</v>
      </c>
      <c r="O216" s="975">
        <f>SUM(O210:O215)</f>
        <v>97.956702437728651</v>
      </c>
    </row>
    <row r="217" spans="1:119" s="449" customFormat="1" ht="4" customHeight="1" x14ac:dyDescent="0.4">
      <c r="A217" s="1001"/>
      <c r="B217" s="978"/>
      <c r="C217" s="978"/>
      <c r="D217" s="978"/>
      <c r="E217" s="979"/>
      <c r="F217" s="979"/>
      <c r="G217" s="979"/>
      <c r="H217" s="980"/>
      <c r="I217" s="999"/>
      <c r="J217" s="981"/>
      <c r="K217" s="981"/>
      <c r="L217" s="981"/>
      <c r="M217" s="982"/>
      <c r="N217" s="983"/>
      <c r="O217" s="984"/>
      <c r="CA217" s="1002"/>
      <c r="CB217" s="1002"/>
      <c r="CG217" s="1002"/>
      <c r="CK217" s="1003"/>
      <c r="CL217" s="1003"/>
      <c r="CM217" s="1002"/>
      <c r="CN217" s="1002"/>
      <c r="CO217" s="1004"/>
      <c r="CP217" s="1002"/>
      <c r="DA217" s="467"/>
      <c r="DB217" s="1002"/>
      <c r="DG217" s="836"/>
      <c r="DH217" s="889"/>
      <c r="DI217" s="889"/>
      <c r="DJ217" s="836"/>
      <c r="DK217" s="765"/>
      <c r="DL217" s="765"/>
      <c r="DM217" s="765"/>
      <c r="DN217" s="765"/>
      <c r="DO217" s="765"/>
    </row>
    <row r="218" spans="1:119" x14ac:dyDescent="0.4">
      <c r="A218" s="985">
        <v>15</v>
      </c>
      <c r="B218" s="986">
        <v>1</v>
      </c>
      <c r="C218" s="987" t="str">
        <f>C$101</f>
        <v xml:space="preserve">1. Filter Influent </v>
      </c>
      <c r="D218" s="987" t="str">
        <f>D$101</f>
        <v>Free Chlorine</v>
      </c>
      <c r="E218" s="942">
        <f>Y21</f>
        <v>0.5</v>
      </c>
      <c r="F218" s="942">
        <f>AI21</f>
        <v>6.27</v>
      </c>
      <c r="G218" s="965">
        <f>X21</f>
        <v>13.87</v>
      </c>
      <c r="H218" s="944">
        <f>(Q218*1000000)/1440</f>
        <v>15256.944444444445</v>
      </c>
      <c r="I218" s="989">
        <f>I$101</f>
        <v>91543</v>
      </c>
      <c r="J218" s="958">
        <f>+I218*$F$89</f>
        <v>12816.02</v>
      </c>
      <c r="K218" s="958">
        <f>+(J218/H$218)</f>
        <v>0.84001223486572596</v>
      </c>
      <c r="L218" s="958">
        <f>+(K218*E218)</f>
        <v>0.42000611743286298</v>
      </c>
      <c r="M218" s="947">
        <f t="shared" ref="M218:M223" si="54">IF(AND($D218="Free Chlorine",$E218&gt;0.4),$L218/(0.2828*($F218^2.69)*($E218^0.15)*(0.933^($G218-5))),IF(AND($D218="Free Chlorine",$E218&lt;=0.4),$L218/(0.2828*($F218^2.69)*(0.4^0.15)*(0.933^($G218-5))),IF(AND($D218="Chloramine",$G218&gt;1),$L218/(858.5-(24.3*$G218)),IF(AND($D218="Chloramine",$G218&lt;=1),$L218/(858.5-(24.3)),IF(AND($D218="Chlorine Dioxide",$G218&gt;1),(($L218*($G218^0.49))+0.18)/23.85,IF(AND($D218="Chlorine Dioxide",$G218&lt;=1),($L218+0.18)/23.85,IF($D218="Ozone",(($L218*EXP(0.072*$G218))-0.01)/0.98,"Check Dsfctnt.")))))))</f>
        <v>2.1848963811280649E-2</v>
      </c>
      <c r="N218" s="959">
        <f t="shared" ref="N218:N223" si="55">IF($D218="Free Chlorine",IF(F218&gt;9,(($L218*EXP(0.071*$G218))-0.21)/22.37,(($L218*EXP(0.071*$G218))-0.42)/2.94),IF($D218="Chloramine",(($L218*EXP(0.071*$G218))+410.7)/849.5,IF($D218="Chlorine Dioxide",(($L218*EXP(0.072*$G218))+35.15)/21.25,IF($D218="Ozone",(($L218*EXP(0.068*$G218))-0.01)/0.47,"Check Dsfctnt."))))</f>
        <v>0.2396050075311178</v>
      </c>
      <c r="O218" s="960">
        <f t="shared" ref="O218:O223" si="56">IF(N218&lt;0,0,N218)</f>
        <v>0.2396050075311178</v>
      </c>
      <c r="Q218">
        <f>T21</f>
        <v>21.97</v>
      </c>
    </row>
    <row r="219" spans="1:119" x14ac:dyDescent="0.4">
      <c r="A219" s="939"/>
      <c r="B219" s="940"/>
      <c r="C219" s="987" t="str">
        <f>C$102</f>
        <v>2. Filter&amp;Filter Eff.</v>
      </c>
      <c r="D219" s="987" t="str">
        <f>D$102</f>
        <v>Free Chlorine</v>
      </c>
      <c r="E219" s="956">
        <f>Z21</f>
        <v>0.3</v>
      </c>
      <c r="F219" s="956">
        <f>AK21</f>
        <v>6.3</v>
      </c>
      <c r="G219" s="965">
        <f>X21</f>
        <v>13.87</v>
      </c>
      <c r="H219" s="944">
        <f>(Q219*1000000)/1440</f>
        <v>15256.944444444445</v>
      </c>
      <c r="I219" s="989">
        <f>I$102</f>
        <v>566414.48</v>
      </c>
      <c r="J219" s="958">
        <f>+I219*$F$90</f>
        <v>385161.84640000004</v>
      </c>
      <c r="K219" s="958">
        <f>+(J219/H$219)</f>
        <v>25.245018607919892</v>
      </c>
      <c r="L219" s="958">
        <f>+(K219*E219)</f>
        <v>7.5735055823759669</v>
      </c>
      <c r="M219" s="947">
        <f t="shared" si="54"/>
        <v>0.40219094443974079</v>
      </c>
      <c r="N219" s="964">
        <f t="shared" si="55"/>
        <v>6.7536596238921414</v>
      </c>
      <c r="O219" s="960">
        <f t="shared" si="56"/>
        <v>6.7536596238921414</v>
      </c>
      <c r="Q219">
        <f>T21</f>
        <v>21.97</v>
      </c>
    </row>
    <row r="220" spans="1:119" x14ac:dyDescent="0.4">
      <c r="A220" s="939"/>
      <c r="B220" s="940"/>
      <c r="C220" s="987" t="str">
        <f>C$103</f>
        <v xml:space="preserve">3. Plant Effluent </v>
      </c>
      <c r="D220" s="987" t="str">
        <f>D$103</f>
        <v>Free Chlorine</v>
      </c>
      <c r="E220" s="956">
        <f>AA21</f>
        <v>1.9</v>
      </c>
      <c r="F220" s="956">
        <f>AM21</f>
        <v>7.8</v>
      </c>
      <c r="G220" s="965">
        <f>X21</f>
        <v>13.87</v>
      </c>
      <c r="H220" s="944">
        <f>(Q220*1000000)/1440</f>
        <v>15256.944444444445</v>
      </c>
      <c r="I220" s="989">
        <f>I$103</f>
        <v>14092</v>
      </c>
      <c r="J220" s="958">
        <f>+I220*$F$91</f>
        <v>14092</v>
      </c>
      <c r="K220" s="958">
        <f>+(J220/H$220)</f>
        <v>0.92364497041420113</v>
      </c>
      <c r="L220" s="958">
        <f>+(K220*E220)</f>
        <v>1.7549254437869821</v>
      </c>
      <c r="M220" s="947">
        <f t="shared" si="54"/>
        <v>4.1531877473810104E-2</v>
      </c>
      <c r="N220" s="964">
        <f t="shared" si="55"/>
        <v>1.4551971024102022</v>
      </c>
      <c r="O220" s="960">
        <f t="shared" si="56"/>
        <v>1.4551971024102022</v>
      </c>
      <c r="Q220">
        <f>T21</f>
        <v>21.97</v>
      </c>
    </row>
    <row r="221" spans="1:119" x14ac:dyDescent="0.4">
      <c r="A221" s="939"/>
      <c r="B221" s="940"/>
      <c r="C221" s="987" t="str">
        <f>C$104</f>
        <v>4. Clearwell #1</v>
      </c>
      <c r="D221" s="987" t="str">
        <f>D$104</f>
        <v>Free Chlorine</v>
      </c>
      <c r="E221" s="956">
        <f>AB21</f>
        <v>1.7</v>
      </c>
      <c r="F221" s="956">
        <f>AO21</f>
        <v>7.92</v>
      </c>
      <c r="G221" s="965">
        <f>X21</f>
        <v>13.87</v>
      </c>
      <c r="H221" s="944">
        <f>(Q221*1000000)/1440</f>
        <v>17437.5</v>
      </c>
      <c r="I221" s="957">
        <f>V21*145792</f>
        <v>1810736.64</v>
      </c>
      <c r="J221" s="958">
        <f>+I221*$K$89</f>
        <v>1267515.6479999998</v>
      </c>
      <c r="K221" s="958">
        <f>+(J221/H$221)</f>
        <v>72.689069419354823</v>
      </c>
      <c r="L221" s="958">
        <f>+(K221*E221)</f>
        <v>123.57141801290319</v>
      </c>
      <c r="M221" s="947">
        <f t="shared" si="54"/>
        <v>2.85397634061037</v>
      </c>
      <c r="N221" s="964">
        <f t="shared" si="55"/>
        <v>112.38262355397157</v>
      </c>
      <c r="O221" s="960">
        <f t="shared" si="56"/>
        <v>112.38262355397157</v>
      </c>
      <c r="Q221">
        <f>U21</f>
        <v>25.11</v>
      </c>
    </row>
    <row r="222" spans="1:119" x14ac:dyDescent="0.4">
      <c r="A222" s="939"/>
      <c r="B222" s="940"/>
      <c r="C222" s="987" t="str">
        <f>C$105</f>
        <v xml:space="preserve">5. Clearwells 2&amp;3 </v>
      </c>
      <c r="D222" s="987" t="str">
        <f>D$105</f>
        <v>Chloramine</v>
      </c>
      <c r="E222" s="956">
        <f>AF21</f>
        <v>0</v>
      </c>
      <c r="F222" s="956">
        <f>AQ21</f>
        <v>7.99</v>
      </c>
      <c r="G222" s="965">
        <f>X21</f>
        <v>13.87</v>
      </c>
      <c r="H222" s="944">
        <f>(Q222*1000000)/1440</f>
        <v>17437.5</v>
      </c>
      <c r="I222" s="957">
        <f>W21*347599</f>
        <v>4431887.25</v>
      </c>
      <c r="J222" s="958">
        <f>+I222*$K$90</f>
        <v>2215943.625</v>
      </c>
      <c r="K222" s="958">
        <f>+(J222/H$222)</f>
        <v>127.07920430107526</v>
      </c>
      <c r="L222" s="958">
        <f>+(K222*E222)</f>
        <v>0</v>
      </c>
      <c r="M222" s="947">
        <f t="shared" si="54"/>
        <v>0</v>
      </c>
      <c r="N222" s="964">
        <f t="shared" si="55"/>
        <v>0.48346085932901706</v>
      </c>
      <c r="O222" s="960">
        <f t="shared" si="56"/>
        <v>0.48346085932901706</v>
      </c>
      <c r="Q222">
        <f>U21</f>
        <v>25.11</v>
      </c>
    </row>
    <row r="223" spans="1:119" x14ac:dyDescent="0.4">
      <c r="A223" s="939"/>
      <c r="B223" s="940"/>
      <c r="C223" s="987"/>
      <c r="D223" s="987"/>
      <c r="E223" s="956"/>
      <c r="F223" s="956"/>
      <c r="G223" s="965"/>
      <c r="H223" s="990"/>
      <c r="I223" s="989"/>
      <c r="J223" s="958"/>
      <c r="K223" s="958"/>
      <c r="L223" s="958"/>
      <c r="M223" s="947" t="str">
        <f t="shared" si="54"/>
        <v>Check Dsfctnt.</v>
      </c>
      <c r="N223" s="964" t="str">
        <f t="shared" si="55"/>
        <v>Check Dsfctnt.</v>
      </c>
      <c r="O223" s="960" t="str">
        <f t="shared" si="56"/>
        <v>Check Dsfctnt.</v>
      </c>
    </row>
    <row r="224" spans="1:119" x14ac:dyDescent="0.4">
      <c r="A224" s="966"/>
      <c r="B224" s="967"/>
      <c r="C224" s="968" t="str">
        <f>C$107</f>
        <v>System TOTAL</v>
      </c>
      <c r="D224" s="969"/>
      <c r="E224" s="970">
        <f>AVERAGE(E218:E221)</f>
        <v>1.1000000000000001</v>
      </c>
      <c r="F224" s="970">
        <f>AVERAGE(F218:F221)</f>
        <v>7.0724999999999998</v>
      </c>
      <c r="G224" s="970">
        <f>AVERAGE(G218:G221)</f>
        <v>13.87</v>
      </c>
      <c r="H224" s="971"/>
      <c r="I224" s="998"/>
      <c r="J224" s="972"/>
      <c r="K224" s="972"/>
      <c r="L224" s="970">
        <f>SUM(L218:L221)</f>
        <v>133.31985515649902</v>
      </c>
      <c r="M224" s="973">
        <f>SUM(M218:M223)</f>
        <v>3.3195481263352016</v>
      </c>
      <c r="N224" s="974">
        <f>SUM(N218:N223)</f>
        <v>121.31454614713404</v>
      </c>
      <c r="O224" s="975">
        <f>SUM(O218:O223)</f>
        <v>121.31454614713404</v>
      </c>
    </row>
    <row r="225" spans="1:119" s="449" customFormat="1" ht="4" customHeight="1" x14ac:dyDescent="0.4">
      <c r="A225" s="1001"/>
      <c r="B225" s="978"/>
      <c r="C225" s="978"/>
      <c r="D225" s="978"/>
      <c r="E225" s="979"/>
      <c r="F225" s="979"/>
      <c r="G225" s="979"/>
      <c r="H225" s="980"/>
      <c r="I225" s="999"/>
      <c r="J225" s="981"/>
      <c r="K225" s="981"/>
      <c r="L225" s="981"/>
      <c r="M225" s="982"/>
      <c r="N225" s="983"/>
      <c r="O225" s="984"/>
      <c r="CA225" s="1002"/>
      <c r="CB225" s="1002"/>
      <c r="CG225" s="1002"/>
      <c r="CK225" s="1003"/>
      <c r="CL225" s="1003"/>
      <c r="CM225" s="1002"/>
      <c r="CN225" s="1002"/>
      <c r="CO225" s="1004"/>
      <c r="CP225" s="1002"/>
      <c r="DA225" s="467"/>
      <c r="DB225" s="1002"/>
      <c r="DG225" s="836"/>
      <c r="DH225" s="889"/>
      <c r="DI225" s="889"/>
      <c r="DJ225" s="836"/>
      <c r="DK225" s="765"/>
      <c r="DL225" s="765"/>
      <c r="DM225" s="765"/>
      <c r="DN225" s="765"/>
      <c r="DO225" s="765"/>
    </row>
    <row r="226" spans="1:119" x14ac:dyDescent="0.4">
      <c r="A226" s="985">
        <v>16</v>
      </c>
      <c r="B226" s="986">
        <v>1</v>
      </c>
      <c r="C226" s="987" t="str">
        <f>C$101</f>
        <v xml:space="preserve">1. Filter Influent </v>
      </c>
      <c r="D226" s="987" t="str">
        <f>D$101</f>
        <v>Free Chlorine</v>
      </c>
      <c r="E226" s="942">
        <f>Y22</f>
        <v>0.4</v>
      </c>
      <c r="F226" s="942">
        <f>AI22</f>
        <v>6.3</v>
      </c>
      <c r="G226" s="965">
        <f>X22</f>
        <v>14.06</v>
      </c>
      <c r="H226" s="944">
        <f>(Q226*1000000)/1440</f>
        <v>14763.888888888889</v>
      </c>
      <c r="I226" s="989">
        <f>I$101</f>
        <v>91543</v>
      </c>
      <c r="J226" s="958">
        <f>+I226*$F$89</f>
        <v>12816.02</v>
      </c>
      <c r="K226" s="958">
        <f>+(J226/H$226)</f>
        <v>0.86806532455315155</v>
      </c>
      <c r="L226" s="958">
        <f>+(K226*E226)</f>
        <v>0.34722612982126067</v>
      </c>
      <c r="M226" s="947">
        <f t="shared" ref="M226:M231" si="57">IF(AND($D226="Free Chlorine",$E226&gt;0.4),$L226/(0.2828*($F226^2.69)*($E226^0.15)*(0.933^($G226-5))),IF(AND($D226="Free Chlorine",$E226&lt;=0.4),$L226/(0.2828*($F226^2.69)*(0.4^0.15)*(0.933^($G226-5))),IF(AND($D226="Chloramine",$G226&gt;1),$L226/(858.5-(24.3*$G226)),IF(AND($D226="Chloramine",$G226&lt;=1),$L226/(858.5-(24.3)),IF(AND($D226="Chlorine Dioxide",$G226&gt;1),(($L226*($G226^0.49))+0.18)/23.85,IF(AND($D226="Chlorine Dioxide",$G226&lt;=1),($L226+0.18)/23.85,IF($D226="Ozone",(($L226*EXP(0.072*$G226))-0.01)/0.98,"Check Dsfctnt.")))))))</f>
        <v>1.8684015784607787E-2</v>
      </c>
      <c r="N226" s="959">
        <f t="shared" ref="N226:N231" si="58">IF($D226="Free Chlorine",IF(F226&gt;9,(($L226*EXP(0.071*$G226))-0.21)/22.37,(($L226*EXP(0.071*$G226))-0.42)/2.94),IF($D226="Chloramine",(($L226*EXP(0.071*$G226))+410.7)/849.5,IF($D226="Chlorine Dioxide",(($L226*EXP(0.072*$G226))+35.15)/21.25,IF($D226="Ozone",(($L226*EXP(0.068*$G226))-0.01)/0.47,"Check Dsfctnt."))))</f>
        <v>0.17762503173141003</v>
      </c>
      <c r="O226" s="960">
        <f t="shared" ref="O226:O231" si="59">IF(N226&lt;0,0,N226)</f>
        <v>0.17762503173141003</v>
      </c>
      <c r="Q226">
        <f>T22</f>
        <v>21.26</v>
      </c>
    </row>
    <row r="227" spans="1:119" x14ac:dyDescent="0.4">
      <c r="A227" s="939"/>
      <c r="B227" s="940"/>
      <c r="C227" s="987" t="str">
        <f>C$102</f>
        <v>2. Filter&amp;Filter Eff.</v>
      </c>
      <c r="D227" s="987" t="str">
        <f>D$102</f>
        <v>Free Chlorine</v>
      </c>
      <c r="E227" s="956">
        <f>Z22</f>
        <v>0.1</v>
      </c>
      <c r="F227" s="956">
        <f>AK22</f>
        <v>6.33</v>
      </c>
      <c r="G227" s="965">
        <f>X22</f>
        <v>14.06</v>
      </c>
      <c r="H227" s="944">
        <f>(Q227*1000000)/1440</f>
        <v>14763.888888888889</v>
      </c>
      <c r="I227" s="989">
        <f>I$102</f>
        <v>566414.48</v>
      </c>
      <c r="J227" s="958">
        <f>+I227*$F$90</f>
        <v>385161.84640000004</v>
      </c>
      <c r="K227" s="958">
        <f>+(J227/H$227)</f>
        <v>26.088102484289749</v>
      </c>
      <c r="L227" s="958">
        <f>+(K227*E227)</f>
        <v>2.6088102484289752</v>
      </c>
      <c r="M227" s="947">
        <f t="shared" si="57"/>
        <v>0.13859591045958614</v>
      </c>
      <c r="N227" s="964">
        <f t="shared" si="58"/>
        <v>2.2650180419274899</v>
      </c>
      <c r="O227" s="960">
        <f t="shared" si="59"/>
        <v>2.2650180419274899</v>
      </c>
      <c r="Q227">
        <f>T22</f>
        <v>21.26</v>
      </c>
    </row>
    <row r="228" spans="1:119" x14ac:dyDescent="0.4">
      <c r="A228" s="939"/>
      <c r="B228" s="940"/>
      <c r="C228" s="987" t="str">
        <f>C$103</f>
        <v xml:space="preserve">3. Plant Effluent </v>
      </c>
      <c r="D228" s="987" t="str">
        <f>D$103</f>
        <v>Free Chlorine</v>
      </c>
      <c r="E228" s="956">
        <f>AA22</f>
        <v>1.5</v>
      </c>
      <c r="F228" s="956">
        <f>AM22</f>
        <v>7.76</v>
      </c>
      <c r="G228" s="965">
        <f>X22</f>
        <v>14.06</v>
      </c>
      <c r="H228" s="944">
        <f>(Q228*1000000)/1440</f>
        <v>14763.888888888889</v>
      </c>
      <c r="I228" s="989">
        <f>I$103</f>
        <v>14092</v>
      </c>
      <c r="J228" s="958">
        <f>+I228*$F$91</f>
        <v>14092</v>
      </c>
      <c r="K228" s="958">
        <f>+(J228/H$228)</f>
        <v>0.95449106302916276</v>
      </c>
      <c r="L228" s="958">
        <f>+(K228*E228)</f>
        <v>1.4317365945437441</v>
      </c>
      <c r="M228" s="947">
        <f t="shared" si="57"/>
        <v>3.6067356201524362E-2</v>
      </c>
      <c r="N228" s="964">
        <f t="shared" si="58"/>
        <v>1.178604630465002</v>
      </c>
      <c r="O228" s="960">
        <f t="shared" si="59"/>
        <v>1.178604630465002</v>
      </c>
      <c r="Q228">
        <f>T22</f>
        <v>21.26</v>
      </c>
    </row>
    <row r="229" spans="1:119" x14ac:dyDescent="0.4">
      <c r="A229" s="939"/>
      <c r="B229" s="940"/>
      <c r="C229" s="987" t="str">
        <f>C$104</f>
        <v>4. Clearwell #1</v>
      </c>
      <c r="D229" s="987" t="str">
        <f>D$104</f>
        <v>Free Chlorine</v>
      </c>
      <c r="E229" s="956">
        <f>AB22</f>
        <v>1.4</v>
      </c>
      <c r="F229" s="956">
        <f>AO22</f>
        <v>7.88</v>
      </c>
      <c r="G229" s="965">
        <f>X22</f>
        <v>14.06</v>
      </c>
      <c r="H229" s="944">
        <f>(Q229*1000000)/1440</f>
        <v>17631.944444444445</v>
      </c>
      <c r="I229" s="957">
        <f>V22*145792</f>
        <v>1922996.48</v>
      </c>
      <c r="J229" s="958">
        <f>+I229*$K$89</f>
        <v>1346097.5359999998</v>
      </c>
      <c r="K229" s="958">
        <f>+(J229/H$229)</f>
        <v>76.34424780779834</v>
      </c>
      <c r="L229" s="958">
        <f>+(K229*E229)</f>
        <v>106.88194693091766</v>
      </c>
      <c r="M229" s="947">
        <f t="shared" si="57"/>
        <v>2.6104929719097685</v>
      </c>
      <c r="N229" s="964">
        <f t="shared" si="58"/>
        <v>98.506857941406196</v>
      </c>
      <c r="O229" s="960">
        <f t="shared" si="59"/>
        <v>98.506857941406196</v>
      </c>
      <c r="Q229">
        <f>U22</f>
        <v>25.39</v>
      </c>
    </row>
    <row r="230" spans="1:119" x14ac:dyDescent="0.4">
      <c r="A230" s="939"/>
      <c r="B230" s="940"/>
      <c r="C230" s="987" t="str">
        <f>C$105</f>
        <v xml:space="preserve">5. Clearwells 2&amp;3 </v>
      </c>
      <c r="D230" s="987" t="str">
        <f>D$105</f>
        <v>Chloramine</v>
      </c>
      <c r="E230" s="956">
        <f>AF22</f>
        <v>0</v>
      </c>
      <c r="F230" s="956">
        <f>AQ22</f>
        <v>7.93</v>
      </c>
      <c r="G230" s="965">
        <f>X22</f>
        <v>14.06</v>
      </c>
      <c r="H230" s="944">
        <f>(Q230*1000000)/1440</f>
        <v>17631.944444444445</v>
      </c>
      <c r="I230" s="957">
        <f>W22*347599</f>
        <v>4636970.66</v>
      </c>
      <c r="J230" s="958">
        <f>+I230*$K$90</f>
        <v>2318485.33</v>
      </c>
      <c r="K230" s="958">
        <f>+(J230/H$230)</f>
        <v>131.4934570775896</v>
      </c>
      <c r="L230" s="958">
        <f>+(K230*E230)</f>
        <v>0</v>
      </c>
      <c r="M230" s="947">
        <f t="shared" si="57"/>
        <v>0</v>
      </c>
      <c r="N230" s="964">
        <f t="shared" si="58"/>
        <v>0.48346085932901706</v>
      </c>
      <c r="O230" s="960">
        <f t="shared" si="59"/>
        <v>0.48346085932901706</v>
      </c>
      <c r="Q230">
        <f>U22</f>
        <v>25.39</v>
      </c>
    </row>
    <row r="231" spans="1:119" x14ac:dyDescent="0.4">
      <c r="A231" s="939"/>
      <c r="B231" s="940"/>
      <c r="C231" s="987"/>
      <c r="D231" s="987"/>
      <c r="E231" s="956"/>
      <c r="F231" s="956"/>
      <c r="G231" s="965"/>
      <c r="H231" s="990"/>
      <c r="I231" s="989"/>
      <c r="J231" s="958"/>
      <c r="K231" s="958"/>
      <c r="L231" s="958"/>
      <c r="M231" s="947" t="str">
        <f t="shared" si="57"/>
        <v>Check Dsfctnt.</v>
      </c>
      <c r="N231" s="964" t="str">
        <f t="shared" si="58"/>
        <v>Check Dsfctnt.</v>
      </c>
      <c r="O231" s="960" t="str">
        <f t="shared" si="59"/>
        <v>Check Dsfctnt.</v>
      </c>
    </row>
    <row r="232" spans="1:119" x14ac:dyDescent="0.4">
      <c r="A232" s="966"/>
      <c r="B232" s="967"/>
      <c r="C232" s="968" t="str">
        <f>C$107</f>
        <v>System TOTAL</v>
      </c>
      <c r="D232" s="969"/>
      <c r="E232" s="970">
        <f>AVERAGE(E226:E229)</f>
        <v>0.85</v>
      </c>
      <c r="F232" s="970">
        <f>AVERAGE(F226:F229)</f>
        <v>7.0674999999999999</v>
      </c>
      <c r="G232" s="970">
        <f>AVERAGE(G226:G229)</f>
        <v>14.06</v>
      </c>
      <c r="H232" s="971"/>
      <c r="I232" s="998"/>
      <c r="J232" s="972"/>
      <c r="K232" s="972"/>
      <c r="L232" s="970">
        <f>SUM(L226:L229)</f>
        <v>111.26971990371165</v>
      </c>
      <c r="M232" s="973">
        <f>SUM(M226:M231)</f>
        <v>2.803840254355487</v>
      </c>
      <c r="N232" s="974">
        <f>SUM(N226:N231)</f>
        <v>102.61156650485911</v>
      </c>
      <c r="O232" s="975">
        <f>SUM(O226:O231)</f>
        <v>102.61156650485911</v>
      </c>
    </row>
    <row r="233" spans="1:119" s="449" customFormat="1" ht="4" customHeight="1" x14ac:dyDescent="0.4">
      <c r="A233" s="1001"/>
      <c r="B233" s="978"/>
      <c r="C233" s="978"/>
      <c r="D233" s="978"/>
      <c r="E233" s="979"/>
      <c r="F233" s="979"/>
      <c r="G233" s="979"/>
      <c r="H233" s="980"/>
      <c r="I233" s="999"/>
      <c r="J233" s="981"/>
      <c r="K233" s="981"/>
      <c r="L233" s="981"/>
      <c r="M233" s="982"/>
      <c r="N233" s="983"/>
      <c r="O233" s="984"/>
      <c r="CA233" s="1002"/>
      <c r="CB233" s="1002"/>
      <c r="CG233" s="1002"/>
      <c r="CK233" s="1003"/>
      <c r="CL233" s="1003"/>
      <c r="CM233" s="1002"/>
      <c r="CN233" s="1002"/>
      <c r="CO233" s="1004"/>
      <c r="CP233" s="1002"/>
      <c r="DA233" s="467"/>
      <c r="DB233" s="1002"/>
      <c r="DG233" s="836"/>
      <c r="DH233" s="889"/>
      <c r="DI233" s="889"/>
      <c r="DJ233" s="836"/>
      <c r="DK233" s="765"/>
      <c r="DL233" s="765"/>
      <c r="DM233" s="765"/>
      <c r="DN233" s="765"/>
      <c r="DO233" s="765"/>
    </row>
    <row r="234" spans="1:119" x14ac:dyDescent="0.4">
      <c r="A234" s="985">
        <v>17</v>
      </c>
      <c r="B234" s="986">
        <v>1</v>
      </c>
      <c r="C234" s="987" t="str">
        <f>C$101</f>
        <v xml:space="preserve">1. Filter Influent </v>
      </c>
      <c r="D234" s="987" t="str">
        <f>D$101</f>
        <v>Free Chlorine</v>
      </c>
      <c r="E234" s="942">
        <f>Y23</f>
        <v>0.5</v>
      </c>
      <c r="F234" s="942">
        <f>AI23</f>
        <v>6.38</v>
      </c>
      <c r="G234" s="965">
        <f>X23</f>
        <v>14.2</v>
      </c>
      <c r="H234" s="944">
        <f>(Q234*1000000)/1440</f>
        <v>15673.611111111111</v>
      </c>
      <c r="I234" s="989">
        <f>I$101</f>
        <v>91543</v>
      </c>
      <c r="J234" s="958">
        <f>+I234*$F$89</f>
        <v>12816.02</v>
      </c>
      <c r="K234" s="958">
        <f>+(J234/H$234)</f>
        <v>0.81768138236597254</v>
      </c>
      <c r="L234" s="958">
        <f>+(K234*E234)</f>
        <v>0.40884069118298627</v>
      </c>
      <c r="M234" s="947">
        <f t="shared" ref="M234:M239" si="60">IF(AND($D234="Free Chlorine",$E234&gt;0.4),$L234/(0.2828*($F234^2.69)*($E234^0.15)*(0.933^($G234-5))),IF(AND($D234="Free Chlorine",$E234&lt;=0.4),$L234/(0.2828*($F234^2.69)*(0.4^0.15)*(0.933^($G234-5))),IF(AND($D234="Chloramine",$G234&gt;1),$L234/(858.5-(24.3*$G234)),IF(AND($D234="Chloramine",$G234&lt;=1),$L234/(858.5-(24.3)),IF(AND($D234="Chlorine Dioxide",$G234&gt;1),(($L234*($G234^0.49))+0.18)/23.85,IF(AND($D234="Chlorine Dioxide",$G234&lt;=1),($L234+0.18)/23.85,IF($D234="Ozone",(($L234*EXP(0.072*$G234))-0.01)/0.98,"Check Dsfctnt.")))))))</f>
        <v>2.0765885728500598E-2</v>
      </c>
      <c r="N234" s="959">
        <f t="shared" ref="N234:N239" si="61">IF($D234="Free Chlorine",IF(F234&gt;9,(($L234*EXP(0.071*$G234))-0.21)/22.37,(($L234*EXP(0.071*$G234))-0.42)/2.94),IF($D234="Chloramine",(($L234*EXP(0.071*$G234))+410.7)/849.5,IF($D234="Chlorine Dioxide",(($L234*EXP(0.072*$G234))+35.15)/21.25,IF($D234="Ozone",(($L234*EXP(0.068*$G234))-0.01)/0.47,"Check Dsfctnt."))))</f>
        <v>0.23826350677663993</v>
      </c>
      <c r="O234" s="960">
        <f t="shared" ref="O234:O239" si="62">IF(N234&lt;0,0,N234)</f>
        <v>0.23826350677663993</v>
      </c>
      <c r="Q234">
        <f>T23</f>
        <v>22.57</v>
      </c>
    </row>
    <row r="235" spans="1:119" x14ac:dyDescent="0.4">
      <c r="A235" s="939"/>
      <c r="B235" s="940"/>
      <c r="C235" s="987" t="str">
        <f>C$102</f>
        <v>2. Filter&amp;Filter Eff.</v>
      </c>
      <c r="D235" s="987" t="str">
        <f>D$102</f>
        <v>Free Chlorine</v>
      </c>
      <c r="E235" s="956">
        <f>Z23</f>
        <v>0.3</v>
      </c>
      <c r="F235" s="956">
        <f>AK23</f>
        <v>6.38</v>
      </c>
      <c r="G235" s="965">
        <f>X23</f>
        <v>14.2</v>
      </c>
      <c r="H235" s="944">
        <f>(Q235*1000000)/1440</f>
        <v>15673.611111111111</v>
      </c>
      <c r="I235" s="989">
        <f>I$102</f>
        <v>566414.48</v>
      </c>
      <c r="J235" s="958">
        <f>+I235*$F$90</f>
        <v>385161.84640000004</v>
      </c>
      <c r="K235" s="958">
        <f>+(J235/H$235)</f>
        <v>24.573906017545415</v>
      </c>
      <c r="L235" s="958">
        <f>+(K235*E235)</f>
        <v>7.3721718052636245</v>
      </c>
      <c r="M235" s="947">
        <f t="shared" si="60"/>
        <v>0.38719371189059842</v>
      </c>
      <c r="N235" s="964">
        <f t="shared" si="61"/>
        <v>6.7294698251461185</v>
      </c>
      <c r="O235" s="960">
        <f t="shared" si="62"/>
        <v>6.7294698251461185</v>
      </c>
      <c r="Q235">
        <f>T23</f>
        <v>22.57</v>
      </c>
    </row>
    <row r="236" spans="1:119" x14ac:dyDescent="0.4">
      <c r="A236" s="939"/>
      <c r="B236" s="940"/>
      <c r="C236" s="987" t="str">
        <f>C$103</f>
        <v xml:space="preserve">3. Plant Effluent </v>
      </c>
      <c r="D236" s="987" t="str">
        <f>D$103</f>
        <v>Free Chlorine</v>
      </c>
      <c r="E236" s="956">
        <f>AA23</f>
        <v>2.2000000000000002</v>
      </c>
      <c r="F236" s="956">
        <f>AM23</f>
        <v>7.99</v>
      </c>
      <c r="G236" s="965">
        <f>X23</f>
        <v>14.2</v>
      </c>
      <c r="H236" s="944">
        <f>(Q236*1000000)/1440</f>
        <v>15673.611111111111</v>
      </c>
      <c r="I236" s="989">
        <f>I$103</f>
        <v>14092</v>
      </c>
      <c r="J236" s="958">
        <f>+I236*$F$91</f>
        <v>14092</v>
      </c>
      <c r="K236" s="958">
        <f>+(J236/H$236)</f>
        <v>0.89909082853345146</v>
      </c>
      <c r="L236" s="958">
        <f>+(K236*E236)</f>
        <v>1.9779998227735933</v>
      </c>
      <c r="M236" s="947">
        <f t="shared" si="60"/>
        <v>4.3915869137244705E-2</v>
      </c>
      <c r="N236" s="964">
        <f t="shared" si="61"/>
        <v>1.7010311825678155</v>
      </c>
      <c r="O236" s="960">
        <f t="shared" si="62"/>
        <v>1.7010311825678155</v>
      </c>
      <c r="Q236">
        <f>T23</f>
        <v>22.57</v>
      </c>
    </row>
    <row r="237" spans="1:119" x14ac:dyDescent="0.4">
      <c r="A237" s="939"/>
      <c r="B237" s="940"/>
      <c r="C237" s="987" t="str">
        <f>C$104</f>
        <v>4. Clearwell #1</v>
      </c>
      <c r="D237" s="987" t="str">
        <f>D$104</f>
        <v>Free Chlorine</v>
      </c>
      <c r="E237" s="956">
        <f>AB23</f>
        <v>2</v>
      </c>
      <c r="F237" s="956">
        <f>AO23</f>
        <v>8.16</v>
      </c>
      <c r="G237" s="965">
        <f>X23</f>
        <v>14.2</v>
      </c>
      <c r="H237" s="944">
        <f>(Q237*1000000)/1440</f>
        <v>16993.055555555555</v>
      </c>
      <c r="I237" s="957">
        <f>V23*145792</f>
        <v>1818026.24</v>
      </c>
      <c r="J237" s="958">
        <f>+I237*$K$89</f>
        <v>1272618.368</v>
      </c>
      <c r="K237" s="958">
        <f>+(J237/H$237)</f>
        <v>74.890496523089496</v>
      </c>
      <c r="L237" s="958">
        <f>+(K237*E237)</f>
        <v>149.78099304617899</v>
      </c>
      <c r="M237" s="947">
        <f t="shared" si="60"/>
        <v>3.1876097874134373</v>
      </c>
      <c r="N237" s="964">
        <f t="shared" si="61"/>
        <v>139.48274912294204</v>
      </c>
      <c r="O237" s="960">
        <f t="shared" si="62"/>
        <v>139.48274912294204</v>
      </c>
      <c r="Q237">
        <f>U23</f>
        <v>24.47</v>
      </c>
    </row>
    <row r="238" spans="1:119" x14ac:dyDescent="0.4">
      <c r="A238" s="939"/>
      <c r="B238" s="940"/>
      <c r="C238" s="987" t="str">
        <f>C$105</f>
        <v xml:space="preserve">5. Clearwells 2&amp;3 </v>
      </c>
      <c r="D238" s="987" t="str">
        <f>D$105</f>
        <v>Chloramine</v>
      </c>
      <c r="E238" s="956">
        <f>AF23</f>
        <v>0</v>
      </c>
      <c r="F238" s="956">
        <f>AQ23</f>
        <v>8.18</v>
      </c>
      <c r="G238" s="965">
        <f>X23</f>
        <v>14.2</v>
      </c>
      <c r="H238" s="944">
        <f>(Q238*1000000)/1440</f>
        <v>16993.055555555555</v>
      </c>
      <c r="I238" s="957">
        <f>W23*347599</f>
        <v>4348463.49</v>
      </c>
      <c r="J238" s="958">
        <f>+I238*$K$90</f>
        <v>2174231.7450000001</v>
      </c>
      <c r="K238" s="958">
        <f>+(J238/H$238)</f>
        <v>127.94825144258277</v>
      </c>
      <c r="L238" s="958">
        <f>+(K238*E238)</f>
        <v>0</v>
      </c>
      <c r="M238" s="947">
        <f t="shared" si="60"/>
        <v>0</v>
      </c>
      <c r="N238" s="964">
        <f t="shared" si="61"/>
        <v>0.48346085932901706</v>
      </c>
      <c r="O238" s="960">
        <f t="shared" si="62"/>
        <v>0.48346085932901706</v>
      </c>
      <c r="Q238">
        <f>U23</f>
        <v>24.47</v>
      </c>
    </row>
    <row r="239" spans="1:119" x14ac:dyDescent="0.4">
      <c r="A239" s="939"/>
      <c r="B239" s="940"/>
      <c r="C239" s="987"/>
      <c r="D239" s="987"/>
      <c r="E239" s="956"/>
      <c r="F239" s="956"/>
      <c r="G239" s="965"/>
      <c r="H239" s="990"/>
      <c r="I239" s="989"/>
      <c r="J239" s="958"/>
      <c r="K239" s="958"/>
      <c r="L239" s="958"/>
      <c r="M239" s="947" t="str">
        <f t="shared" si="60"/>
        <v>Check Dsfctnt.</v>
      </c>
      <c r="N239" s="964" t="str">
        <f t="shared" si="61"/>
        <v>Check Dsfctnt.</v>
      </c>
      <c r="O239" s="960" t="str">
        <f t="shared" si="62"/>
        <v>Check Dsfctnt.</v>
      </c>
    </row>
    <row r="240" spans="1:119" x14ac:dyDescent="0.4">
      <c r="A240" s="966"/>
      <c r="B240" s="967"/>
      <c r="C240" s="968" t="str">
        <f>C$107</f>
        <v>System TOTAL</v>
      </c>
      <c r="D240" s="969"/>
      <c r="E240" s="970">
        <f>AVERAGE(E234:E237)</f>
        <v>1.25</v>
      </c>
      <c r="F240" s="970">
        <f>AVERAGE(F234:F237)</f>
        <v>7.2275</v>
      </c>
      <c r="G240" s="970">
        <f>AVERAGE(G234:G237)</f>
        <v>14.2</v>
      </c>
      <c r="H240" s="971"/>
      <c r="I240" s="998"/>
      <c r="J240" s="972"/>
      <c r="K240" s="972"/>
      <c r="L240" s="970">
        <f>SUM(L234:L237)</f>
        <v>159.5400053653992</v>
      </c>
      <c r="M240" s="973">
        <f>SUM(M234:M239)</f>
        <v>3.6394852541697809</v>
      </c>
      <c r="N240" s="974">
        <f>SUM(N234:N239)</f>
        <v>148.63497449676163</v>
      </c>
      <c r="O240" s="975">
        <f>SUM(O234:O239)</f>
        <v>148.63497449676163</v>
      </c>
    </row>
    <row r="241" spans="1:119" s="449" customFormat="1" ht="4" customHeight="1" x14ac:dyDescent="0.4">
      <c r="A241" s="1001"/>
      <c r="B241" s="978"/>
      <c r="C241" s="978"/>
      <c r="D241" s="978"/>
      <c r="E241" s="979"/>
      <c r="F241" s="979"/>
      <c r="G241" s="979"/>
      <c r="H241" s="980"/>
      <c r="I241" s="999"/>
      <c r="J241" s="981"/>
      <c r="K241" s="981"/>
      <c r="L241" s="981"/>
      <c r="M241" s="982"/>
      <c r="N241" s="983"/>
      <c r="O241" s="984"/>
      <c r="CA241" s="1002"/>
      <c r="CB241" s="1002"/>
      <c r="CG241" s="1002"/>
      <c r="CK241" s="1003"/>
      <c r="CL241" s="1003"/>
      <c r="CM241" s="1002"/>
      <c r="CN241" s="1002"/>
      <c r="CO241" s="1004"/>
      <c r="CP241" s="1002"/>
      <c r="DA241" s="467"/>
      <c r="DB241" s="1002"/>
      <c r="DG241" s="836"/>
      <c r="DH241" s="889"/>
      <c r="DI241" s="889"/>
      <c r="DJ241" s="836"/>
      <c r="DK241" s="765"/>
      <c r="DL241" s="765"/>
      <c r="DM241" s="765"/>
      <c r="DN241" s="765"/>
      <c r="DO241" s="765"/>
    </row>
    <row r="242" spans="1:119" x14ac:dyDescent="0.4">
      <c r="A242" s="985">
        <v>18</v>
      </c>
      <c r="B242" s="986">
        <v>1</v>
      </c>
      <c r="C242" s="987" t="str">
        <f>C$101</f>
        <v xml:space="preserve">1. Filter Influent </v>
      </c>
      <c r="D242" s="987" t="str">
        <f>D$101</f>
        <v>Free Chlorine</v>
      </c>
      <c r="E242" s="942">
        <f>Y24</f>
        <v>0.7</v>
      </c>
      <c r="F242" s="942">
        <f>AI24</f>
        <v>6.39</v>
      </c>
      <c r="G242" s="965">
        <f>X24</f>
        <v>14.3</v>
      </c>
      <c r="H242" s="944">
        <f>(Q242*1000000)/1440</f>
        <v>16034.722222222223</v>
      </c>
      <c r="I242" s="989">
        <f>I$101</f>
        <v>91543</v>
      </c>
      <c r="J242" s="958">
        <f>+I242*$F$89</f>
        <v>12816.02</v>
      </c>
      <c r="K242" s="958">
        <f>+(J242/H$242)</f>
        <v>0.79926673018622785</v>
      </c>
      <c r="L242" s="958">
        <f>+(K242*E242)</f>
        <v>0.55948671113035942</v>
      </c>
      <c r="M242" s="947">
        <f t="shared" ref="M242:M247" si="63">IF(AND($D242="Free Chlorine",$E242&gt;0.4),$L242/(0.2828*($F242^2.69)*($E242^0.15)*(0.933^($G242-5))),IF(AND($D242="Free Chlorine",$E242&lt;=0.4),$L242/(0.2828*($F242^2.69)*(0.4^0.15)*(0.933^($G242-5))),IF(AND($D242="Chloramine",$G242&gt;1),$L242/(858.5-(24.3*$G242)),IF(AND($D242="Chloramine",$G242&lt;=1),$L242/(858.5-(24.3)),IF(AND($D242="Chlorine Dioxide",$G242&gt;1),(($L242*($G242^0.49))+0.18)/23.85,IF(AND($D242="Chlorine Dioxide",$G242&lt;=1),($L242+0.18)/23.85,IF($D242="Ozone",(($L242*EXP(0.072*$G242))-0.01)/0.98,"Check Dsfctnt.")))))))</f>
        <v>2.7092499202410327E-2</v>
      </c>
      <c r="N242" s="959">
        <f t="shared" ref="N242:N247" si="64">IF($D242="Free Chlorine",IF(F242&gt;9,(($L242*EXP(0.071*$G242))-0.21)/22.37,(($L242*EXP(0.071*$G242))-0.42)/2.94),IF($D242="Chloramine",(($L242*EXP(0.071*$G242))+410.7)/849.5,IF($D242="Chlorine Dioxide",(($L242*EXP(0.072*$G242))+35.15)/21.25,IF($D242="Ozone",(($L242*EXP(0.068*$G242))-0.01)/0.47,"Check Dsfctnt."))))</f>
        <v>0.38241169035249106</v>
      </c>
      <c r="O242" s="960">
        <f t="shared" ref="O242:O247" si="65">IF(N242&lt;0,0,N242)</f>
        <v>0.38241169035249106</v>
      </c>
      <c r="Q242">
        <f>T24</f>
        <v>23.09</v>
      </c>
    </row>
    <row r="243" spans="1:119" x14ac:dyDescent="0.4">
      <c r="A243" s="939"/>
      <c r="B243" s="940"/>
      <c r="C243" s="987" t="str">
        <f>C$102</f>
        <v>2. Filter&amp;Filter Eff.</v>
      </c>
      <c r="D243" s="987" t="str">
        <f>D$102</f>
        <v>Free Chlorine</v>
      </c>
      <c r="E243" s="956">
        <f>Z24</f>
        <v>0.3</v>
      </c>
      <c r="F243" s="956">
        <f>AK24</f>
        <v>6.41</v>
      </c>
      <c r="G243" s="965">
        <f>X24</f>
        <v>14.3</v>
      </c>
      <c r="H243" s="944">
        <f>(Q243*1000000)/1440</f>
        <v>16034.722222222223</v>
      </c>
      <c r="I243" s="989">
        <f>I$102</f>
        <v>566414.48</v>
      </c>
      <c r="J243" s="958">
        <f>+I243*$F$90</f>
        <v>385161.84640000004</v>
      </c>
      <c r="K243" s="958">
        <f>+(J243/H$243)</f>
        <v>24.020487605716763</v>
      </c>
      <c r="L243" s="958">
        <f>+(K243*E243)</f>
        <v>7.2061462817150286</v>
      </c>
      <c r="M243" s="947">
        <f t="shared" si="63"/>
        <v>0.37632865109630032</v>
      </c>
      <c r="N243" s="964">
        <f t="shared" si="64"/>
        <v>6.6225654740393969</v>
      </c>
      <c r="O243" s="960">
        <f t="shared" si="65"/>
        <v>6.6225654740393969</v>
      </c>
      <c r="Q243">
        <f>T24</f>
        <v>23.09</v>
      </c>
    </row>
    <row r="244" spans="1:119" x14ac:dyDescent="0.4">
      <c r="A244" s="939"/>
      <c r="B244" s="940"/>
      <c r="C244" s="987" t="str">
        <f>C$103</f>
        <v xml:space="preserve">3. Plant Effluent </v>
      </c>
      <c r="D244" s="987" t="str">
        <f>D$103</f>
        <v>Free Chlorine</v>
      </c>
      <c r="E244" s="956">
        <f>AA24</f>
        <v>1.9</v>
      </c>
      <c r="F244" s="956">
        <f>AM24</f>
        <v>7.68</v>
      </c>
      <c r="G244" s="965">
        <f>X24</f>
        <v>14.3</v>
      </c>
      <c r="H244" s="944">
        <f>(Q244*1000000)/1440</f>
        <v>16034.722222222223</v>
      </c>
      <c r="I244" s="989">
        <f>I$103</f>
        <v>14092</v>
      </c>
      <c r="J244" s="958">
        <f>+I244*$F$91</f>
        <v>14092</v>
      </c>
      <c r="K244" s="958">
        <f>+(J244/H$244)</f>
        <v>0.87884278908618452</v>
      </c>
      <c r="L244" s="958">
        <f>+(K244*E244)</f>
        <v>1.6698012992637505</v>
      </c>
      <c r="M244" s="947">
        <f t="shared" si="63"/>
        <v>4.2447428029270463E-2</v>
      </c>
      <c r="N244" s="964">
        <f t="shared" si="64"/>
        <v>1.4248200918427882</v>
      </c>
      <c r="O244" s="960">
        <f t="shared" si="65"/>
        <v>1.4248200918427882</v>
      </c>
      <c r="Q244">
        <f>T24</f>
        <v>23.09</v>
      </c>
    </row>
    <row r="245" spans="1:119" x14ac:dyDescent="0.4">
      <c r="A245" s="939"/>
      <c r="B245" s="940"/>
      <c r="C245" s="987" t="str">
        <f>C$104</f>
        <v>4. Clearwell #1</v>
      </c>
      <c r="D245" s="987" t="str">
        <f>D$104</f>
        <v>Free Chlorine</v>
      </c>
      <c r="E245" s="956">
        <f>AB24</f>
        <v>1.5</v>
      </c>
      <c r="F245" s="956">
        <f>AO24</f>
        <v>7.75</v>
      </c>
      <c r="G245" s="965">
        <f>X24</f>
        <v>14.3</v>
      </c>
      <c r="H245" s="944">
        <f>(Q245*1000000)/1440</f>
        <v>16861.111111111109</v>
      </c>
      <c r="I245" s="957">
        <f>V24*145792</f>
        <v>1844268.8</v>
      </c>
      <c r="J245" s="958">
        <f>+I245*$K$89</f>
        <v>1290988.1599999999</v>
      </c>
      <c r="K245" s="958">
        <f>+(J245/H$245)</f>
        <v>76.566019373970349</v>
      </c>
      <c r="L245" s="958">
        <f>+(K245*E245)</f>
        <v>114.84902906095553</v>
      </c>
      <c r="M245" s="947">
        <f t="shared" si="63"/>
        <v>2.9519797054551238</v>
      </c>
      <c r="N245" s="964">
        <f t="shared" si="64"/>
        <v>107.68207290459031</v>
      </c>
      <c r="O245" s="960">
        <f t="shared" si="65"/>
        <v>107.68207290459031</v>
      </c>
      <c r="Q245">
        <f>U24</f>
        <v>24.28</v>
      </c>
    </row>
    <row r="246" spans="1:119" x14ac:dyDescent="0.4">
      <c r="A246" s="939"/>
      <c r="B246" s="940"/>
      <c r="C246" s="987" t="str">
        <f>C$105</f>
        <v xml:space="preserve">5. Clearwells 2&amp;3 </v>
      </c>
      <c r="D246" s="987" t="str">
        <f>D$105</f>
        <v>Chloramine</v>
      </c>
      <c r="E246" s="956">
        <f>AF24</f>
        <v>0</v>
      </c>
      <c r="F246" s="956">
        <f>AQ24</f>
        <v>7.95</v>
      </c>
      <c r="G246" s="965">
        <f>X24</f>
        <v>14.3</v>
      </c>
      <c r="H246" s="944">
        <f>(Q246*1000000)/1440</f>
        <v>16861.111111111109</v>
      </c>
      <c r="I246" s="957">
        <f>W24*347599</f>
        <v>4508359.03</v>
      </c>
      <c r="J246" s="958">
        <f>+I246*$K$90</f>
        <v>2254179.5150000001</v>
      </c>
      <c r="K246" s="958">
        <f>+(J246/H$246)</f>
        <v>133.69104207578255</v>
      </c>
      <c r="L246" s="958">
        <f>+(K246*E246)</f>
        <v>0</v>
      </c>
      <c r="M246" s="947">
        <f t="shared" si="63"/>
        <v>0</v>
      </c>
      <c r="N246" s="964">
        <f t="shared" si="64"/>
        <v>0.48346085932901706</v>
      </c>
      <c r="O246" s="960">
        <f t="shared" si="65"/>
        <v>0.48346085932901706</v>
      </c>
      <c r="Q246">
        <f>U24</f>
        <v>24.28</v>
      </c>
    </row>
    <row r="247" spans="1:119" x14ac:dyDescent="0.4">
      <c r="A247" s="939"/>
      <c r="B247" s="940"/>
      <c r="C247" s="987"/>
      <c r="D247" s="987"/>
      <c r="E247" s="956"/>
      <c r="F247" s="956"/>
      <c r="G247" s="965"/>
      <c r="H247" s="990"/>
      <c r="I247" s="989"/>
      <c r="J247" s="958"/>
      <c r="K247" s="958"/>
      <c r="L247" s="958"/>
      <c r="M247" s="947" t="str">
        <f t="shared" si="63"/>
        <v>Check Dsfctnt.</v>
      </c>
      <c r="N247" s="964" t="str">
        <f t="shared" si="64"/>
        <v>Check Dsfctnt.</v>
      </c>
      <c r="O247" s="960" t="str">
        <f t="shared" si="65"/>
        <v>Check Dsfctnt.</v>
      </c>
    </row>
    <row r="248" spans="1:119" x14ac:dyDescent="0.4">
      <c r="A248" s="966"/>
      <c r="B248" s="967"/>
      <c r="C248" s="968" t="str">
        <f>C$107</f>
        <v>System TOTAL</v>
      </c>
      <c r="D248" s="969"/>
      <c r="E248" s="970">
        <f>AVERAGE(E242:E245)</f>
        <v>1.1000000000000001</v>
      </c>
      <c r="F248" s="970">
        <f>AVERAGE(F242:F245)</f>
        <v>7.0575000000000001</v>
      </c>
      <c r="G248" s="970">
        <f>AVERAGE(G242:G245)</f>
        <v>14.3</v>
      </c>
      <c r="H248" s="971"/>
      <c r="I248" s="998"/>
      <c r="J248" s="972"/>
      <c r="K248" s="972"/>
      <c r="L248" s="970">
        <f>SUM(L242:L245)</f>
        <v>124.28446335306467</v>
      </c>
      <c r="M248" s="973">
        <f>SUM(M242:M247)</f>
        <v>3.3978482837831048</v>
      </c>
      <c r="N248" s="974">
        <f>SUM(N242:N247)</f>
        <v>116.59533102015401</v>
      </c>
      <c r="O248" s="975">
        <f>SUM(O242:O247)</f>
        <v>116.59533102015401</v>
      </c>
    </row>
    <row r="249" spans="1:119" s="449" customFormat="1" ht="4" customHeight="1" x14ac:dyDescent="0.4">
      <c r="A249" s="1001"/>
      <c r="B249" s="978"/>
      <c r="C249" s="978"/>
      <c r="D249" s="978"/>
      <c r="E249" s="979"/>
      <c r="F249" s="979"/>
      <c r="G249" s="979"/>
      <c r="H249" s="980"/>
      <c r="I249" s="999"/>
      <c r="J249" s="981"/>
      <c r="K249" s="981"/>
      <c r="L249" s="981"/>
      <c r="M249" s="982"/>
      <c r="N249" s="983"/>
      <c r="O249" s="984"/>
      <c r="CA249" s="1002"/>
      <c r="CB249" s="1002"/>
      <c r="CG249" s="1002"/>
      <c r="CK249" s="1003"/>
      <c r="CL249" s="1003"/>
      <c r="CM249" s="1002"/>
      <c r="CN249" s="1002"/>
      <c r="CO249" s="1004"/>
      <c r="CP249" s="1002"/>
      <c r="DA249" s="467"/>
      <c r="DB249" s="1002"/>
      <c r="DG249" s="836"/>
      <c r="DH249" s="889"/>
      <c r="DI249" s="889"/>
      <c r="DJ249" s="836"/>
      <c r="DK249" s="765"/>
      <c r="DL249" s="765"/>
      <c r="DM249" s="765"/>
      <c r="DN249" s="765"/>
      <c r="DO249" s="765"/>
    </row>
    <row r="250" spans="1:119" x14ac:dyDescent="0.4">
      <c r="A250" s="985">
        <v>19</v>
      </c>
      <c r="B250" s="986">
        <v>1</v>
      </c>
      <c r="C250" s="987" t="str">
        <f>C$101</f>
        <v xml:space="preserve">1. Filter Influent </v>
      </c>
      <c r="D250" s="987" t="str">
        <f>D$101</f>
        <v>Free Chlorine</v>
      </c>
      <c r="E250" s="942">
        <f>Y25</f>
        <v>0.7</v>
      </c>
      <c r="F250" s="942">
        <f>AI25</f>
        <v>6.34</v>
      </c>
      <c r="G250" s="965">
        <f>X25</f>
        <v>14.44</v>
      </c>
      <c r="H250" s="944">
        <f>(Q250*1000000)/1440</f>
        <v>15451.388888888889</v>
      </c>
      <c r="I250" s="989">
        <f>I$101</f>
        <v>91543</v>
      </c>
      <c r="J250" s="958">
        <f>+I250*$F$89</f>
        <v>12816.02</v>
      </c>
      <c r="K250" s="958">
        <f>+(J250/H$250)</f>
        <v>0.82944129438202252</v>
      </c>
      <c r="L250" s="958">
        <f>+(K250*E250)</f>
        <v>0.58060890606741578</v>
      </c>
      <c r="M250" s="947">
        <f t="shared" ref="M250:M255" si="66">IF(AND($D250="Free Chlorine",$E250&gt;0.4),$L250/(0.2828*($F250^2.69)*($E250^0.15)*(0.933^($G250-5))),IF(AND($D250="Free Chlorine",$E250&lt;=0.4),$L250/(0.2828*($F250^2.69)*(0.4^0.15)*(0.933^($G250-5))),IF(AND($D250="Chloramine",$G250&gt;1),$L250/(858.5-(24.3*$G250)),IF(AND($D250="Chloramine",$G250&lt;=1),$L250/(858.5-(24.3)),IF(AND($D250="Chlorine Dioxide",$G250&gt;1),(($L250*($G250^0.49))+0.18)/23.85,IF(AND($D250="Chlorine Dioxide",$G250&lt;=1),($L250+0.18)/23.85,IF($D250="Ozone",(($L250*EXP(0.072*$G250))-0.01)/0.98,"Check Dsfctnt.")))))))</f>
        <v>2.8995911227992801E-2</v>
      </c>
      <c r="N250" s="959">
        <f t="shared" ref="N250:N255" si="67">IF($D250="Free Chlorine",IF(F250&gt;9,(($L250*EXP(0.071*$G250))-0.21)/22.37,(($L250*EXP(0.071*$G250))-0.42)/2.94),IF($D250="Chloramine",(($L250*EXP(0.071*$G250))+410.7)/849.5,IF($D250="Chlorine Dioxide",(($L250*EXP(0.072*$G250))+35.15)/21.25,IF($D250="Ozone",(($L250*EXP(0.068*$G250))-0.01)/0.47,"Check Dsfctnt."))))</f>
        <v>0.4076873687278903</v>
      </c>
      <c r="O250" s="960">
        <f t="shared" ref="O250:O255" si="68">IF(N250&lt;0,0,N250)</f>
        <v>0.4076873687278903</v>
      </c>
      <c r="Q250">
        <f>T25</f>
        <v>22.25</v>
      </c>
    </row>
    <row r="251" spans="1:119" x14ac:dyDescent="0.4">
      <c r="A251" s="939"/>
      <c r="B251" s="940"/>
      <c r="C251" s="987" t="str">
        <f>C$102</f>
        <v>2. Filter&amp;Filter Eff.</v>
      </c>
      <c r="D251" s="987" t="str">
        <f>D$102</f>
        <v>Free Chlorine</v>
      </c>
      <c r="E251" s="956">
        <f>Z25</f>
        <v>0.3</v>
      </c>
      <c r="F251" s="956">
        <f>AK25</f>
        <v>6.35</v>
      </c>
      <c r="G251" s="965">
        <f>X25</f>
        <v>14.44</v>
      </c>
      <c r="H251" s="944">
        <f>(Q251*1000000)/1440</f>
        <v>15451.388888888889</v>
      </c>
      <c r="I251" s="989">
        <f>I$102</f>
        <v>566414.48</v>
      </c>
      <c r="J251" s="958">
        <f>+I251*$F$90</f>
        <v>385161.84640000004</v>
      </c>
      <c r="K251" s="958">
        <f>+(J251/H$251)</f>
        <v>24.927328486112362</v>
      </c>
      <c r="L251" s="958">
        <f>+(K251*E251)</f>
        <v>7.4781985458337079</v>
      </c>
      <c r="M251" s="947">
        <f t="shared" si="66"/>
        <v>0.40444972982761718</v>
      </c>
      <c r="N251" s="964">
        <f t="shared" si="67"/>
        <v>6.9481142889070817</v>
      </c>
      <c r="O251" s="960">
        <f t="shared" si="68"/>
        <v>6.9481142889070817</v>
      </c>
      <c r="Q251">
        <f>T25</f>
        <v>22.25</v>
      </c>
    </row>
    <row r="252" spans="1:119" x14ac:dyDescent="0.4">
      <c r="A252" s="939"/>
      <c r="B252" s="940"/>
      <c r="C252" s="987" t="str">
        <f>C$103</f>
        <v xml:space="preserve">3. Plant Effluent </v>
      </c>
      <c r="D252" s="987" t="str">
        <f>D$103</f>
        <v>Free Chlorine</v>
      </c>
      <c r="E252" s="956">
        <f>AA25</f>
        <v>1.6</v>
      </c>
      <c r="F252" s="956">
        <f>AM25</f>
        <v>7.84</v>
      </c>
      <c r="G252" s="965">
        <f>X25</f>
        <v>14.44</v>
      </c>
      <c r="H252" s="944">
        <f>(Q252*1000000)/1440</f>
        <v>15451.388888888889</v>
      </c>
      <c r="I252" s="989">
        <f>I$103</f>
        <v>14092</v>
      </c>
      <c r="J252" s="958">
        <f>+I252*$F$91</f>
        <v>14092</v>
      </c>
      <c r="K252" s="958">
        <f>+(J252/H$252)</f>
        <v>0.9120215730337079</v>
      </c>
      <c r="L252" s="958">
        <f>+(K252*E252)</f>
        <v>1.4592345168539327</v>
      </c>
      <c r="M252" s="947">
        <f t="shared" si="66"/>
        <v>3.6360911851292317E-2</v>
      </c>
      <c r="N252" s="964">
        <f t="shared" si="67"/>
        <v>1.2408170412176165</v>
      </c>
      <c r="O252" s="960">
        <f t="shared" si="68"/>
        <v>1.2408170412176165</v>
      </c>
      <c r="Q252">
        <f>T25</f>
        <v>22.25</v>
      </c>
    </row>
    <row r="253" spans="1:119" x14ac:dyDescent="0.4">
      <c r="A253" s="939"/>
      <c r="B253" s="940"/>
      <c r="C253" s="987" t="str">
        <f>C$104</f>
        <v>4. Clearwell #1</v>
      </c>
      <c r="D253" s="987" t="str">
        <f>D$104</f>
        <v>Free Chlorine</v>
      </c>
      <c r="E253" s="956">
        <f>AB25</f>
        <v>1.7</v>
      </c>
      <c r="F253" s="956">
        <f>AO25</f>
        <v>7.76</v>
      </c>
      <c r="G253" s="965">
        <f>X25</f>
        <v>14.44</v>
      </c>
      <c r="H253" s="944">
        <f>(Q253*1000000)/1440</f>
        <v>17750</v>
      </c>
      <c r="I253" s="957">
        <f>V25*145792</f>
        <v>1863221.76</v>
      </c>
      <c r="J253" s="958">
        <f>+I253*$K$89</f>
        <v>1304255.2319999998</v>
      </c>
      <c r="K253" s="958">
        <f>+(J253/H$253)</f>
        <v>73.479167999999987</v>
      </c>
      <c r="L253" s="958">
        <f>+(K253*E253)</f>
        <v>124.91458559999998</v>
      </c>
      <c r="M253" s="947">
        <f t="shared" si="66"/>
        <v>3.1707037120761763</v>
      </c>
      <c r="N253" s="964">
        <f t="shared" si="67"/>
        <v>118.30355110258172</v>
      </c>
      <c r="O253" s="960">
        <f t="shared" si="68"/>
        <v>118.30355110258172</v>
      </c>
      <c r="Q253">
        <f>U25</f>
        <v>25.56</v>
      </c>
    </row>
    <row r="254" spans="1:119" x14ac:dyDescent="0.4">
      <c r="A254" s="939"/>
      <c r="B254" s="940"/>
      <c r="C254" s="987" t="str">
        <f>C$105</f>
        <v xml:space="preserve">5. Clearwells 2&amp;3 </v>
      </c>
      <c r="D254" s="987" t="str">
        <f>D$105</f>
        <v>Chloramine</v>
      </c>
      <c r="E254" s="956">
        <f>AF25</f>
        <v>0</v>
      </c>
      <c r="F254" s="956">
        <f>AQ25</f>
        <v>7.88</v>
      </c>
      <c r="G254" s="965">
        <f>X25</f>
        <v>14.44</v>
      </c>
      <c r="H254" s="944">
        <f>(Q254*1000000)/1440</f>
        <v>17750</v>
      </c>
      <c r="I254" s="957">
        <f>W25*347599</f>
        <v>4351939.4799999995</v>
      </c>
      <c r="J254" s="958">
        <f>+I254*$K$90</f>
        <v>2175969.7399999998</v>
      </c>
      <c r="K254" s="958">
        <f>+(J254/H$254)</f>
        <v>122.58984450704224</v>
      </c>
      <c r="L254" s="958">
        <f>+(K254*E254)</f>
        <v>0</v>
      </c>
      <c r="M254" s="947">
        <f t="shared" si="66"/>
        <v>0</v>
      </c>
      <c r="N254" s="964">
        <f t="shared" si="67"/>
        <v>0.48346085932901706</v>
      </c>
      <c r="O254" s="960">
        <f t="shared" si="68"/>
        <v>0.48346085932901706</v>
      </c>
      <c r="Q254">
        <f>U25</f>
        <v>25.56</v>
      </c>
    </row>
    <row r="255" spans="1:119" x14ac:dyDescent="0.4">
      <c r="A255" s="939"/>
      <c r="B255" s="940"/>
      <c r="C255" s="987"/>
      <c r="D255" s="987"/>
      <c r="E255" s="956"/>
      <c r="F255" s="956"/>
      <c r="G255" s="965"/>
      <c r="H255" s="990"/>
      <c r="I255" s="989"/>
      <c r="J255" s="958"/>
      <c r="K255" s="958"/>
      <c r="L255" s="958"/>
      <c r="M255" s="947" t="str">
        <f t="shared" si="66"/>
        <v>Check Dsfctnt.</v>
      </c>
      <c r="N255" s="964" t="str">
        <f t="shared" si="67"/>
        <v>Check Dsfctnt.</v>
      </c>
      <c r="O255" s="960" t="str">
        <f t="shared" si="68"/>
        <v>Check Dsfctnt.</v>
      </c>
    </row>
    <row r="256" spans="1:119" x14ac:dyDescent="0.4">
      <c r="A256" s="966"/>
      <c r="B256" s="967"/>
      <c r="C256" s="968" t="str">
        <f>C$107</f>
        <v>System TOTAL</v>
      </c>
      <c r="D256" s="969"/>
      <c r="E256" s="970">
        <f>AVERAGE(E250:E253)</f>
        <v>1.075</v>
      </c>
      <c r="F256" s="970">
        <f>AVERAGE(F250:F253)</f>
        <v>7.0724999999999998</v>
      </c>
      <c r="G256" s="970">
        <f>AVERAGE(G250:G253)</f>
        <v>14.44</v>
      </c>
      <c r="H256" s="971"/>
      <c r="I256" s="998"/>
      <c r="J256" s="972"/>
      <c r="K256" s="972"/>
      <c r="L256" s="970">
        <f>SUM(L250:L253)</f>
        <v>134.43262756875504</v>
      </c>
      <c r="M256" s="973">
        <f>SUM(M250:M255)</f>
        <v>3.6405102649830785</v>
      </c>
      <c r="N256" s="974">
        <f>SUM(N250:N255)</f>
        <v>127.38363066076333</v>
      </c>
      <c r="O256" s="975">
        <f>SUM(O250:O255)</f>
        <v>127.38363066076333</v>
      </c>
    </row>
    <row r="257" spans="1:119" s="449" customFormat="1" ht="4" customHeight="1" x14ac:dyDescent="0.4">
      <c r="A257" s="1001"/>
      <c r="B257" s="978"/>
      <c r="C257" s="978"/>
      <c r="D257" s="978"/>
      <c r="E257" s="979"/>
      <c r="F257" s="979"/>
      <c r="G257" s="979"/>
      <c r="H257" s="980"/>
      <c r="I257" s="999"/>
      <c r="J257" s="981"/>
      <c r="K257" s="981"/>
      <c r="L257" s="981"/>
      <c r="M257" s="982"/>
      <c r="N257" s="983"/>
      <c r="O257" s="984"/>
      <c r="CA257" s="1002"/>
      <c r="CB257" s="1002"/>
      <c r="CG257" s="1002"/>
      <c r="CK257" s="1003"/>
      <c r="CL257" s="1003"/>
      <c r="CM257" s="1002"/>
      <c r="CN257" s="1002"/>
      <c r="CO257" s="1004"/>
      <c r="CP257" s="1002"/>
      <c r="DA257" s="467"/>
      <c r="DB257" s="1002"/>
      <c r="DG257" s="836"/>
      <c r="DH257" s="889"/>
      <c r="DI257" s="889"/>
      <c r="DJ257" s="836"/>
      <c r="DK257" s="765"/>
      <c r="DL257" s="765"/>
      <c r="DM257" s="765"/>
      <c r="DN257" s="765"/>
      <c r="DO257" s="765"/>
    </row>
    <row r="258" spans="1:119" x14ac:dyDescent="0.4">
      <c r="A258" s="985">
        <v>20</v>
      </c>
      <c r="B258" s="986">
        <v>1</v>
      </c>
      <c r="C258" s="987" t="str">
        <f>C$101</f>
        <v xml:space="preserve">1. Filter Influent </v>
      </c>
      <c r="D258" s="987" t="str">
        <f>D$101</f>
        <v>Free Chlorine</v>
      </c>
      <c r="E258" s="942">
        <f>Y26</f>
        <v>0.5</v>
      </c>
      <c r="F258" s="942">
        <f>AI26</f>
        <v>6.33</v>
      </c>
      <c r="G258" s="965">
        <f>X26</f>
        <v>14.38</v>
      </c>
      <c r="H258" s="944">
        <f>(Q258*1000000)/1440</f>
        <v>18750</v>
      </c>
      <c r="I258" s="989">
        <f>I$101</f>
        <v>91543</v>
      </c>
      <c r="J258" s="958">
        <f>+I258*$F$89</f>
        <v>12816.02</v>
      </c>
      <c r="K258" s="958">
        <f>+(J258/H$258)</f>
        <v>0.68352106666666668</v>
      </c>
      <c r="L258" s="958">
        <f>+(K258*E258)</f>
        <v>0.34176053333333334</v>
      </c>
      <c r="M258" s="947">
        <f t="shared" ref="M258:M263" si="69">IF(AND($D258="Free Chlorine",$E258&gt;0.4),$L258/(0.2828*($F258^2.69)*($E258^0.15)*(0.933^($G258-5))),IF(AND($D258="Free Chlorine",$E258&lt;=0.4),$L258/(0.2828*($F258^2.69)*(0.4^0.15)*(0.933^($G258-5))),IF(AND($D258="Chloramine",$G258&gt;1),$L258/(858.5-(24.3*$G258)),IF(AND($D258="Chloramine",$G258&lt;=1),$L258/(858.5-(24.3)),IF(AND($D258="Chlorine Dioxide",$G258&gt;1),(($L258*($G258^0.49))+0.18)/23.85,IF(AND($D258="Chlorine Dioxide",$G258&lt;=1),($L258+0.18)/23.85,IF($D258="Ozone",(($L258*EXP(0.072*$G258))-0.01)/0.98,"Check Dsfctnt.")))))))</f>
        <v>1.7952759156364462E-2</v>
      </c>
      <c r="N258" s="959">
        <f t="shared" ref="N258:N263" si="70">IF($D258="Free Chlorine",IF(F258&gt;9,(($L258*EXP(0.071*$G258))-0.21)/22.37,(($L258*EXP(0.071*$G258))-0.42)/2.94),IF($D258="Chloramine",(($L258*EXP(0.071*$G258))+410.7)/849.5,IF($D258="Chlorine Dioxide",(($L258*EXP(0.072*$G258))+35.15)/21.25,IF($D258="Ozone",(($L258*EXP(0.068*$G258))-0.01)/0.47,"Check Dsfctnt."))))</f>
        <v>0.17982918026800573</v>
      </c>
      <c r="O258" s="960">
        <f t="shared" ref="O258:O263" si="71">IF(N258&lt;0,0,N258)</f>
        <v>0.17982918026800573</v>
      </c>
      <c r="Q258">
        <f>T26</f>
        <v>27</v>
      </c>
    </row>
    <row r="259" spans="1:119" x14ac:dyDescent="0.4">
      <c r="A259" s="939"/>
      <c r="B259" s="940"/>
      <c r="C259" s="987" t="str">
        <f>C$102</f>
        <v>2. Filter&amp;Filter Eff.</v>
      </c>
      <c r="D259" s="987" t="str">
        <f>D$102</f>
        <v>Free Chlorine</v>
      </c>
      <c r="E259" s="956">
        <f>Z26</f>
        <v>0.4</v>
      </c>
      <c r="F259" s="956">
        <f>AK26</f>
        <v>6.33</v>
      </c>
      <c r="G259" s="965">
        <f>X26</f>
        <v>14.38</v>
      </c>
      <c r="H259" s="944">
        <f>(Q259*1000000)/1440</f>
        <v>18750</v>
      </c>
      <c r="I259" s="989">
        <f>I$102</f>
        <v>566414.48</v>
      </c>
      <c r="J259" s="958">
        <f>+I259*$F$90</f>
        <v>385161.84640000004</v>
      </c>
      <c r="K259" s="958">
        <f>+(J259/H259)</f>
        <v>20.541965141333336</v>
      </c>
      <c r="L259" s="958">
        <f>+(K259*E259)</f>
        <v>8.2167860565333353</v>
      </c>
      <c r="M259" s="947">
        <f t="shared" si="69"/>
        <v>0.44632146828458263</v>
      </c>
      <c r="N259" s="964">
        <f t="shared" si="70"/>
        <v>7.6153367440381174</v>
      </c>
      <c r="O259" s="960">
        <f t="shared" si="71"/>
        <v>7.6153367440381174</v>
      </c>
      <c r="Q259">
        <f>T26</f>
        <v>27</v>
      </c>
    </row>
    <row r="260" spans="1:119" x14ac:dyDescent="0.4">
      <c r="A260" s="939"/>
      <c r="B260" s="940"/>
      <c r="C260" s="987" t="str">
        <f>C$103</f>
        <v xml:space="preserve">3. Plant Effluent </v>
      </c>
      <c r="D260" s="987" t="str">
        <f>D$103</f>
        <v>Free Chlorine</v>
      </c>
      <c r="E260" s="956">
        <f>AA26</f>
        <v>1.7</v>
      </c>
      <c r="F260" s="956">
        <f>AM26</f>
        <v>7.78</v>
      </c>
      <c r="G260" s="965">
        <f>X26</f>
        <v>14.38</v>
      </c>
      <c r="H260" s="944">
        <f>(Q260*1000000)/1440</f>
        <v>18750</v>
      </c>
      <c r="I260" s="989">
        <f>I$103</f>
        <v>14092</v>
      </c>
      <c r="J260" s="958">
        <f>+I260*$F$91</f>
        <v>14092</v>
      </c>
      <c r="K260" s="958">
        <f>+(J260/H260)</f>
        <v>0.75157333333333332</v>
      </c>
      <c r="L260" s="958">
        <f>+(K260*E260)</f>
        <v>1.2776746666666665</v>
      </c>
      <c r="M260" s="947">
        <f t="shared" si="69"/>
        <v>3.2073666287581994E-2</v>
      </c>
      <c r="N260" s="964">
        <f t="shared" si="70"/>
        <v>1.063508426378128</v>
      </c>
      <c r="O260" s="960">
        <f t="shared" si="71"/>
        <v>1.063508426378128</v>
      </c>
      <c r="Q260">
        <f>T26</f>
        <v>27</v>
      </c>
    </row>
    <row r="261" spans="1:119" x14ac:dyDescent="0.4">
      <c r="A261" s="939"/>
      <c r="B261" s="940"/>
      <c r="C261" s="987" t="str">
        <f>C$104</f>
        <v>4. Clearwell #1</v>
      </c>
      <c r="D261" s="987" t="str">
        <f>D$104</f>
        <v>Free Chlorine</v>
      </c>
      <c r="E261" s="956">
        <f>AB26</f>
        <v>1.5</v>
      </c>
      <c r="F261" s="956">
        <f>AO26</f>
        <v>7.77</v>
      </c>
      <c r="G261" s="965">
        <f>X26</f>
        <v>14.38</v>
      </c>
      <c r="H261" s="944">
        <f>(Q261*1000000)/1440</f>
        <v>16979.166666666668</v>
      </c>
      <c r="I261" s="957">
        <f>V26*145792</f>
        <v>1854474.24</v>
      </c>
      <c r="J261" s="958">
        <f>+I261*$K$89</f>
        <v>1298131.9679999999</v>
      </c>
      <c r="K261" s="958">
        <f>+(J261/H$261)</f>
        <v>76.454398115337412</v>
      </c>
      <c r="L261" s="958">
        <f>+(K261*E261)</f>
        <v>114.68159717300611</v>
      </c>
      <c r="M261" s="947">
        <f t="shared" si="69"/>
        <v>2.9435965133951147</v>
      </c>
      <c r="N261" s="964">
        <f t="shared" si="70"/>
        <v>108.13817390815392</v>
      </c>
      <c r="O261" s="960">
        <f t="shared" si="71"/>
        <v>108.13817390815392</v>
      </c>
      <c r="Q261">
        <f>U26</f>
        <v>24.45</v>
      </c>
    </row>
    <row r="262" spans="1:119" x14ac:dyDescent="0.4">
      <c r="A262" s="939"/>
      <c r="B262" s="940"/>
      <c r="C262" s="987" t="str">
        <f>C$105</f>
        <v xml:space="preserve">5. Clearwells 2&amp;3 </v>
      </c>
      <c r="D262" s="987" t="str">
        <f>D$105</f>
        <v>Chloramine</v>
      </c>
      <c r="E262" s="956">
        <f>AF26</f>
        <v>0</v>
      </c>
      <c r="F262" s="956">
        <f>AQ26</f>
        <v>7.81</v>
      </c>
      <c r="G262" s="965">
        <f>X26</f>
        <v>14.38</v>
      </c>
      <c r="H262" s="944">
        <f>(Q262*1000000)/1440</f>
        <v>16979.166666666668</v>
      </c>
      <c r="I262" s="957">
        <f>W26*347599</f>
        <v>4508359.03</v>
      </c>
      <c r="J262" s="958">
        <f>+I262*$K$90</f>
        <v>2254179.5150000001</v>
      </c>
      <c r="K262" s="958">
        <f>+(J262/H$262)</f>
        <v>132.76149290797545</v>
      </c>
      <c r="L262" s="958">
        <f>+(K262*E262)</f>
        <v>0</v>
      </c>
      <c r="M262" s="947">
        <f t="shared" si="69"/>
        <v>0</v>
      </c>
      <c r="N262" s="964">
        <f t="shared" si="70"/>
        <v>0.48346085932901706</v>
      </c>
      <c r="O262" s="960">
        <f t="shared" si="71"/>
        <v>0.48346085932901706</v>
      </c>
      <c r="Q262">
        <f>U26</f>
        <v>24.45</v>
      </c>
    </row>
    <row r="263" spans="1:119" x14ac:dyDescent="0.4">
      <c r="A263" s="939"/>
      <c r="B263" s="940"/>
      <c r="C263" s="987"/>
      <c r="D263" s="987"/>
      <c r="E263" s="956"/>
      <c r="F263" s="956"/>
      <c r="G263" s="965"/>
      <c r="H263" s="990"/>
      <c r="I263" s="989"/>
      <c r="J263" s="958"/>
      <c r="K263" s="958"/>
      <c r="L263" s="958"/>
      <c r="M263" s="947" t="str">
        <f t="shared" si="69"/>
        <v>Check Dsfctnt.</v>
      </c>
      <c r="N263" s="964" t="str">
        <f t="shared" si="70"/>
        <v>Check Dsfctnt.</v>
      </c>
      <c r="O263" s="960" t="str">
        <f t="shared" si="71"/>
        <v>Check Dsfctnt.</v>
      </c>
    </row>
    <row r="264" spans="1:119" ht="12.6" thickBot="1" x14ac:dyDescent="0.45">
      <c r="A264" s="1005"/>
      <c r="B264" s="1006"/>
      <c r="C264" s="1007" t="str">
        <f>C$107</f>
        <v>System TOTAL</v>
      </c>
      <c r="D264" s="1008"/>
      <c r="E264" s="1009">
        <f>AVERAGE(E258:E261)</f>
        <v>1.0249999999999999</v>
      </c>
      <c r="F264" s="1009">
        <f>AVERAGE(F258:F261)</f>
        <v>7.0525000000000002</v>
      </c>
      <c r="G264" s="1009">
        <f>AVERAGE(G258:G261)</f>
        <v>14.38</v>
      </c>
      <c r="H264" s="1010"/>
      <c r="I264" s="1011"/>
      <c r="J264" s="1012"/>
      <c r="K264" s="1012"/>
      <c r="L264" s="1009">
        <f>SUM(L258:L261)</f>
        <v>124.51781842953945</v>
      </c>
      <c r="M264" s="1013">
        <f>SUM(M258:M263)</f>
        <v>3.4399444071236438</v>
      </c>
      <c r="N264" s="1014">
        <f>SUM(N258:N263)</f>
        <v>117.48030911816718</v>
      </c>
      <c r="O264" s="1015">
        <f>SUM(O258:O263)</f>
        <v>117.48030911816718</v>
      </c>
    </row>
    <row r="265" spans="1:119" s="890" customFormat="1" ht="15" x14ac:dyDescent="0.5">
      <c r="B265" s="1016"/>
      <c r="C265" s="1017" t="str">
        <f>C95</f>
        <v>System Characteristics and Log-Reduction Credits for:</v>
      </c>
      <c r="D265" s="1017"/>
      <c r="E265" s="1018"/>
      <c r="F265" s="1026"/>
      <c r="G265" s="1019" t="str">
        <f>G95</f>
        <v>Town of Cary</v>
      </c>
      <c r="I265" s="1031"/>
      <c r="K265" s="1022"/>
      <c r="L265" s="1022"/>
      <c r="M265" s="1023"/>
      <c r="N265" s="1024"/>
      <c r="O265" s="1025" t="str">
        <f>O180</f>
        <v>(Continued)</v>
      </c>
      <c r="CA265" s="1016"/>
      <c r="CB265" s="1016"/>
      <c r="CG265" s="1016"/>
      <c r="CK265" s="1026"/>
      <c r="CL265" s="1026"/>
      <c r="CM265" s="1016"/>
      <c r="CN265" s="1016"/>
      <c r="CO265" s="1027"/>
      <c r="CP265" s="1016"/>
      <c r="DA265" s="1028"/>
      <c r="DB265" s="1016"/>
      <c r="DG265" s="836"/>
      <c r="DH265" s="889"/>
      <c r="DI265" s="889"/>
      <c r="DJ265" s="836"/>
      <c r="DK265" s="765"/>
      <c r="DL265" s="765"/>
      <c r="DM265" s="765"/>
      <c r="DN265" s="765"/>
      <c r="DO265" s="765"/>
    </row>
    <row r="266" spans="1:119" x14ac:dyDescent="0.4">
      <c r="A266" s="836"/>
      <c r="B266" s="836"/>
      <c r="C266" s="578"/>
      <c r="D266" s="578"/>
      <c r="E266" s="1029"/>
      <c r="F266" s="760"/>
      <c r="G266" s="1029"/>
      <c r="H266" s="1030"/>
      <c r="I266" s="1031"/>
      <c r="J266" s="1032"/>
      <c r="K266" s="1032"/>
      <c r="L266" s="1032"/>
      <c r="M266" s="1033"/>
      <c r="N266" s="1034"/>
    </row>
    <row r="267" spans="1:119" s="764" customFormat="1" x14ac:dyDescent="0.4">
      <c r="A267" s="1035"/>
      <c r="B267" s="1035"/>
      <c r="C267" s="1035"/>
      <c r="D267" s="1035"/>
      <c r="E267" s="1036"/>
      <c r="G267" s="1036"/>
      <c r="H267" s="1037"/>
      <c r="I267" s="1031"/>
      <c r="J267" s="1038"/>
      <c r="M267" s="1039" t="str">
        <f>M97</f>
        <v>July</v>
      </c>
      <c r="N267" s="1040"/>
      <c r="O267" s="1041">
        <f>O97</f>
        <v>2018</v>
      </c>
      <c r="CA267" s="1035"/>
      <c r="CB267" s="1035"/>
      <c r="CG267" s="1035"/>
      <c r="CK267" s="1025"/>
      <c r="CL267" s="1025"/>
      <c r="CM267" s="1035"/>
      <c r="CN267" s="1035"/>
      <c r="CO267" s="1042"/>
      <c r="CP267" s="1035"/>
      <c r="DA267" s="928"/>
      <c r="DB267" s="1035"/>
      <c r="DG267" s="836"/>
      <c r="DH267" s="889"/>
      <c r="DI267" s="889"/>
      <c r="DJ267" s="836"/>
      <c r="DK267" s="765"/>
      <c r="DL267" s="765"/>
      <c r="DM267" s="765"/>
      <c r="DN267" s="765"/>
      <c r="DO267" s="765"/>
    </row>
    <row r="268" spans="1:119" x14ac:dyDescent="0.4">
      <c r="A268" s="836"/>
      <c r="B268" s="836"/>
      <c r="C268" s="578"/>
      <c r="D268" s="578"/>
      <c r="E268" s="1029"/>
      <c r="F268" s="760"/>
      <c r="G268" s="1029"/>
      <c r="H268" s="1030"/>
      <c r="I268" s="1031"/>
      <c r="J268" s="1032"/>
      <c r="K268" s="1032"/>
      <c r="L268" s="1032"/>
      <c r="M268" s="1033"/>
      <c r="N268" s="1034"/>
    </row>
    <row r="269" spans="1:119" ht="12.6" thickBot="1" x14ac:dyDescent="0.45">
      <c r="A269" s="1043"/>
      <c r="B269" s="1043"/>
      <c r="C269" s="1044"/>
      <c r="D269" s="1044"/>
      <c r="E269" s="1045"/>
      <c r="F269" s="1046"/>
      <c r="G269" s="1045"/>
      <c r="H269" s="1047"/>
      <c r="I269" s="1048"/>
      <c r="J269" s="1049"/>
      <c r="K269" s="1049"/>
      <c r="L269" s="1049"/>
      <c r="M269" s="1050"/>
      <c r="N269" s="1051"/>
    </row>
    <row r="270" spans="1:119" s="934" customFormat="1" ht="24.9" thickBot="1" x14ac:dyDescent="0.45">
      <c r="A270" s="930" t="str">
        <f>A100</f>
        <v>Day</v>
      </c>
      <c r="B270" s="931" t="s">
        <v>925</v>
      </c>
      <c r="C270" s="931" t="str">
        <f t="shared" ref="C270:O270" si="72">C100</f>
        <v>Treatment Stage</v>
      </c>
      <c r="D270" s="931" t="str">
        <f t="shared" si="72"/>
        <v>Disinfectant</v>
      </c>
      <c r="E270" s="931" t="str">
        <f t="shared" si="72"/>
        <v>Residual Conc. (mg/L)</v>
      </c>
      <c r="F270" s="931" t="str">
        <f>F100</f>
        <v>pH</v>
      </c>
      <c r="G270" s="931" t="str">
        <f>G100</f>
        <v>Temp. (Celsius)</v>
      </c>
      <c r="H270" s="931" t="str">
        <f t="shared" si="72"/>
        <v>Peak Flow (GPM)</v>
      </c>
      <c r="I270" s="1060" t="str">
        <f t="shared" si="72"/>
        <v>Vol. Min. (gal)</v>
      </c>
      <c r="J270" s="931" t="str">
        <f t="shared" si="72"/>
        <v>Vol. Eff. (gal)</v>
      </c>
      <c r="K270" s="931" t="str">
        <f t="shared" si="72"/>
        <v>T10 (min)</v>
      </c>
      <c r="L270" s="931" t="str">
        <f t="shared" si="72"/>
        <v>CT Actual</v>
      </c>
      <c r="M270" s="1061" t="str">
        <f t="shared" si="72"/>
        <v>Log-Reduction (Giardia)</v>
      </c>
      <c r="N270" s="1062" t="str">
        <f t="shared" si="72"/>
        <v>Log Reduction (viruses)</v>
      </c>
      <c r="O270" s="1057" t="str">
        <f t="shared" si="72"/>
        <v>Log-Reduction (viruses)</v>
      </c>
      <c r="CK270" s="936"/>
      <c r="CL270" s="936"/>
      <c r="CO270" s="937"/>
      <c r="DA270" s="938"/>
      <c r="DG270" s="836"/>
      <c r="DH270" s="889"/>
      <c r="DI270" s="889"/>
      <c r="DJ270" s="836"/>
      <c r="DK270" s="765"/>
      <c r="DL270" s="765"/>
      <c r="DM270" s="765"/>
      <c r="DN270" s="765"/>
      <c r="DO270" s="765"/>
    </row>
    <row r="271" spans="1:119" x14ac:dyDescent="0.4">
      <c r="A271" s="985">
        <v>21</v>
      </c>
      <c r="B271" s="986">
        <v>1</v>
      </c>
      <c r="C271" s="987" t="str">
        <f>C$101</f>
        <v xml:space="preserve">1. Filter Influent </v>
      </c>
      <c r="D271" s="987" t="str">
        <f>D$101</f>
        <v>Free Chlorine</v>
      </c>
      <c r="E271" s="942">
        <f>Y27</f>
        <v>0.7</v>
      </c>
      <c r="F271" s="942">
        <f>AI27</f>
        <v>6.37</v>
      </c>
      <c r="G271" s="965">
        <f>X27</f>
        <v>14</v>
      </c>
      <c r="H271" s="944">
        <f>(Q271*1000000)/1440</f>
        <v>15055.555555555555</v>
      </c>
      <c r="I271" s="989">
        <f>I$101</f>
        <v>91543</v>
      </c>
      <c r="J271" s="958">
        <f>+I271*$F$89</f>
        <v>12816.02</v>
      </c>
      <c r="K271" s="958">
        <f>+(J271/H$271)</f>
        <v>0.85124856088560896</v>
      </c>
      <c r="L271" s="958">
        <f>+(K271*E271)</f>
        <v>0.59587399261992624</v>
      </c>
      <c r="M271" s="947">
        <f t="shared" ref="M271:M276" si="73">IF(AND($D271="Free Chlorine",$E271&gt;0.4),$L271/(0.2828*($F271^2.69)*($E271^0.15)*(0.933^($G271-5))),IF(AND($D271="Free Chlorine",$E271&lt;=0.4),$L271/(0.2828*($F271^2.69)*(0.4^0.15)*(0.933^($G271-5))),IF(AND($D271="Chloramine",$G271&gt;1),$L271/(858.5-(24.3*$G271)),IF(AND($D271="Chloramine",$G271&lt;=1),$L271/(858.5-(24.3)),IF(AND($D271="Chlorine Dioxide",$G271&gt;1),(($L271*($G271^0.49))+0.18)/23.85,IF(AND($D271="Chlorine Dioxide",$G271&lt;=1),($L271+0.18)/23.85,IF($D271="Ozone",(($L271*EXP(0.072*$G271))-0.01)/0.98,"Check Dsfctnt.")))))))</f>
        <v>2.8499710790360899E-2</v>
      </c>
      <c r="N271" s="959">
        <f t="shared" ref="N271:N276" si="74">IF($D271="Free Chlorine",IF(F271&gt;9,(($L271*EXP(0.071*$G271))-0.21)/22.37,(($L271*EXP(0.071*$G271))-0.42)/2.94),IF($D271="Chloramine",(($L271*EXP(0.071*$G271))+410.7)/849.5,IF($D271="Chlorine Dioxide",(($L271*EXP(0.072*$G271))+35.15)/21.25,IF($D271="Ozone",(($L271*EXP(0.068*$G271))-0.01)/0.47,"Check Dsfctnt."))))</f>
        <v>0.40478368124190922</v>
      </c>
      <c r="O271" s="1058">
        <f t="shared" ref="O271:O276" si="75">IF(N271&lt;0,0,N271)</f>
        <v>0.40478368124190922</v>
      </c>
      <c r="Q271">
        <f>T27</f>
        <v>21.68</v>
      </c>
    </row>
    <row r="272" spans="1:119" x14ac:dyDescent="0.4">
      <c r="A272" s="939"/>
      <c r="B272" s="940"/>
      <c r="C272" s="987" t="str">
        <f>C$102</f>
        <v>2. Filter&amp;Filter Eff.</v>
      </c>
      <c r="D272" s="987" t="str">
        <f>D$102</f>
        <v>Free Chlorine</v>
      </c>
      <c r="E272" s="956">
        <f>Z27</f>
        <v>0.3</v>
      </c>
      <c r="F272" s="956">
        <f>AK27</f>
        <v>6.4</v>
      </c>
      <c r="G272" s="965">
        <f>X27</f>
        <v>14</v>
      </c>
      <c r="H272" s="944">
        <f>(Q272*1000000)/1440</f>
        <v>15055.555555555555</v>
      </c>
      <c r="I272" s="989">
        <f>I$102</f>
        <v>566414.48</v>
      </c>
      <c r="J272" s="958">
        <f>+I272*$F$90</f>
        <v>385161.84640000004</v>
      </c>
      <c r="K272" s="958">
        <f>+(J272/H$272)</f>
        <v>25.582705664944655</v>
      </c>
      <c r="L272" s="958">
        <f>+(K272*E272)</f>
        <v>7.6748116994833957</v>
      </c>
      <c r="M272" s="947">
        <f t="shared" si="73"/>
        <v>0.39420343232892435</v>
      </c>
      <c r="N272" s="964">
        <f t="shared" si="74"/>
        <v>6.9107150149581269</v>
      </c>
      <c r="O272" s="960">
        <f t="shared" si="75"/>
        <v>6.9107150149581269</v>
      </c>
      <c r="Q272">
        <f>T27</f>
        <v>21.68</v>
      </c>
    </row>
    <row r="273" spans="1:119" x14ac:dyDescent="0.4">
      <c r="A273" s="939"/>
      <c r="B273" s="940"/>
      <c r="C273" s="987" t="str">
        <f>C$103</f>
        <v xml:space="preserve">3. Plant Effluent </v>
      </c>
      <c r="D273" s="987" t="str">
        <f>D$103</f>
        <v>Free Chlorine</v>
      </c>
      <c r="E273" s="956">
        <f>AA27</f>
        <v>1.8</v>
      </c>
      <c r="F273" s="956">
        <f>AM27</f>
        <v>7.95</v>
      </c>
      <c r="G273" s="965">
        <f>X27</f>
        <v>14</v>
      </c>
      <c r="H273" s="944">
        <f>(Q273*1000000)/1440</f>
        <v>15055.555555555555</v>
      </c>
      <c r="I273" s="989">
        <f>I$103</f>
        <v>14092</v>
      </c>
      <c r="J273" s="958">
        <f>+I273*$F$91</f>
        <v>14092</v>
      </c>
      <c r="K273" s="958">
        <f>+(J273/H$273)</f>
        <v>0.93600000000000005</v>
      </c>
      <c r="L273" s="958">
        <f>+(K273*E273)</f>
        <v>1.6848000000000001</v>
      </c>
      <c r="M273" s="947">
        <f t="shared" si="73"/>
        <v>3.8535030152690039E-2</v>
      </c>
      <c r="N273" s="964">
        <f t="shared" si="74"/>
        <v>1.4055663021489528</v>
      </c>
      <c r="O273" s="960">
        <f t="shared" si="75"/>
        <v>1.4055663021489528</v>
      </c>
      <c r="Q273">
        <f>T27</f>
        <v>21.68</v>
      </c>
    </row>
    <row r="274" spans="1:119" x14ac:dyDescent="0.4">
      <c r="A274" s="939"/>
      <c r="B274" s="940"/>
      <c r="C274" s="987" t="str">
        <f>C$104</f>
        <v>4. Clearwell #1</v>
      </c>
      <c r="D274" s="987" t="str">
        <f>D$104</f>
        <v>Free Chlorine</v>
      </c>
      <c r="E274" s="956">
        <f>AB27</f>
        <v>1.5</v>
      </c>
      <c r="F274" s="956">
        <f>AO27</f>
        <v>8.0299999999999994</v>
      </c>
      <c r="G274" s="965">
        <f>X27</f>
        <v>14</v>
      </c>
      <c r="H274" s="944">
        <f>(Q274*1000000)/1440</f>
        <v>14847.222222222223</v>
      </c>
      <c r="I274" s="957">
        <f>V27*145792</f>
        <v>1917164.8</v>
      </c>
      <c r="J274" s="958">
        <f>+I274*$K$89</f>
        <v>1342015.3599999999</v>
      </c>
      <c r="K274" s="958">
        <f>+(J274/H$274)</f>
        <v>90.388312366697832</v>
      </c>
      <c r="L274" s="958">
        <f>+(K274*E274)</f>
        <v>135.58246855004674</v>
      </c>
      <c r="M274" s="947">
        <f t="shared" si="73"/>
        <v>3.1023502857116685</v>
      </c>
      <c r="N274" s="964">
        <f t="shared" si="74"/>
        <v>124.4648547723221</v>
      </c>
      <c r="O274" s="960">
        <f t="shared" si="75"/>
        <v>124.4648547723221</v>
      </c>
      <c r="Q274">
        <f>U27</f>
        <v>21.38</v>
      </c>
    </row>
    <row r="275" spans="1:119" x14ac:dyDescent="0.4">
      <c r="A275" s="939"/>
      <c r="B275" s="940"/>
      <c r="C275" s="987" t="str">
        <f>C$105</f>
        <v xml:space="preserve">5. Clearwells 2&amp;3 </v>
      </c>
      <c r="D275" s="987" t="str">
        <f>D$105</f>
        <v>Chloramine</v>
      </c>
      <c r="E275" s="956">
        <f>AF27</f>
        <v>0</v>
      </c>
      <c r="F275" s="956">
        <f>AQ27</f>
        <v>8.08</v>
      </c>
      <c r="G275" s="965">
        <f>X27</f>
        <v>14</v>
      </c>
      <c r="H275" s="944">
        <f>(Q275*1000000)/1440</f>
        <v>14847.222222222223</v>
      </c>
      <c r="I275" s="957">
        <f>W27*347599</f>
        <v>4661302.59</v>
      </c>
      <c r="J275" s="958">
        <f>+I275*$K$90</f>
        <v>2330651.2949999999</v>
      </c>
      <c r="K275" s="958">
        <f>+(J275/H$275)</f>
        <v>156.97557833489242</v>
      </c>
      <c r="L275" s="958">
        <f>+(K275*E275)</f>
        <v>0</v>
      </c>
      <c r="M275" s="947">
        <f t="shared" si="73"/>
        <v>0</v>
      </c>
      <c r="N275" s="964">
        <f t="shared" si="74"/>
        <v>0.48346085932901706</v>
      </c>
      <c r="O275" s="960">
        <f t="shared" si="75"/>
        <v>0.48346085932901706</v>
      </c>
      <c r="Q275">
        <f>U27</f>
        <v>21.38</v>
      </c>
    </row>
    <row r="276" spans="1:119" x14ac:dyDescent="0.4">
      <c r="A276" s="939"/>
      <c r="B276" s="940"/>
      <c r="C276" s="987"/>
      <c r="D276" s="987"/>
      <c r="E276" s="956"/>
      <c r="F276" s="956"/>
      <c r="G276" s="965"/>
      <c r="H276" s="990"/>
      <c r="I276" s="989"/>
      <c r="J276" s="958"/>
      <c r="K276" s="958"/>
      <c r="L276" s="958"/>
      <c r="M276" s="947" t="str">
        <f t="shared" si="73"/>
        <v>Check Dsfctnt.</v>
      </c>
      <c r="N276" s="964" t="str">
        <f t="shared" si="74"/>
        <v>Check Dsfctnt.</v>
      </c>
      <c r="O276" s="960" t="str">
        <f t="shared" si="75"/>
        <v>Check Dsfctnt.</v>
      </c>
    </row>
    <row r="277" spans="1:119" x14ac:dyDescent="0.4">
      <c r="A277" s="966"/>
      <c r="B277" s="967"/>
      <c r="C277" s="968" t="str">
        <f>C$107</f>
        <v>System TOTAL</v>
      </c>
      <c r="D277" s="969"/>
      <c r="E277" s="970">
        <f>AVERAGE(E271:E274)</f>
        <v>1.075</v>
      </c>
      <c r="F277" s="970">
        <f>AVERAGE(F271:F274)</f>
        <v>7.1875</v>
      </c>
      <c r="G277" s="970">
        <f>AVERAGE(G271:G274)</f>
        <v>14</v>
      </c>
      <c r="H277" s="971"/>
      <c r="I277" s="998"/>
      <c r="J277" s="972"/>
      <c r="K277" s="972"/>
      <c r="L277" s="970">
        <f>SUM(L271:L274)</f>
        <v>145.53795424215008</v>
      </c>
      <c r="M277" s="973">
        <f>SUM(M271:M276)</f>
        <v>3.5635884589836437</v>
      </c>
      <c r="N277" s="974">
        <f>SUM(N271:N276)</f>
        <v>133.66938063000012</v>
      </c>
      <c r="O277" s="975">
        <f>SUM(O271:O276)</f>
        <v>133.66938063000012</v>
      </c>
    </row>
    <row r="278" spans="1:119" s="449" customFormat="1" ht="4" customHeight="1" x14ac:dyDescent="0.4">
      <c r="A278" s="1001"/>
      <c r="B278" s="978"/>
      <c r="C278" s="978"/>
      <c r="D278" s="978"/>
      <c r="E278" s="979"/>
      <c r="F278" s="979"/>
      <c r="G278" s="979"/>
      <c r="H278" s="980"/>
      <c r="I278" s="999"/>
      <c r="J278" s="981"/>
      <c r="K278" s="981"/>
      <c r="L278" s="981"/>
      <c r="M278" s="982"/>
      <c r="N278" s="983"/>
      <c r="O278" s="984"/>
      <c r="CA278" s="1002"/>
      <c r="CB278" s="1002"/>
      <c r="CG278" s="1002"/>
      <c r="CK278" s="1003"/>
      <c r="CL278" s="1003"/>
      <c r="CM278" s="1002"/>
      <c r="CN278" s="1002"/>
      <c r="CO278" s="1004"/>
      <c r="CP278" s="1002"/>
      <c r="DA278" s="467"/>
      <c r="DB278" s="1002"/>
      <c r="DG278" s="836"/>
      <c r="DH278" s="889"/>
      <c r="DI278" s="889"/>
      <c r="DJ278" s="836"/>
      <c r="DK278" s="765"/>
      <c r="DL278" s="765"/>
      <c r="DM278" s="765"/>
      <c r="DN278" s="765"/>
      <c r="DO278" s="765"/>
    </row>
    <row r="279" spans="1:119" x14ac:dyDescent="0.4">
      <c r="A279" s="985">
        <v>22</v>
      </c>
      <c r="B279" s="986">
        <v>1</v>
      </c>
      <c r="C279" s="987" t="str">
        <f>C$101</f>
        <v xml:space="preserve">1. Filter Influent </v>
      </c>
      <c r="D279" s="987" t="str">
        <f>D$101</f>
        <v>Free Chlorine</v>
      </c>
      <c r="E279" s="942">
        <f>Y28</f>
        <v>0.7</v>
      </c>
      <c r="F279" s="942">
        <f>AI28</f>
        <v>6.45</v>
      </c>
      <c r="G279" s="965">
        <f>X28</f>
        <v>14.1</v>
      </c>
      <c r="H279" s="944">
        <f>(Q279*1000000)/1440</f>
        <v>14861.111111111111</v>
      </c>
      <c r="I279" s="989">
        <f>I$101</f>
        <v>91543</v>
      </c>
      <c r="J279" s="958">
        <f>+I279*$F$89</f>
        <v>12816.02</v>
      </c>
      <c r="K279" s="958">
        <f>+(J279/H$279)</f>
        <v>0.86238639252336446</v>
      </c>
      <c r="L279" s="958">
        <f>+(K279*E279)</f>
        <v>0.60367047476635505</v>
      </c>
      <c r="M279" s="947">
        <f t="shared" ref="M279:M284" si="76">IF(AND($D279="Free Chlorine",$E279&gt;0.4),$L279/(0.2828*($F279^2.69)*($E279^0.15)*(0.933^($G279-5))),IF(AND($D279="Free Chlorine",$E279&lt;=0.4),$L279/(0.2828*($F279^2.69)*(0.4^0.15)*(0.933^($G279-5))),IF(AND($D279="Chloramine",$G279&gt;1),$L279/(858.5-(24.3*$G279)),IF(AND($D279="Chloramine",$G279&lt;=1),$L279/(858.5-(24.3)),IF(AND($D279="Chlorine Dioxide",$G279&gt;1),(($L279*($G279^0.49))+0.18)/23.85,IF(AND($D279="Chlorine Dioxide",$G279&lt;=1),($L279+0.18)/23.85,IF($D279="Ozone",(($L279*EXP(0.072*$G279))-0.01)/0.98,"Check Dsfctnt.")))))))</f>
        <v>2.8113649990540345E-2</v>
      </c>
      <c r="N279" s="959">
        <f t="shared" ref="N279:N284" si="77">IF($D279="Free Chlorine",IF(F279&gt;9,(($L279*EXP(0.071*$G279))-0.21)/22.37,(($L279*EXP(0.071*$G279))-0.42)/2.94),IF($D279="Chloramine",(($L279*EXP(0.071*$G279))+410.7)/849.5,IF($D279="Chlorine Dioxide",(($L279*EXP(0.072*$G279))+35.15)/21.25,IF($D279="Ozone",(($L279*EXP(0.068*$G279))-0.01)/0.47,"Check Dsfctnt."))))</f>
        <v>0.41590221639506592</v>
      </c>
      <c r="O279" s="960">
        <f t="shared" ref="O279:O284" si="78">IF(N279&lt;0,0,N279)</f>
        <v>0.41590221639506592</v>
      </c>
      <c r="Q279">
        <f>T28</f>
        <v>21.4</v>
      </c>
    </row>
    <row r="280" spans="1:119" x14ac:dyDescent="0.4">
      <c r="A280" s="939"/>
      <c r="B280" s="940"/>
      <c r="C280" s="987" t="str">
        <f>C$102</f>
        <v>2. Filter&amp;Filter Eff.</v>
      </c>
      <c r="D280" s="987" t="str">
        <f>D$102</f>
        <v>Free Chlorine</v>
      </c>
      <c r="E280" s="956">
        <f>Z28</f>
        <v>0.3</v>
      </c>
      <c r="F280" s="956">
        <f>AK28</f>
        <v>6.48</v>
      </c>
      <c r="G280" s="965">
        <f>X28</f>
        <v>14.1</v>
      </c>
      <c r="H280" s="944">
        <f>(Q280*1000000)/1440</f>
        <v>14861.111111111111</v>
      </c>
      <c r="I280" s="989">
        <f>I$102</f>
        <v>566414.48</v>
      </c>
      <c r="J280" s="958">
        <f>+I280*$F$90</f>
        <v>385161.84640000004</v>
      </c>
      <c r="K280" s="958">
        <f>+(J280/H$280)</f>
        <v>25.917432654953274</v>
      </c>
      <c r="L280" s="958">
        <f>+(K280*E280)</f>
        <v>7.7752297964859816</v>
      </c>
      <c r="M280" s="947">
        <f t="shared" si="76"/>
        <v>0.38892432418250411</v>
      </c>
      <c r="N280" s="964">
        <f t="shared" si="77"/>
        <v>7.053920901993699</v>
      </c>
      <c r="O280" s="960">
        <f t="shared" si="78"/>
        <v>7.053920901993699</v>
      </c>
      <c r="Q280">
        <f>T28</f>
        <v>21.4</v>
      </c>
    </row>
    <row r="281" spans="1:119" x14ac:dyDescent="0.4">
      <c r="A281" s="939"/>
      <c r="B281" s="940"/>
      <c r="C281" s="987" t="str">
        <f>C$103</f>
        <v xml:space="preserve">3. Plant Effluent </v>
      </c>
      <c r="D281" s="987" t="str">
        <f>D$103</f>
        <v>Free Chlorine</v>
      </c>
      <c r="E281" s="956">
        <f>AA28</f>
        <v>1.2</v>
      </c>
      <c r="F281" s="956">
        <f>AM28</f>
        <v>7.82</v>
      </c>
      <c r="G281" s="965">
        <f>X28</f>
        <v>14.1</v>
      </c>
      <c r="H281" s="944">
        <f>(Q281*1000000)/1440</f>
        <v>14861.111111111111</v>
      </c>
      <c r="I281" s="989">
        <f>I$103</f>
        <v>14092</v>
      </c>
      <c r="J281" s="958">
        <f>+I281*$F$91</f>
        <v>14092</v>
      </c>
      <c r="K281" s="958">
        <f>+(J281/H$281)</f>
        <v>0.9482467289719626</v>
      </c>
      <c r="L281" s="958">
        <f>+(K281*E281)</f>
        <v>1.1378960747663551</v>
      </c>
      <c r="M281" s="947">
        <f t="shared" si="76"/>
        <v>2.9113665202018617E-2</v>
      </c>
      <c r="N281" s="964">
        <f t="shared" si="77"/>
        <v>0.91038317319133755</v>
      </c>
      <c r="O281" s="960">
        <f t="shared" si="78"/>
        <v>0.91038317319133755</v>
      </c>
      <c r="Q281">
        <f>T28</f>
        <v>21.4</v>
      </c>
    </row>
    <row r="282" spans="1:119" x14ac:dyDescent="0.4">
      <c r="A282" s="939"/>
      <c r="B282" s="940"/>
      <c r="C282" s="987" t="str">
        <f>C$104</f>
        <v>4. Clearwell #1</v>
      </c>
      <c r="D282" s="987" t="str">
        <f>D$104</f>
        <v>Free Chlorine</v>
      </c>
      <c r="E282" s="956">
        <f>AB28</f>
        <v>1.6</v>
      </c>
      <c r="F282" s="956">
        <f>AO28</f>
        <v>7.88</v>
      </c>
      <c r="G282" s="965">
        <f>X28</f>
        <v>14.1</v>
      </c>
      <c r="H282" s="944">
        <f>(Q282*1000000)/1440</f>
        <v>18236.111111111109</v>
      </c>
      <c r="I282" s="957">
        <f>V28*145792</f>
        <v>1860305.9199999999</v>
      </c>
      <c r="J282" s="958">
        <f>+I282*$K$89</f>
        <v>1302214.1439999999</v>
      </c>
      <c r="K282" s="958">
        <f>+(J282/H$282)</f>
        <v>71.408544073114996</v>
      </c>
      <c r="L282" s="958">
        <f>+(K282*E282)</f>
        <v>114.253670516984</v>
      </c>
      <c r="M282" s="947">
        <f t="shared" si="76"/>
        <v>2.7428008504964523</v>
      </c>
      <c r="N282" s="964">
        <f t="shared" si="77"/>
        <v>105.61071272486205</v>
      </c>
      <c r="O282" s="960">
        <f t="shared" si="78"/>
        <v>105.61071272486205</v>
      </c>
      <c r="Q282">
        <f>U28</f>
        <v>26.26</v>
      </c>
    </row>
    <row r="283" spans="1:119" x14ac:dyDescent="0.4">
      <c r="A283" s="939"/>
      <c r="B283" s="940"/>
      <c r="C283" s="987" t="str">
        <f>C$105</f>
        <v xml:space="preserve">5. Clearwells 2&amp;3 </v>
      </c>
      <c r="D283" s="987" t="str">
        <f>D$105</f>
        <v>Chloramine</v>
      </c>
      <c r="E283" s="956">
        <f>AF28</f>
        <v>0</v>
      </c>
      <c r="F283" s="956">
        <f>AQ28</f>
        <v>8.09</v>
      </c>
      <c r="G283" s="965">
        <f>X28</f>
        <v>14.1</v>
      </c>
      <c r="H283" s="944">
        <f>(Q283*1000000)/1440</f>
        <v>18236.111111111109</v>
      </c>
      <c r="I283" s="957">
        <f>W28*347599</f>
        <v>4522262.99</v>
      </c>
      <c r="J283" s="958">
        <f>+I283*$K$90</f>
        <v>2261131.4950000001</v>
      </c>
      <c r="K283" s="958">
        <f>+(J283/H$283)</f>
        <v>123.99197840060931</v>
      </c>
      <c r="L283" s="958">
        <f>+(K283*E283)</f>
        <v>0</v>
      </c>
      <c r="M283" s="947">
        <f t="shared" si="76"/>
        <v>0</v>
      </c>
      <c r="N283" s="964">
        <f t="shared" si="77"/>
        <v>0.48346085932901706</v>
      </c>
      <c r="O283" s="960">
        <f t="shared" si="78"/>
        <v>0.48346085932901706</v>
      </c>
      <c r="Q283">
        <f>U28</f>
        <v>26.26</v>
      </c>
    </row>
    <row r="284" spans="1:119" x14ac:dyDescent="0.4">
      <c r="A284" s="939"/>
      <c r="B284" s="940"/>
      <c r="C284" s="987"/>
      <c r="D284" s="987"/>
      <c r="E284" s="956"/>
      <c r="F284" s="956"/>
      <c r="G284" s="965"/>
      <c r="H284" s="990"/>
      <c r="I284" s="989"/>
      <c r="J284" s="958"/>
      <c r="K284" s="958"/>
      <c r="L284" s="958"/>
      <c r="M284" s="947" t="str">
        <f t="shared" si="76"/>
        <v>Check Dsfctnt.</v>
      </c>
      <c r="N284" s="964" t="str">
        <f t="shared" si="77"/>
        <v>Check Dsfctnt.</v>
      </c>
      <c r="O284" s="960" t="str">
        <f t="shared" si="78"/>
        <v>Check Dsfctnt.</v>
      </c>
    </row>
    <row r="285" spans="1:119" x14ac:dyDescent="0.4">
      <c r="A285" s="966"/>
      <c r="B285" s="967"/>
      <c r="C285" s="968" t="str">
        <f>C$107</f>
        <v>System TOTAL</v>
      </c>
      <c r="D285" s="969"/>
      <c r="E285" s="970">
        <f>AVERAGE(E279:E282)</f>
        <v>0.95000000000000007</v>
      </c>
      <c r="F285" s="970">
        <f>AVERAGE(F279:F282)</f>
        <v>7.1574999999999998</v>
      </c>
      <c r="G285" s="970">
        <f>AVERAGE(G279:G282)</f>
        <v>14.1</v>
      </c>
      <c r="H285" s="971"/>
      <c r="I285" s="998"/>
      <c r="J285" s="972"/>
      <c r="K285" s="972"/>
      <c r="L285" s="970">
        <f>SUM(L279:L282)</f>
        <v>123.7704668630027</v>
      </c>
      <c r="M285" s="973">
        <f>SUM(M279:M284)</f>
        <v>3.1889524898715154</v>
      </c>
      <c r="N285" s="974">
        <f>SUM(N279:N284)</f>
        <v>114.47437987577118</v>
      </c>
      <c r="O285" s="975">
        <f>SUM(O279:O284)</f>
        <v>114.47437987577118</v>
      </c>
    </row>
    <row r="286" spans="1:119" s="449" customFormat="1" ht="4" customHeight="1" x14ac:dyDescent="0.4">
      <c r="A286" s="1001"/>
      <c r="B286" s="978"/>
      <c r="C286" s="978"/>
      <c r="D286" s="978"/>
      <c r="E286" s="979"/>
      <c r="F286" s="979"/>
      <c r="G286" s="979"/>
      <c r="H286" s="980"/>
      <c r="I286" s="999"/>
      <c r="J286" s="981"/>
      <c r="K286" s="981"/>
      <c r="L286" s="981"/>
      <c r="M286" s="982"/>
      <c r="N286" s="983"/>
      <c r="O286" s="984"/>
      <c r="CA286" s="1002"/>
      <c r="CB286" s="1002"/>
      <c r="CG286" s="1002"/>
      <c r="CK286" s="1003"/>
      <c r="CL286" s="1003"/>
      <c r="CM286" s="1002"/>
      <c r="CN286" s="1002"/>
      <c r="CO286" s="1004"/>
      <c r="CP286" s="1002"/>
      <c r="DA286" s="467"/>
      <c r="DB286" s="1002"/>
      <c r="DG286" s="836"/>
      <c r="DH286" s="889"/>
      <c r="DI286" s="889"/>
      <c r="DJ286" s="836"/>
      <c r="DK286" s="765"/>
      <c r="DL286" s="765"/>
      <c r="DM286" s="765"/>
      <c r="DN286" s="765"/>
      <c r="DO286" s="765"/>
    </row>
    <row r="287" spans="1:119" x14ac:dyDescent="0.4">
      <c r="A287" s="985">
        <v>23</v>
      </c>
      <c r="B287" s="986">
        <v>1</v>
      </c>
      <c r="C287" s="987" t="str">
        <f>C$101</f>
        <v xml:space="preserve">1. Filter Influent </v>
      </c>
      <c r="D287" s="987" t="str">
        <f>D$101</f>
        <v>Free Chlorine</v>
      </c>
      <c r="E287" s="942">
        <f>Y29</f>
        <v>0.7</v>
      </c>
      <c r="F287" s="942">
        <f>AI29</f>
        <v>6.36</v>
      </c>
      <c r="G287" s="965">
        <f>X29</f>
        <v>14.5</v>
      </c>
      <c r="H287" s="944">
        <f>(Q287*1000000)/1440</f>
        <v>15097.222222222223</v>
      </c>
      <c r="I287" s="989">
        <f>I$101</f>
        <v>91543</v>
      </c>
      <c r="J287" s="958">
        <f>+I287*$F$89</f>
        <v>12816.02</v>
      </c>
      <c r="K287" s="958">
        <f>+(J287/H$287)</f>
        <v>0.84889920883164671</v>
      </c>
      <c r="L287" s="958">
        <f>+(K287*E287)</f>
        <v>0.59422944618215268</v>
      </c>
      <c r="M287" s="947">
        <f t="shared" ref="M287:M292" si="79">IF(AND($D287="Free Chlorine",$E287&gt;0.4),$L287/(0.2828*($F287^2.69)*($E287^0.15)*(0.933^($G287-5))),IF(AND($D287="Free Chlorine",$E287&lt;=0.4),$L287/(0.2828*($F287^2.69)*(0.4^0.15)*(0.933^($G287-5))),IF(AND($D287="Chloramine",$G287&gt;1),$L287/(858.5-(24.3*$G287)),IF(AND($D287="Chloramine",$G287&lt;=1),$L287/(858.5-(24.3)),IF(AND($D287="Chlorine Dioxide",$G287&gt;1),(($L287*($G287^0.49))+0.18)/23.85,IF(AND($D287="Chlorine Dioxide",$G287&lt;=1),($L287+0.18)/23.85,IF($D287="Ozone",(($L287*EXP(0.072*$G287))-0.01)/0.98,"Check Dsfctnt.")))))))</f>
        <v>2.9548456576267507E-2</v>
      </c>
      <c r="N287" s="959">
        <f t="shared" ref="N287:N292" si="80">IF($D287="Free Chlorine",IF(F287&gt;9,(($L287*EXP(0.071*$G287))-0.21)/22.37,(($L287*EXP(0.071*$G287))-0.42)/2.94),IF($D287="Chloramine",(($L287*EXP(0.071*$G287))+410.7)/849.5,IF($D287="Chlorine Dioxide",(($L287*EXP(0.072*$G287))+35.15)/21.25,IF($D287="Ozone",(($L287*EXP(0.068*$G287))-0.01)/0.47,"Check Dsfctnt."))))</f>
        <v>0.4230080849652888</v>
      </c>
      <c r="O287" s="960">
        <f t="shared" ref="O287:O292" si="81">IF(N287&lt;0,0,N287)</f>
        <v>0.4230080849652888</v>
      </c>
      <c r="Q287">
        <f>T29</f>
        <v>21.74</v>
      </c>
    </row>
    <row r="288" spans="1:119" x14ac:dyDescent="0.4">
      <c r="A288" s="939"/>
      <c r="B288" s="940"/>
      <c r="C288" s="987" t="str">
        <f>C$102</f>
        <v>2. Filter&amp;Filter Eff.</v>
      </c>
      <c r="D288" s="987" t="str">
        <f>D$102</f>
        <v>Free Chlorine</v>
      </c>
      <c r="E288" s="956">
        <f>Z29</f>
        <v>0.4</v>
      </c>
      <c r="F288" s="956">
        <f>AK29</f>
        <v>6.4</v>
      </c>
      <c r="G288" s="965">
        <f>X29</f>
        <v>14.5</v>
      </c>
      <c r="H288" s="944">
        <f>(Q288*1000000)/1440</f>
        <v>15097.222222222223</v>
      </c>
      <c r="I288" s="989">
        <f>I$102</f>
        <v>566414.48</v>
      </c>
      <c r="J288" s="958">
        <f>+I288*$F$90</f>
        <v>385161.84640000004</v>
      </c>
      <c r="K288" s="958">
        <f>+(J288/H$288)</f>
        <v>25.512100221527142</v>
      </c>
      <c r="L288" s="958">
        <f>+(K288*E288)</f>
        <v>10.204840088610858</v>
      </c>
      <c r="M288" s="947">
        <f t="shared" si="79"/>
        <v>0.54264780946808233</v>
      </c>
      <c r="N288" s="964">
        <f t="shared" si="80"/>
        <v>9.5748776458412195</v>
      </c>
      <c r="O288" s="960">
        <f t="shared" si="81"/>
        <v>9.5748776458412195</v>
      </c>
      <c r="Q288">
        <f>T29</f>
        <v>21.74</v>
      </c>
    </row>
    <row r="289" spans="1:119" x14ac:dyDescent="0.4">
      <c r="A289" s="939"/>
      <c r="B289" s="940"/>
      <c r="C289" s="987" t="str">
        <f>C$103</f>
        <v xml:space="preserve">3. Plant Effluent </v>
      </c>
      <c r="D289" s="987" t="str">
        <f>D$103</f>
        <v>Free Chlorine</v>
      </c>
      <c r="E289" s="956">
        <f>AA29</f>
        <v>1.75</v>
      </c>
      <c r="F289" s="956">
        <f>AM29</f>
        <v>7.07</v>
      </c>
      <c r="G289" s="965">
        <f>X29</f>
        <v>14.5</v>
      </c>
      <c r="H289" s="944">
        <f>(Q289*1000000)/1440</f>
        <v>15097.222222222223</v>
      </c>
      <c r="I289" s="989">
        <f>I$103</f>
        <v>14092</v>
      </c>
      <c r="J289" s="958">
        <f>+I289*$F$91</f>
        <v>14092</v>
      </c>
      <c r="K289" s="958">
        <f>+(J289/H$289)</f>
        <v>0.93341674333026681</v>
      </c>
      <c r="L289" s="958">
        <f>+(K289*E289)</f>
        <v>1.6334793008279669</v>
      </c>
      <c r="M289" s="947">
        <f t="shared" si="79"/>
        <v>5.3255526720777206E-2</v>
      </c>
      <c r="N289" s="964">
        <f t="shared" si="80"/>
        <v>1.4126516637914319</v>
      </c>
      <c r="O289" s="960">
        <f t="shared" si="81"/>
        <v>1.4126516637914319</v>
      </c>
      <c r="Q289">
        <f>T29</f>
        <v>21.74</v>
      </c>
    </row>
    <row r="290" spans="1:119" x14ac:dyDescent="0.4">
      <c r="A290" s="939"/>
      <c r="B290" s="940"/>
      <c r="C290" s="987" t="str">
        <f>C$104</f>
        <v>4. Clearwell #1</v>
      </c>
      <c r="D290" s="987" t="str">
        <f>D$104</f>
        <v>Free Chlorine</v>
      </c>
      <c r="E290" s="956">
        <f>AB29</f>
        <v>1.6</v>
      </c>
      <c r="F290" s="956">
        <f>AO29</f>
        <v>7.69</v>
      </c>
      <c r="G290" s="965">
        <f>X29</f>
        <v>14.5</v>
      </c>
      <c r="H290" s="944">
        <f>(Q290*1000000)/1440</f>
        <v>18159.722222222223</v>
      </c>
      <c r="I290" s="957">
        <f>V29*145792</f>
        <v>1788867.8399999999</v>
      </c>
      <c r="J290" s="958">
        <f>+I290*$K$89</f>
        <v>1252207.4879999999</v>
      </c>
      <c r="K290" s="958">
        <f>+(J290/H$290)</f>
        <v>68.955211576290623</v>
      </c>
      <c r="L290" s="958">
        <f>+(K290*E290)</f>
        <v>110.328338522065</v>
      </c>
      <c r="M290" s="947">
        <f t="shared" si="79"/>
        <v>2.9078513788590281</v>
      </c>
      <c r="N290" s="964">
        <f t="shared" si="80"/>
        <v>104.91920400905913</v>
      </c>
      <c r="O290" s="960">
        <f t="shared" si="81"/>
        <v>104.91920400905913</v>
      </c>
      <c r="Q290">
        <f>U29</f>
        <v>26.15</v>
      </c>
    </row>
    <row r="291" spans="1:119" x14ac:dyDescent="0.4">
      <c r="A291" s="939"/>
      <c r="B291" s="940"/>
      <c r="C291" s="987" t="str">
        <f>C$105</f>
        <v xml:space="preserve">5. Clearwells 2&amp;3 </v>
      </c>
      <c r="D291" s="987" t="str">
        <f>D$105</f>
        <v>Chloramine</v>
      </c>
      <c r="E291" s="956">
        <f>AF29</f>
        <v>0</v>
      </c>
      <c r="F291" s="956">
        <f>AQ29</f>
        <v>7.83</v>
      </c>
      <c r="G291" s="965">
        <f>X29</f>
        <v>14.5</v>
      </c>
      <c r="H291" s="944">
        <f>(Q291*1000000)/1440</f>
        <v>18159.722222222223</v>
      </c>
      <c r="I291" s="957">
        <f>W29*347599</f>
        <v>4313703.59</v>
      </c>
      <c r="J291" s="958">
        <f>+I291*$K$90</f>
        <v>2156851.7949999999</v>
      </c>
      <c r="K291" s="958">
        <f>+(J291/H$291)</f>
        <v>118.77118871128107</v>
      </c>
      <c r="L291" s="958">
        <f>+(K291*E291)</f>
        <v>0</v>
      </c>
      <c r="M291" s="947">
        <f t="shared" si="79"/>
        <v>0</v>
      </c>
      <c r="N291" s="964">
        <f t="shared" si="80"/>
        <v>0.48346085932901706</v>
      </c>
      <c r="O291" s="960">
        <f t="shared" si="81"/>
        <v>0.48346085932901706</v>
      </c>
      <c r="Q291">
        <f>U29</f>
        <v>26.15</v>
      </c>
    </row>
    <row r="292" spans="1:119" x14ac:dyDescent="0.4">
      <c r="A292" s="939"/>
      <c r="B292" s="940"/>
      <c r="C292" s="987"/>
      <c r="D292" s="987"/>
      <c r="E292" s="956"/>
      <c r="F292" s="956"/>
      <c r="G292" s="965"/>
      <c r="H292" s="990"/>
      <c r="I292" s="989"/>
      <c r="J292" s="958"/>
      <c r="K292" s="958"/>
      <c r="L292" s="958"/>
      <c r="M292" s="947" t="str">
        <f t="shared" si="79"/>
        <v>Check Dsfctnt.</v>
      </c>
      <c r="N292" s="964" t="str">
        <f t="shared" si="80"/>
        <v>Check Dsfctnt.</v>
      </c>
      <c r="O292" s="960" t="str">
        <f t="shared" si="81"/>
        <v>Check Dsfctnt.</v>
      </c>
    </row>
    <row r="293" spans="1:119" x14ac:dyDescent="0.4">
      <c r="A293" s="966"/>
      <c r="B293" s="967"/>
      <c r="C293" s="968" t="str">
        <f>C$107</f>
        <v>System TOTAL</v>
      </c>
      <c r="D293" s="969"/>
      <c r="E293" s="970">
        <f>AVERAGE(E287:E290)</f>
        <v>1.1125</v>
      </c>
      <c r="F293" s="970">
        <f>AVERAGE(F287:F290)</f>
        <v>6.8800000000000008</v>
      </c>
      <c r="G293" s="970">
        <f>AVERAGE(G287:G290)</f>
        <v>14.5</v>
      </c>
      <c r="H293" s="971"/>
      <c r="I293" s="998"/>
      <c r="J293" s="972"/>
      <c r="K293" s="972"/>
      <c r="L293" s="970">
        <f>SUM(L287:L290)</f>
        <v>122.76088735768597</v>
      </c>
      <c r="M293" s="973">
        <f>SUM(M287:M292)</f>
        <v>3.533303171624155</v>
      </c>
      <c r="N293" s="974">
        <f>SUM(N287:N292)</f>
        <v>116.81320226298608</v>
      </c>
      <c r="O293" s="975">
        <f>SUM(O287:O292)</f>
        <v>116.81320226298608</v>
      </c>
    </row>
    <row r="294" spans="1:119" s="449" customFormat="1" ht="4" customHeight="1" x14ac:dyDescent="0.4">
      <c r="A294" s="1001"/>
      <c r="B294" s="978"/>
      <c r="C294" s="978"/>
      <c r="D294" s="978"/>
      <c r="E294" s="979"/>
      <c r="F294" s="979"/>
      <c r="G294" s="979"/>
      <c r="H294" s="980"/>
      <c r="I294" s="999"/>
      <c r="J294" s="981"/>
      <c r="K294" s="981"/>
      <c r="L294" s="981"/>
      <c r="M294" s="982"/>
      <c r="N294" s="983"/>
      <c r="O294" s="984"/>
      <c r="CA294" s="1002"/>
      <c r="CB294" s="1002"/>
      <c r="CG294" s="1002"/>
      <c r="CK294" s="1003"/>
      <c r="CL294" s="1003"/>
      <c r="CM294" s="1002"/>
      <c r="CN294" s="1002"/>
      <c r="CO294" s="1004"/>
      <c r="CP294" s="1002"/>
      <c r="DA294" s="467"/>
      <c r="DB294" s="1002"/>
      <c r="DG294" s="836"/>
      <c r="DH294" s="889"/>
      <c r="DI294" s="889"/>
      <c r="DJ294" s="836"/>
      <c r="DK294" s="765"/>
      <c r="DL294" s="765"/>
      <c r="DM294" s="765"/>
      <c r="DN294" s="765"/>
      <c r="DO294" s="765"/>
    </row>
    <row r="295" spans="1:119" x14ac:dyDescent="0.4">
      <c r="A295" s="985">
        <v>24</v>
      </c>
      <c r="B295" s="986">
        <v>1</v>
      </c>
      <c r="C295" s="987" t="str">
        <f>C$101</f>
        <v xml:space="preserve">1. Filter Influent </v>
      </c>
      <c r="D295" s="987" t="str">
        <f>D$101</f>
        <v>Free Chlorine</v>
      </c>
      <c r="E295" s="942">
        <f>Y30</f>
        <v>0.6</v>
      </c>
      <c r="F295" s="942">
        <f>AI30</f>
        <v>6.51</v>
      </c>
      <c r="G295" s="965">
        <f>X30</f>
        <v>14.94</v>
      </c>
      <c r="H295" s="944">
        <f>(Q295*1000000)/1440</f>
        <v>15541.666666666666</v>
      </c>
      <c r="I295" s="989">
        <f>I$101</f>
        <v>91543</v>
      </c>
      <c r="J295" s="958">
        <f>+I295*$F$89</f>
        <v>12816.02</v>
      </c>
      <c r="K295" s="958">
        <f>+(J295/H$295)</f>
        <v>0.82462327077747999</v>
      </c>
      <c r="L295" s="958">
        <f>+(K295*E295)</f>
        <v>0.49477396246648797</v>
      </c>
      <c r="M295" s="947">
        <f t="shared" ref="M295:M300" si="82">IF(AND($D295="Free Chlorine",$E295&gt;0.4),$L295/(0.2828*($F295^2.69)*($E295^0.15)*(0.933^($G295-5))),IF(AND($D295="Free Chlorine",$E295&lt;=0.4),$L295/(0.2828*($F295^2.69)*(0.4^0.15)*(0.933^($G295-5))),IF(AND($D295="Chloramine",$G295&gt;1),$L295/(858.5-(24.3*$G295)),IF(AND($D295="Chloramine",$G295&lt;=1),$L295/(858.5-(24.3)),IF(AND($D295="Chlorine Dioxide",$G295&gt;1),(($L295*($G295^0.49))+0.18)/23.85,IF(AND($D295="Chlorine Dioxide",$G295&lt;=1),($L295+0.18)/23.85,IF($D295="Ozone",(($L295*EXP(0.072*$G295))-0.01)/0.98,"Check Dsfctnt.")))))))</f>
        <v>2.4380822124347459E-2</v>
      </c>
      <c r="N295" s="959">
        <f t="shared" ref="N295:N300" si="83">IF($D295="Free Chlorine",IF(F295&gt;9,(($L295*EXP(0.071*$G295))-0.21)/22.37,(($L295*EXP(0.071*$G295))-0.42)/2.94),IF($D295="Chloramine",(($L295*EXP(0.071*$G295))+410.7)/849.5,IF($D295="Chlorine Dioxide",(($L295*EXP(0.072*$G295))+35.15)/21.25,IF($D295="Ozone",(($L295*EXP(0.068*$G295))-0.01)/0.47,"Check Dsfctnt."))))</f>
        <v>0.34325115561752384</v>
      </c>
      <c r="O295" s="960">
        <f t="shared" ref="O295:O300" si="84">IF(N295&lt;0,0,N295)</f>
        <v>0.34325115561752384</v>
      </c>
      <c r="Q295">
        <f>T30</f>
        <v>22.38</v>
      </c>
    </row>
    <row r="296" spans="1:119" x14ac:dyDescent="0.4">
      <c r="A296" s="939"/>
      <c r="B296" s="940"/>
      <c r="C296" s="987" t="str">
        <f>C$102</f>
        <v>2. Filter&amp;Filter Eff.</v>
      </c>
      <c r="D296" s="987" t="str">
        <f>D$102</f>
        <v>Free Chlorine</v>
      </c>
      <c r="E296" s="956">
        <f>Z30</f>
        <v>0.3</v>
      </c>
      <c r="F296" s="956">
        <f>AK30</f>
        <v>6.51</v>
      </c>
      <c r="G296" s="965">
        <f>X30</f>
        <v>14.94</v>
      </c>
      <c r="H296" s="944">
        <f>(Q296*1000000)/1440</f>
        <v>15541.666666666666</v>
      </c>
      <c r="I296" s="989">
        <f>I$102</f>
        <v>566414.48</v>
      </c>
      <c r="J296" s="958">
        <f>+I296*$F$90</f>
        <v>385161.84640000004</v>
      </c>
      <c r="K296" s="958">
        <f>+(J296/H$296)</f>
        <v>24.78253167184987</v>
      </c>
      <c r="L296" s="958">
        <f>+(K296*E296)</f>
        <v>7.4347595015549608</v>
      </c>
      <c r="M296" s="947">
        <f t="shared" si="82"/>
        <v>0.38933381261089173</v>
      </c>
      <c r="N296" s="964">
        <f t="shared" si="83"/>
        <v>7.1616870834652619</v>
      </c>
      <c r="O296" s="960">
        <f t="shared" si="84"/>
        <v>7.1616870834652619</v>
      </c>
      <c r="Q296">
        <f>T30</f>
        <v>22.38</v>
      </c>
    </row>
    <row r="297" spans="1:119" x14ac:dyDescent="0.4">
      <c r="A297" s="939"/>
      <c r="B297" s="940"/>
      <c r="C297" s="987" t="str">
        <f>C$103</f>
        <v xml:space="preserve">3. Plant Effluent </v>
      </c>
      <c r="D297" s="987" t="str">
        <f>D$103</f>
        <v>Free Chlorine</v>
      </c>
      <c r="E297" s="956">
        <f>AA30</f>
        <v>1.5</v>
      </c>
      <c r="F297" s="956">
        <f>AM30</f>
        <v>7.8</v>
      </c>
      <c r="G297" s="965">
        <f>X30</f>
        <v>14.94</v>
      </c>
      <c r="H297" s="944">
        <f>(Q297*1000000)/1440</f>
        <v>15541.666666666666</v>
      </c>
      <c r="I297" s="989">
        <f>I$103</f>
        <v>14092</v>
      </c>
      <c r="J297" s="958">
        <f>+I297*$F$91</f>
        <v>14092</v>
      </c>
      <c r="K297" s="958">
        <f>+(J297/H$297)</f>
        <v>0.90672386058981236</v>
      </c>
      <c r="L297" s="958">
        <f>+(K297*E297)</f>
        <v>1.3600857908847186</v>
      </c>
      <c r="M297" s="947">
        <f t="shared" si="82"/>
        <v>3.5918251694082977E-2</v>
      </c>
      <c r="N297" s="964">
        <f t="shared" si="83"/>
        <v>1.1934075754612203</v>
      </c>
      <c r="O297" s="960">
        <f t="shared" si="84"/>
        <v>1.1934075754612203</v>
      </c>
      <c r="Q297">
        <f>T30</f>
        <v>22.38</v>
      </c>
    </row>
    <row r="298" spans="1:119" x14ac:dyDescent="0.4">
      <c r="A298" s="939"/>
      <c r="B298" s="940"/>
      <c r="C298" s="987" t="str">
        <f>C$104</f>
        <v>4. Clearwell #1</v>
      </c>
      <c r="D298" s="987" t="str">
        <f>D$104</f>
        <v>Free Chlorine</v>
      </c>
      <c r="E298" s="956">
        <f>AB30</f>
        <v>1.6</v>
      </c>
      <c r="F298" s="956">
        <f>AO30</f>
        <v>7.86</v>
      </c>
      <c r="G298" s="965">
        <f>X30</f>
        <v>14.94</v>
      </c>
      <c r="H298" s="944">
        <f>(Q298*1000000)/1440</f>
        <v>18000</v>
      </c>
      <c r="I298" s="957">
        <f>V30*145792</f>
        <v>1791783.68</v>
      </c>
      <c r="J298" s="958">
        <f>+I298*$K$89</f>
        <v>1254248.5759999999</v>
      </c>
      <c r="K298" s="958">
        <f>+(J298/H$298)</f>
        <v>69.680476444444437</v>
      </c>
      <c r="L298" s="958">
        <f>+(K298*E298)</f>
        <v>111.4887623111111</v>
      </c>
      <c r="M298" s="947">
        <f t="shared" si="82"/>
        <v>2.856429462737482</v>
      </c>
      <c r="N298" s="964">
        <f t="shared" si="83"/>
        <v>109.3932475380183</v>
      </c>
      <c r="O298" s="960">
        <f t="shared" si="84"/>
        <v>109.3932475380183</v>
      </c>
      <c r="Q298">
        <f>U30</f>
        <v>25.92</v>
      </c>
    </row>
    <row r="299" spans="1:119" x14ac:dyDescent="0.4">
      <c r="A299" s="939"/>
      <c r="B299" s="940"/>
      <c r="C299" s="987" t="str">
        <f>C$105</f>
        <v xml:space="preserve">5. Clearwells 2&amp;3 </v>
      </c>
      <c r="D299" s="987" t="str">
        <f>D$105</f>
        <v>Chloramine</v>
      </c>
      <c r="E299" s="956">
        <f>AF30</f>
        <v>0</v>
      </c>
      <c r="F299" s="956">
        <f>AQ30</f>
        <v>8.0500000000000007</v>
      </c>
      <c r="G299" s="965">
        <f>X30</f>
        <v>14.94</v>
      </c>
      <c r="H299" s="944">
        <f>(Q299*1000000)/1440</f>
        <v>18000</v>
      </c>
      <c r="I299" s="957">
        <f>W30*347599</f>
        <v>4331083.54</v>
      </c>
      <c r="J299" s="958">
        <f>+I299*$K$90</f>
        <v>2165541.77</v>
      </c>
      <c r="K299" s="958">
        <f>+(J299/H$299)</f>
        <v>120.30787611111111</v>
      </c>
      <c r="L299" s="958">
        <f>+(K299*E299)</f>
        <v>0</v>
      </c>
      <c r="M299" s="947">
        <f t="shared" si="82"/>
        <v>0</v>
      </c>
      <c r="N299" s="964">
        <f t="shared" si="83"/>
        <v>0.48346085932901706</v>
      </c>
      <c r="O299" s="960">
        <f t="shared" si="84"/>
        <v>0.48346085932901706</v>
      </c>
      <c r="Q299">
        <f>U30</f>
        <v>25.92</v>
      </c>
    </row>
    <row r="300" spans="1:119" x14ac:dyDescent="0.4">
      <c r="A300" s="939"/>
      <c r="B300" s="940"/>
      <c r="C300" s="987"/>
      <c r="D300" s="987"/>
      <c r="E300" s="956"/>
      <c r="F300" s="956"/>
      <c r="G300" s="965"/>
      <c r="H300" s="990"/>
      <c r="I300" s="989"/>
      <c r="J300" s="958"/>
      <c r="K300" s="958"/>
      <c r="L300" s="958"/>
      <c r="M300" s="947" t="str">
        <f t="shared" si="82"/>
        <v>Check Dsfctnt.</v>
      </c>
      <c r="N300" s="964" t="str">
        <f t="shared" si="83"/>
        <v>Check Dsfctnt.</v>
      </c>
      <c r="O300" s="960" t="str">
        <f t="shared" si="84"/>
        <v>Check Dsfctnt.</v>
      </c>
    </row>
    <row r="301" spans="1:119" x14ac:dyDescent="0.4">
      <c r="A301" s="966"/>
      <c r="B301" s="967"/>
      <c r="C301" s="968" t="str">
        <f>C$107</f>
        <v>System TOTAL</v>
      </c>
      <c r="D301" s="969"/>
      <c r="E301" s="970">
        <f>AVERAGE(E295:E298)</f>
        <v>1</v>
      </c>
      <c r="F301" s="970">
        <f>AVERAGE(F295:F298)</f>
        <v>7.17</v>
      </c>
      <c r="G301" s="970">
        <f>AVERAGE(G295:G298)</f>
        <v>14.94</v>
      </c>
      <c r="H301" s="971"/>
      <c r="I301" s="998"/>
      <c r="J301" s="972"/>
      <c r="K301" s="972"/>
      <c r="L301" s="970">
        <f>SUM(L295:L298)</f>
        <v>120.77838156601727</v>
      </c>
      <c r="M301" s="973">
        <f>SUM(M295:M300)</f>
        <v>3.3060623491668042</v>
      </c>
      <c r="N301" s="974">
        <f>SUM(N295:N300)</f>
        <v>118.57505421189133</v>
      </c>
      <c r="O301" s="975">
        <f>SUM(O295:O300)</f>
        <v>118.57505421189133</v>
      </c>
    </row>
    <row r="302" spans="1:119" s="449" customFormat="1" ht="4" customHeight="1" x14ac:dyDescent="0.4">
      <c r="A302" s="1001"/>
      <c r="B302" s="978"/>
      <c r="C302" s="978"/>
      <c r="D302" s="978"/>
      <c r="E302" s="979"/>
      <c r="F302" s="979"/>
      <c r="G302" s="979"/>
      <c r="H302" s="980"/>
      <c r="I302" s="999"/>
      <c r="J302" s="981"/>
      <c r="K302" s="981"/>
      <c r="L302" s="981"/>
      <c r="M302" s="982"/>
      <c r="N302" s="983"/>
      <c r="O302" s="984"/>
      <c r="CA302" s="1002"/>
      <c r="CB302" s="1002"/>
      <c r="CG302" s="1002"/>
      <c r="CK302" s="1003"/>
      <c r="CL302" s="1003"/>
      <c r="CM302" s="1002"/>
      <c r="CN302" s="1002"/>
      <c r="CO302" s="1004"/>
      <c r="CP302" s="1002"/>
      <c r="DA302" s="467"/>
      <c r="DB302" s="1002"/>
      <c r="DG302" s="836"/>
      <c r="DH302" s="889"/>
      <c r="DI302" s="889"/>
      <c r="DJ302" s="836"/>
      <c r="DK302" s="765"/>
      <c r="DL302" s="765"/>
      <c r="DM302" s="765"/>
      <c r="DN302" s="765"/>
      <c r="DO302" s="765"/>
    </row>
    <row r="303" spans="1:119" x14ac:dyDescent="0.4">
      <c r="A303" s="985">
        <v>25</v>
      </c>
      <c r="B303" s="986">
        <v>1</v>
      </c>
      <c r="C303" s="987" t="str">
        <f>C$101</f>
        <v xml:space="preserve">1. Filter Influent </v>
      </c>
      <c r="D303" s="987" t="str">
        <f>D$101</f>
        <v>Free Chlorine</v>
      </c>
      <c r="E303" s="942">
        <f>Y31</f>
        <v>0.4</v>
      </c>
      <c r="F303" s="942">
        <f>AI31</f>
        <v>6.39</v>
      </c>
      <c r="G303" s="965">
        <f>X31</f>
        <v>15.39</v>
      </c>
      <c r="H303" s="944">
        <f>(Q303*1000000)/1440</f>
        <v>15069.444444444445</v>
      </c>
      <c r="I303" s="989">
        <f>I$101</f>
        <v>91543</v>
      </c>
      <c r="J303" s="958">
        <f>+I303*$F$89</f>
        <v>12816.02</v>
      </c>
      <c r="K303" s="958">
        <f>+(J303/H$303)</f>
        <v>0.850464</v>
      </c>
      <c r="L303" s="958">
        <f>+(K303*E303)</f>
        <v>0.34018560000000003</v>
      </c>
      <c r="M303" s="947">
        <f t="shared" ref="M303:M308" si="85">IF(AND($D303="Free Chlorine",$E303&gt;0.4),$L303/(0.2828*($F303^2.69)*($E303^0.15)*(0.933^($G303-5))),IF(AND($D303="Free Chlorine",$E303&lt;=0.4),$L303/(0.2828*($F303^2.69)*(0.4^0.15)*(0.933^($G303-5))),IF(AND($D303="Chloramine",$G303&gt;1),$L303/(858.5-(24.3*$G303)),IF(AND($D303="Chloramine",$G303&lt;=1),$L303/(858.5-(24.3)),IF(AND($D303="Chlorine Dioxide",$G303&gt;1),(($L303*($G303^0.49))+0.18)/23.85,IF(AND($D303="Chlorine Dioxide",$G303&lt;=1),($L303+0.18)/23.85,IF($D303="Ozone",(($L303*EXP(0.072*$G303))-0.01)/0.98,"Check Dsfctnt.")))))))</f>
        <v>1.9322349586872529E-2</v>
      </c>
      <c r="N303" s="959">
        <f t="shared" ref="N303:N308" si="86">IF($D303="Free Chlorine",IF(F303&gt;9,(($L303*EXP(0.071*$G303))-0.21)/22.37,(($L303*EXP(0.071*$G303))-0.42)/2.94),IF($D303="Chloramine",(($L303*EXP(0.071*$G303))+410.7)/849.5,IF($D303="Chlorine Dioxide",(($L303*EXP(0.072*$G303))+35.15)/21.25,IF($D303="Ozone",(($L303*EXP(0.068*$G303))-0.01)/0.47,"Check Dsfctnt."))))</f>
        <v>0.20222130272128516</v>
      </c>
      <c r="O303" s="960">
        <f t="shared" ref="O303:O308" si="87">IF(N303&lt;0,0,N303)</f>
        <v>0.20222130272128516</v>
      </c>
      <c r="Q303">
        <f>T31</f>
        <v>21.7</v>
      </c>
    </row>
    <row r="304" spans="1:119" x14ac:dyDescent="0.4">
      <c r="A304" s="939"/>
      <c r="B304" s="940"/>
      <c r="C304" s="987" t="str">
        <f>C$102</f>
        <v>2. Filter&amp;Filter Eff.</v>
      </c>
      <c r="D304" s="987" t="str">
        <f>D$102</f>
        <v>Free Chlorine</v>
      </c>
      <c r="E304" s="956">
        <f>Z31</f>
        <v>0.35</v>
      </c>
      <c r="F304" s="956">
        <f>AK31</f>
        <v>6.31</v>
      </c>
      <c r="G304" s="965">
        <f>X31</f>
        <v>15.39</v>
      </c>
      <c r="H304" s="944">
        <f>(Q304*1000000)/1440</f>
        <v>15069.444444444445</v>
      </c>
      <c r="I304" s="989">
        <f>I$102</f>
        <v>566414.48</v>
      </c>
      <c r="J304" s="958">
        <f>+I304*$F$90</f>
        <v>385161.84640000004</v>
      </c>
      <c r="K304" s="958">
        <f>+(J304/H$304)</f>
        <v>25.559127134377881</v>
      </c>
      <c r="L304" s="958">
        <f>+(K304*E304)</f>
        <v>8.9456944970322585</v>
      </c>
      <c r="M304" s="947">
        <f t="shared" si="85"/>
        <v>0.52562547287542583</v>
      </c>
      <c r="N304" s="964">
        <f t="shared" si="86"/>
        <v>8.9315021235415184</v>
      </c>
      <c r="O304" s="960">
        <f t="shared" si="87"/>
        <v>8.9315021235415184</v>
      </c>
      <c r="Q304">
        <f>T31</f>
        <v>21.7</v>
      </c>
    </row>
    <row r="305" spans="1:119" x14ac:dyDescent="0.4">
      <c r="A305" s="939"/>
      <c r="B305" s="940"/>
      <c r="C305" s="987" t="str">
        <f>C$103</f>
        <v xml:space="preserve">3. Plant Effluent </v>
      </c>
      <c r="D305" s="987" t="str">
        <f>D$103</f>
        <v>Free Chlorine</v>
      </c>
      <c r="E305" s="956">
        <f>AA31</f>
        <v>1.8</v>
      </c>
      <c r="F305" s="956">
        <f>AM31</f>
        <v>7.62</v>
      </c>
      <c r="G305" s="965">
        <f>X31</f>
        <v>15.39</v>
      </c>
      <c r="H305" s="944">
        <f>(Q305*1000000)/1440</f>
        <v>15069.444444444445</v>
      </c>
      <c r="I305" s="989">
        <f>I$103</f>
        <v>14092</v>
      </c>
      <c r="J305" s="958">
        <f>+I305*$F$91</f>
        <v>14092</v>
      </c>
      <c r="K305" s="958">
        <f>+(J305/H$305)</f>
        <v>0.93513732718894005</v>
      </c>
      <c r="L305" s="958">
        <f>+(K305*E305)</f>
        <v>1.6832471889400922</v>
      </c>
      <c r="M305" s="947">
        <f t="shared" si="85"/>
        <v>4.7516940043664094E-2</v>
      </c>
      <c r="N305" s="964">
        <f t="shared" si="86"/>
        <v>1.5645999731516049</v>
      </c>
      <c r="O305" s="960">
        <f t="shared" si="87"/>
        <v>1.5645999731516049</v>
      </c>
      <c r="Q305">
        <f>T31</f>
        <v>21.7</v>
      </c>
    </row>
    <row r="306" spans="1:119" x14ac:dyDescent="0.4">
      <c r="A306" s="939"/>
      <c r="B306" s="940"/>
      <c r="C306" s="987" t="str">
        <f>C$104</f>
        <v>4. Clearwell #1</v>
      </c>
      <c r="D306" s="987" t="str">
        <f>D$104</f>
        <v>Free Chlorine</v>
      </c>
      <c r="E306" s="956">
        <f>AB31</f>
        <v>1.6</v>
      </c>
      <c r="F306" s="956">
        <f>AO31</f>
        <v>7.55</v>
      </c>
      <c r="G306" s="965">
        <f>X31</f>
        <v>15.39</v>
      </c>
      <c r="H306" s="944">
        <f>(Q306*1000000)/1440</f>
        <v>16805.555555555555</v>
      </c>
      <c r="I306" s="957">
        <f>V31*145792</f>
        <v>1788867.8399999999</v>
      </c>
      <c r="J306" s="958">
        <f>+I306*$K$89</f>
        <v>1252207.4879999999</v>
      </c>
      <c r="K306" s="958">
        <f>+(J306/H$306)</f>
        <v>74.511519947107431</v>
      </c>
      <c r="L306" s="958">
        <f>+(K306*E306)</f>
        <v>119.21843191537189</v>
      </c>
      <c r="M306" s="947">
        <f t="shared" si="85"/>
        <v>3.5115465046624768</v>
      </c>
      <c r="N306" s="964">
        <f t="shared" si="86"/>
        <v>120.79027809171532</v>
      </c>
      <c r="O306" s="960">
        <f t="shared" si="87"/>
        <v>120.79027809171532</v>
      </c>
      <c r="Q306">
        <f>U31</f>
        <v>24.2</v>
      </c>
    </row>
    <row r="307" spans="1:119" x14ac:dyDescent="0.4">
      <c r="A307" s="939"/>
      <c r="B307" s="940"/>
      <c r="C307" s="987" t="str">
        <f>C$105</f>
        <v xml:space="preserve">5. Clearwells 2&amp;3 </v>
      </c>
      <c r="D307" s="987" t="str">
        <f>D$105</f>
        <v>Chloramine</v>
      </c>
      <c r="E307" s="956">
        <f>AF31</f>
        <v>0</v>
      </c>
      <c r="F307" s="956">
        <f>AQ31</f>
        <v>7.73</v>
      </c>
      <c r="G307" s="965">
        <f>X31</f>
        <v>15.39</v>
      </c>
      <c r="H307" s="944">
        <f>(Q307*1000000)/1440</f>
        <v>16805.555555555555</v>
      </c>
      <c r="I307" s="957">
        <f>W31*347599</f>
        <v>4379747.3999999994</v>
      </c>
      <c r="J307" s="958">
        <f>+I307*$K$90</f>
        <v>2189873.6999999997</v>
      </c>
      <c r="K307" s="958">
        <f>+(J307/H$307)</f>
        <v>130.30653421487602</v>
      </c>
      <c r="L307" s="958">
        <f>+(K307*E307)</f>
        <v>0</v>
      </c>
      <c r="M307" s="947">
        <f t="shared" si="85"/>
        <v>0</v>
      </c>
      <c r="N307" s="964">
        <f t="shared" si="86"/>
        <v>0.48346085932901706</v>
      </c>
      <c r="O307" s="960">
        <f t="shared" si="87"/>
        <v>0.48346085932901706</v>
      </c>
      <c r="Q307">
        <f>U31</f>
        <v>24.2</v>
      </c>
    </row>
    <row r="308" spans="1:119" x14ac:dyDescent="0.4">
      <c r="A308" s="939"/>
      <c r="B308" s="940"/>
      <c r="C308" s="987"/>
      <c r="D308" s="987"/>
      <c r="E308" s="956"/>
      <c r="F308" s="956"/>
      <c r="G308" s="965"/>
      <c r="H308" s="990"/>
      <c r="I308" s="989"/>
      <c r="J308" s="958"/>
      <c r="K308" s="958"/>
      <c r="L308" s="958"/>
      <c r="M308" s="947" t="str">
        <f t="shared" si="85"/>
        <v>Check Dsfctnt.</v>
      </c>
      <c r="N308" s="964" t="str">
        <f t="shared" si="86"/>
        <v>Check Dsfctnt.</v>
      </c>
      <c r="O308" s="960" t="str">
        <f t="shared" si="87"/>
        <v>Check Dsfctnt.</v>
      </c>
    </row>
    <row r="309" spans="1:119" x14ac:dyDescent="0.4">
      <c r="A309" s="966"/>
      <c r="B309" s="967"/>
      <c r="C309" s="968" t="str">
        <f>C$107</f>
        <v>System TOTAL</v>
      </c>
      <c r="D309" s="969"/>
      <c r="E309" s="970">
        <f>AVERAGE(E303:E306)</f>
        <v>1.0375000000000001</v>
      </c>
      <c r="F309" s="970">
        <f>AVERAGE(F303:F306)</f>
        <v>6.9675000000000002</v>
      </c>
      <c r="G309" s="970">
        <f>AVERAGE(G303:G306)</f>
        <v>15.39</v>
      </c>
      <c r="H309" s="971"/>
      <c r="I309" s="998"/>
      <c r="J309" s="972"/>
      <c r="K309" s="972"/>
      <c r="L309" s="970">
        <f>SUM(L303:L306)</f>
        <v>130.18755920134424</v>
      </c>
      <c r="M309" s="973">
        <f>SUM(M303:M308)</f>
        <v>4.1040112671684392</v>
      </c>
      <c r="N309" s="974">
        <f>SUM(N303:N308)</f>
        <v>131.97206235045877</v>
      </c>
      <c r="O309" s="975">
        <f>SUM(O303:O308)</f>
        <v>131.97206235045877</v>
      </c>
    </row>
    <row r="310" spans="1:119" s="449" customFormat="1" ht="4" customHeight="1" x14ac:dyDescent="0.4">
      <c r="A310" s="1001"/>
      <c r="B310" s="978"/>
      <c r="C310" s="978"/>
      <c r="D310" s="978"/>
      <c r="E310" s="979"/>
      <c r="F310" s="979"/>
      <c r="G310" s="979"/>
      <c r="H310" s="980"/>
      <c r="I310" s="999"/>
      <c r="J310" s="981"/>
      <c r="K310" s="981"/>
      <c r="L310" s="981"/>
      <c r="M310" s="982"/>
      <c r="N310" s="983"/>
      <c r="O310" s="984"/>
      <c r="CA310" s="1002"/>
      <c r="CB310" s="1002"/>
      <c r="CG310" s="1002"/>
      <c r="CK310" s="1003"/>
      <c r="CL310" s="1003"/>
      <c r="CM310" s="1002"/>
      <c r="CN310" s="1002"/>
      <c r="CO310" s="1004"/>
      <c r="CP310" s="1002"/>
      <c r="DA310" s="467"/>
      <c r="DB310" s="1002"/>
      <c r="DG310" s="836"/>
      <c r="DH310" s="889"/>
      <c r="DI310" s="889"/>
      <c r="DJ310" s="836"/>
      <c r="DK310" s="765"/>
      <c r="DL310" s="765"/>
      <c r="DM310" s="765"/>
      <c r="DN310" s="765"/>
      <c r="DO310" s="765"/>
    </row>
    <row r="311" spans="1:119" x14ac:dyDescent="0.4">
      <c r="A311" s="985">
        <v>26</v>
      </c>
      <c r="B311" s="986">
        <v>1</v>
      </c>
      <c r="C311" s="987" t="str">
        <f>C$101</f>
        <v xml:space="preserve">1. Filter Influent </v>
      </c>
      <c r="D311" s="987" t="str">
        <f>D$101</f>
        <v>Free Chlorine</v>
      </c>
      <c r="E311" s="942">
        <f>Y32</f>
        <v>0.6</v>
      </c>
      <c r="F311" s="942">
        <f>AI32</f>
        <v>6.37</v>
      </c>
      <c r="G311" s="965">
        <f>X32</f>
        <v>15.7</v>
      </c>
      <c r="H311" s="944">
        <f>(Q311*1000000)/1440</f>
        <v>15312.5</v>
      </c>
      <c r="I311" s="989">
        <f>I$101</f>
        <v>91543</v>
      </c>
      <c r="J311" s="958">
        <f>+I311*$F$89</f>
        <v>12816.02</v>
      </c>
      <c r="K311" s="958">
        <f>+(J311/H$311)</f>
        <v>0.8369645714285715</v>
      </c>
      <c r="L311" s="958">
        <f>+(K311*E311)</f>
        <v>0.50217874285714292</v>
      </c>
      <c r="M311" s="947">
        <f t="shared" ref="M311:M316" si="88">IF(AND($D311="Free Chlorine",$E311&gt;0.4),$L311/(0.2828*($F311^2.69)*($E311^0.15)*(0.933^($G311-5))),IF(AND($D311="Free Chlorine",$E311&lt;=0.4),$L311/(0.2828*($F311^2.69)*(0.4^0.15)*(0.933^($G311-5))),IF(AND($D311="Chloramine",$G311&gt;1),$L311/(858.5-(24.3*$G311)),IF(AND($D311="Chloramine",$G311&lt;=1),$L311/(858.5-(24.3)),IF(AND($D311="Chlorine Dioxide",$G311&gt;1),(($L311*($G311^0.49))+0.18)/23.85,IF(AND($D311="Chlorine Dioxide",$G311&lt;=1),($L311+0.18)/23.85,IF($D311="Ozone",(($L311*EXP(0.072*$G311))-0.01)/0.98,"Check Dsfctnt.")))))))</f>
        <v>2.7655885685590832E-2</v>
      </c>
      <c r="N311" s="959">
        <f t="shared" ref="N311:N316" si="89">IF($D311="Free Chlorine",IF(F311&gt;9,(($L311*EXP(0.071*$G311))-0.21)/22.37,(($L311*EXP(0.071*$G311))-0.42)/2.94),IF($D311="Chloramine",(($L311*EXP(0.071*$G311))+410.7)/849.5,IF($D311="Chlorine Dioxide",(($L311*EXP(0.072*$G311))+35.15)/21.25,IF($D311="Ozone",(($L311*EXP(0.068*$G311))-0.01)/0.47,"Check Dsfctnt."))))</f>
        <v>0.3778805969020903</v>
      </c>
      <c r="O311" s="960">
        <f t="shared" ref="O311:O316" si="90">IF(N311&lt;0,0,N311)</f>
        <v>0.3778805969020903</v>
      </c>
      <c r="Q311">
        <f>T32</f>
        <v>22.05</v>
      </c>
    </row>
    <row r="312" spans="1:119" x14ac:dyDescent="0.4">
      <c r="A312" s="939"/>
      <c r="B312" s="940"/>
      <c r="C312" s="987" t="str">
        <f>C$102</f>
        <v>2. Filter&amp;Filter Eff.</v>
      </c>
      <c r="D312" s="987" t="str">
        <f>D$102</f>
        <v>Free Chlorine</v>
      </c>
      <c r="E312" s="956">
        <f>Z32</f>
        <v>0.2</v>
      </c>
      <c r="F312" s="956">
        <f>AK32</f>
        <v>6.4</v>
      </c>
      <c r="G312" s="965">
        <f>X32</f>
        <v>15.7</v>
      </c>
      <c r="H312" s="944">
        <f>(Q312*1000000)/1440</f>
        <v>15312.5</v>
      </c>
      <c r="I312" s="989">
        <f>I$102</f>
        <v>566414.48</v>
      </c>
      <c r="J312" s="958">
        <f>+I312*$F$90</f>
        <v>385161.84640000004</v>
      </c>
      <c r="K312" s="958">
        <f>+(J312/H$312)</f>
        <v>25.153426703673471</v>
      </c>
      <c r="L312" s="958">
        <f>+(K312*E312)</f>
        <v>5.0306853407346948</v>
      </c>
      <c r="M312" s="947">
        <f t="shared" si="88"/>
        <v>0.29072409816549405</v>
      </c>
      <c r="N312" s="964">
        <f t="shared" si="89"/>
        <v>5.0737470066325567</v>
      </c>
      <c r="O312" s="960">
        <f t="shared" si="90"/>
        <v>5.0737470066325567</v>
      </c>
      <c r="Q312">
        <f>T32</f>
        <v>22.05</v>
      </c>
    </row>
    <row r="313" spans="1:119" x14ac:dyDescent="0.4">
      <c r="A313" s="939"/>
      <c r="B313" s="940"/>
      <c r="C313" s="987" t="str">
        <f>C$103</f>
        <v xml:space="preserve">3. Plant Effluent </v>
      </c>
      <c r="D313" s="987" t="str">
        <f>D$103</f>
        <v>Free Chlorine</v>
      </c>
      <c r="E313" s="956">
        <f>AA32</f>
        <v>1.75</v>
      </c>
      <c r="F313" s="956">
        <f>AM32</f>
        <v>7.76</v>
      </c>
      <c r="G313" s="965">
        <f>X32</f>
        <v>15.7</v>
      </c>
      <c r="H313" s="944">
        <f>(Q313*1000000)/1440</f>
        <v>15312.5</v>
      </c>
      <c r="I313" s="989">
        <f>I$103</f>
        <v>14092</v>
      </c>
      <c r="J313" s="958">
        <f>+I313*$F$91</f>
        <v>14092</v>
      </c>
      <c r="K313" s="958">
        <f>+(J313/H$313)</f>
        <v>0.92029387755102043</v>
      </c>
      <c r="L313" s="958">
        <f>+(K313*E313)</f>
        <v>1.6105142857142858</v>
      </c>
      <c r="M313" s="947">
        <f t="shared" si="88"/>
        <v>4.4418905258253691E-2</v>
      </c>
      <c r="N313" s="964">
        <f t="shared" si="89"/>
        <v>1.5271768458801886</v>
      </c>
      <c r="O313" s="960">
        <f t="shared" si="90"/>
        <v>1.5271768458801886</v>
      </c>
      <c r="Q313">
        <f>T32</f>
        <v>22.05</v>
      </c>
    </row>
    <row r="314" spans="1:119" x14ac:dyDescent="0.4">
      <c r="A314" s="939"/>
      <c r="B314" s="940"/>
      <c r="C314" s="987" t="str">
        <f>C$104</f>
        <v>4. Clearwell #1</v>
      </c>
      <c r="D314" s="987" t="str">
        <f>D$104</f>
        <v>Free Chlorine</v>
      </c>
      <c r="E314" s="956">
        <f>AB32</f>
        <v>1.2</v>
      </c>
      <c r="F314" s="956">
        <f>AO32</f>
        <v>7.95</v>
      </c>
      <c r="G314" s="965">
        <f>X32</f>
        <v>15.7</v>
      </c>
      <c r="H314" s="944">
        <f>(Q314*1000000)/1440</f>
        <v>20013.888888888891</v>
      </c>
      <c r="I314" s="957">
        <f>V32*145792</f>
        <v>1974023.68</v>
      </c>
      <c r="J314" s="958">
        <f>+I314*$K$89</f>
        <v>1381816.5759999999</v>
      </c>
      <c r="K314" s="958">
        <f>+(J314/H$314)</f>
        <v>69.042882353920874</v>
      </c>
      <c r="L314" s="958">
        <f>+(K314*E314)</f>
        <v>82.851458824705048</v>
      </c>
      <c r="M314" s="947">
        <f t="shared" si="88"/>
        <v>2.2658043359614291</v>
      </c>
      <c r="N314" s="964">
        <f t="shared" si="89"/>
        <v>85.770539267881446</v>
      </c>
      <c r="O314" s="960">
        <f t="shared" si="90"/>
        <v>85.770539267881446</v>
      </c>
      <c r="Q314">
        <f>U32</f>
        <v>28.82</v>
      </c>
    </row>
    <row r="315" spans="1:119" x14ac:dyDescent="0.4">
      <c r="A315" s="939"/>
      <c r="B315" s="940"/>
      <c r="C315" s="987" t="str">
        <f>C$105</f>
        <v xml:space="preserve">5. Clearwells 2&amp;3 </v>
      </c>
      <c r="D315" s="987" t="str">
        <f>D$105</f>
        <v>Chloramine</v>
      </c>
      <c r="E315" s="956">
        <f>AF32</f>
        <v>0</v>
      </c>
      <c r="F315" s="956">
        <f>AQ32</f>
        <v>8</v>
      </c>
      <c r="G315" s="965">
        <f>X32</f>
        <v>15.7</v>
      </c>
      <c r="H315" s="944">
        <f>(Q315*1000000)/1440</f>
        <v>20013.888888888891</v>
      </c>
      <c r="I315" s="957">
        <f>W32*347599</f>
        <v>4838578.08</v>
      </c>
      <c r="J315" s="958">
        <f>+I315*$K$90</f>
        <v>2419289.04</v>
      </c>
      <c r="K315" s="958">
        <f>+(J315/H$315)</f>
        <v>120.88050720333101</v>
      </c>
      <c r="L315" s="958">
        <f>+(K315*E315)</f>
        <v>0</v>
      </c>
      <c r="M315" s="947">
        <f t="shared" si="88"/>
        <v>0</v>
      </c>
      <c r="N315" s="964">
        <f t="shared" si="89"/>
        <v>0.48346085932901706</v>
      </c>
      <c r="O315" s="960">
        <f t="shared" si="90"/>
        <v>0.48346085932901706</v>
      </c>
      <c r="Q315">
        <f>U32</f>
        <v>28.82</v>
      </c>
    </row>
    <row r="316" spans="1:119" x14ac:dyDescent="0.4">
      <c r="A316" s="939"/>
      <c r="B316" s="940"/>
      <c r="C316" s="987"/>
      <c r="D316" s="987"/>
      <c r="E316" s="956"/>
      <c r="F316" s="956"/>
      <c r="G316" s="965"/>
      <c r="H316" s="990"/>
      <c r="I316" s="989"/>
      <c r="J316" s="958"/>
      <c r="K316" s="958"/>
      <c r="L316" s="958"/>
      <c r="M316" s="947" t="str">
        <f t="shared" si="88"/>
        <v>Check Dsfctnt.</v>
      </c>
      <c r="N316" s="964" t="str">
        <f t="shared" si="89"/>
        <v>Check Dsfctnt.</v>
      </c>
      <c r="O316" s="960" t="str">
        <f t="shared" si="90"/>
        <v>Check Dsfctnt.</v>
      </c>
    </row>
    <row r="317" spans="1:119" x14ac:dyDescent="0.4">
      <c r="A317" s="966"/>
      <c r="B317" s="967"/>
      <c r="C317" s="968" t="str">
        <f>C$107</f>
        <v>System TOTAL</v>
      </c>
      <c r="D317" s="969"/>
      <c r="E317" s="970">
        <f>AVERAGE(E311:E314)</f>
        <v>0.9375</v>
      </c>
      <c r="F317" s="970">
        <f>AVERAGE(F311:F314)</f>
        <v>7.12</v>
      </c>
      <c r="G317" s="970">
        <f>AVERAGE(G311:G314)</f>
        <v>15.7</v>
      </c>
      <c r="H317" s="971"/>
      <c r="I317" s="998"/>
      <c r="J317" s="972"/>
      <c r="K317" s="972"/>
      <c r="L317" s="970">
        <f>SUM(L311:L314)</f>
        <v>89.994837194011168</v>
      </c>
      <c r="M317" s="973">
        <f>SUM(M311:M316)</f>
        <v>2.6286032250707678</v>
      </c>
      <c r="N317" s="974">
        <f>SUM(N311:N316)</f>
        <v>93.232804576625298</v>
      </c>
      <c r="O317" s="975">
        <f>SUM(O311:O316)</f>
        <v>93.232804576625298</v>
      </c>
    </row>
    <row r="318" spans="1:119" s="449" customFormat="1" ht="4" customHeight="1" x14ac:dyDescent="0.4">
      <c r="A318" s="1001"/>
      <c r="B318" s="978"/>
      <c r="C318" s="978"/>
      <c r="D318" s="978"/>
      <c r="E318" s="979"/>
      <c r="F318" s="979"/>
      <c r="G318" s="979"/>
      <c r="H318" s="980"/>
      <c r="I318" s="999"/>
      <c r="J318" s="981"/>
      <c r="K318" s="981"/>
      <c r="L318" s="981"/>
      <c r="M318" s="982"/>
      <c r="N318" s="983"/>
      <c r="O318" s="984"/>
      <c r="CA318" s="1002"/>
      <c r="CB318" s="1002"/>
      <c r="CG318" s="1002"/>
      <c r="CK318" s="1003"/>
      <c r="CL318" s="1003"/>
      <c r="CM318" s="1002"/>
      <c r="CN318" s="1002"/>
      <c r="CO318" s="1004"/>
      <c r="CP318" s="1002"/>
      <c r="DA318" s="467"/>
      <c r="DB318" s="1002"/>
      <c r="DG318" s="836"/>
      <c r="DH318" s="889"/>
      <c r="DI318" s="889"/>
      <c r="DJ318" s="836"/>
      <c r="DK318" s="765"/>
      <c r="DL318" s="765"/>
      <c r="DM318" s="765"/>
      <c r="DN318" s="765"/>
      <c r="DO318" s="765"/>
    </row>
    <row r="319" spans="1:119" x14ac:dyDescent="0.4">
      <c r="A319" s="985">
        <v>27</v>
      </c>
      <c r="B319" s="986">
        <v>1</v>
      </c>
      <c r="C319" s="987" t="str">
        <f>C$101</f>
        <v xml:space="preserve">1. Filter Influent </v>
      </c>
      <c r="D319" s="987" t="str">
        <f>D$101</f>
        <v>Free Chlorine</v>
      </c>
      <c r="E319" s="942">
        <f>Y33</f>
        <v>0.6</v>
      </c>
      <c r="F319" s="942">
        <f>AI33</f>
        <v>6.43</v>
      </c>
      <c r="G319" s="965">
        <f>X33</f>
        <v>15.7</v>
      </c>
      <c r="H319" s="944">
        <f>(Q319*1000000)/1440</f>
        <v>16472.222222222223</v>
      </c>
      <c r="I319" s="989">
        <f>I$101</f>
        <v>91543</v>
      </c>
      <c r="J319" s="958">
        <f>+I319*$F$89</f>
        <v>12816.02</v>
      </c>
      <c r="K319" s="958">
        <f>+(J319/H$319)</f>
        <v>0.77803831365935916</v>
      </c>
      <c r="L319" s="958">
        <f>+(K319*E319)</f>
        <v>0.46682298819561546</v>
      </c>
      <c r="M319" s="947">
        <f t="shared" ref="M319:M324" si="91">IF(AND($D319="Free Chlorine",$E319&gt;0.4),$L319/(0.2828*($F319^2.69)*($E319^0.15)*(0.933^($G319-5))),IF(AND($D319="Free Chlorine",$E319&lt;=0.4),$L319/(0.2828*($F319^2.69)*(0.4^0.15)*(0.933^($G319-5))),IF(AND($D319="Chloramine",$G319&gt;1),$L319/(858.5-(24.3*$G319)),IF(AND($D319="Chloramine",$G319&lt;=1),$L319/(858.5-(24.3)),IF(AND($D319="Chlorine Dioxide",$G319&gt;1),(($L319*($G319^0.49))+0.18)/23.85,IF(AND($D319="Chlorine Dioxide",$G319&lt;=1),($L319+0.18)/23.85,IF($D319="Ozone",(($L319*EXP(0.072*$G319))-0.01)/0.98,"Check Dsfctnt.")))))))</f>
        <v>2.5068539716387488E-2</v>
      </c>
      <c r="N319" s="964">
        <f t="shared" ref="N319:N324" si="92">IF($D319="Free Chlorine",IF(F319&gt;9,(($L319*EXP(0.071*$G319))-0.21)/22.37,(($L319*EXP(0.071*$G319))-0.42)/2.94),IF($D319="Chloramine",(($L319*EXP(0.071*$G319))+410.7)/849.5,IF($D319="Chlorine Dioxide",(($L319*EXP(0.072*$G319))+35.15)/21.25,IF($D319="Ozone",(($L319*EXP(0.068*$G319))-0.01)/0.47,"Check Dsfctnt."))))</f>
        <v>0.34121820122764163</v>
      </c>
      <c r="O319" s="960">
        <f t="shared" ref="O319:O324" si="93">IF(N319&lt;0,0,N319)</f>
        <v>0.34121820122764163</v>
      </c>
      <c r="Q319">
        <f>T33</f>
        <v>23.72</v>
      </c>
    </row>
    <row r="320" spans="1:119" x14ac:dyDescent="0.4">
      <c r="A320" s="939"/>
      <c r="B320" s="940"/>
      <c r="C320" s="987" t="str">
        <f>C$102</f>
        <v>2. Filter&amp;Filter Eff.</v>
      </c>
      <c r="D320" s="987" t="str">
        <f>D$102</f>
        <v>Free Chlorine</v>
      </c>
      <c r="E320" s="956">
        <f>Z33</f>
        <v>0.3</v>
      </c>
      <c r="F320" s="956">
        <f>AK33</f>
        <v>6.49</v>
      </c>
      <c r="G320" s="965">
        <f>X33</f>
        <v>15.7</v>
      </c>
      <c r="H320" s="944">
        <f>(Q320*1000000)/1440</f>
        <v>16472.222222222223</v>
      </c>
      <c r="I320" s="989">
        <f>I$102</f>
        <v>566414.48</v>
      </c>
      <c r="J320" s="958">
        <f>+I320*$F$90</f>
        <v>385161.84640000004</v>
      </c>
      <c r="K320" s="958">
        <f>+(J320/H$320)</f>
        <v>23.382506695446882</v>
      </c>
      <c r="L320" s="958">
        <f>+(K320*E320)</f>
        <v>7.0147520086340647</v>
      </c>
      <c r="M320" s="947">
        <f t="shared" si="91"/>
        <v>0.3904380146869168</v>
      </c>
      <c r="N320" s="964">
        <f t="shared" si="92"/>
        <v>7.1311387359106391</v>
      </c>
      <c r="O320" s="960">
        <f t="shared" si="93"/>
        <v>7.1311387359106391</v>
      </c>
      <c r="Q320">
        <f>T33</f>
        <v>23.72</v>
      </c>
    </row>
    <row r="321" spans="1:119" x14ac:dyDescent="0.4">
      <c r="A321" s="939"/>
      <c r="B321" s="940"/>
      <c r="C321" s="987" t="str">
        <f>C$103</f>
        <v xml:space="preserve">3. Plant Effluent </v>
      </c>
      <c r="D321" s="987" t="str">
        <f>D$103</f>
        <v>Free Chlorine</v>
      </c>
      <c r="E321" s="956">
        <f>AA33</f>
        <v>1.8</v>
      </c>
      <c r="F321" s="956">
        <f>AM33</f>
        <v>7.84</v>
      </c>
      <c r="G321" s="965">
        <f>X33</f>
        <v>15.7</v>
      </c>
      <c r="H321" s="944">
        <f>(Q321*1000000)/1440</f>
        <v>16472.222222222223</v>
      </c>
      <c r="I321" s="989">
        <f>I$103</f>
        <v>14092</v>
      </c>
      <c r="J321" s="958">
        <f>+I321*$F$91</f>
        <v>14092</v>
      </c>
      <c r="K321" s="958">
        <f>+(J321/H$321)</f>
        <v>0.85550084317032038</v>
      </c>
      <c r="L321" s="958">
        <f>+(K321*E321)</f>
        <v>1.5399015177065767</v>
      </c>
      <c r="M321" s="947">
        <f t="shared" si="91"/>
        <v>4.1141381357474464E-2</v>
      </c>
      <c r="N321" s="964">
        <f t="shared" si="92"/>
        <v>1.453954445024926</v>
      </c>
      <c r="O321" s="960">
        <f t="shared" si="93"/>
        <v>1.453954445024926</v>
      </c>
      <c r="Q321">
        <f>T33</f>
        <v>23.72</v>
      </c>
    </row>
    <row r="322" spans="1:119" x14ac:dyDescent="0.4">
      <c r="A322" s="939"/>
      <c r="B322" s="940"/>
      <c r="C322" s="987" t="str">
        <f>C$104</f>
        <v>4. Clearwell #1</v>
      </c>
      <c r="D322" s="987" t="str">
        <f>D$104</f>
        <v>Free Chlorine</v>
      </c>
      <c r="E322" s="956">
        <f>AB33</f>
        <v>1.3</v>
      </c>
      <c r="F322" s="956">
        <f>AO33</f>
        <v>8.02</v>
      </c>
      <c r="G322" s="965">
        <f>X33</f>
        <v>15.7</v>
      </c>
      <c r="H322" s="944">
        <f>(Q322*1000000)/1440</f>
        <v>18173.611111111109</v>
      </c>
      <c r="I322" s="957">
        <f>V33*145792</f>
        <v>1858848</v>
      </c>
      <c r="J322" s="958">
        <f>+I322*$K$89</f>
        <v>1301193.5999999999</v>
      </c>
      <c r="K322" s="958">
        <f>+(J322/H$322)</f>
        <v>71.59796652655713</v>
      </c>
      <c r="L322" s="958">
        <f>+(K322*E322)</f>
        <v>93.077356484524273</v>
      </c>
      <c r="M322" s="947">
        <f t="shared" si="91"/>
        <v>2.4564645073099869</v>
      </c>
      <c r="N322" s="964">
        <f t="shared" si="92"/>
        <v>96.374354961247676</v>
      </c>
      <c r="O322" s="960">
        <f t="shared" si="93"/>
        <v>96.374354961247676</v>
      </c>
      <c r="Q322">
        <f>U33</f>
        <v>26.17</v>
      </c>
    </row>
    <row r="323" spans="1:119" x14ac:dyDescent="0.4">
      <c r="A323" s="939"/>
      <c r="B323" s="940"/>
      <c r="C323" s="987" t="str">
        <f>C$105</f>
        <v xml:space="preserve">5. Clearwells 2&amp;3 </v>
      </c>
      <c r="D323" s="987" t="str">
        <f>D$105</f>
        <v>Chloramine</v>
      </c>
      <c r="E323" s="956">
        <f>AF33</f>
        <v>0</v>
      </c>
      <c r="F323" s="956">
        <f>AQ33</f>
        <v>8.09</v>
      </c>
      <c r="G323" s="965">
        <f>X33</f>
        <v>15.7</v>
      </c>
      <c r="H323" s="944">
        <f>(Q323*1000000)/1440</f>
        <v>18173.611111111109</v>
      </c>
      <c r="I323" s="957">
        <f>W33*347599</f>
        <v>4313703.59</v>
      </c>
      <c r="J323" s="958">
        <f>+I323*$K$90</f>
        <v>2156851.7949999999</v>
      </c>
      <c r="K323" s="958">
        <f>+(J323/H$323)</f>
        <v>118.68041974780283</v>
      </c>
      <c r="L323" s="958">
        <f>+(K323*E323)</f>
        <v>0</v>
      </c>
      <c r="M323" s="947">
        <f t="shared" si="91"/>
        <v>0</v>
      </c>
      <c r="N323" s="964">
        <f t="shared" si="92"/>
        <v>0.48346085932901706</v>
      </c>
      <c r="O323" s="960">
        <f t="shared" si="93"/>
        <v>0.48346085932901706</v>
      </c>
      <c r="Q323">
        <f>U33</f>
        <v>26.17</v>
      </c>
    </row>
    <row r="324" spans="1:119" x14ac:dyDescent="0.4">
      <c r="A324" s="939"/>
      <c r="B324" s="940"/>
      <c r="C324" s="987"/>
      <c r="D324" s="987"/>
      <c r="E324" s="956"/>
      <c r="F324" s="956"/>
      <c r="G324" s="965"/>
      <c r="H324" s="990"/>
      <c r="I324" s="989"/>
      <c r="J324" s="958"/>
      <c r="K324" s="958"/>
      <c r="L324" s="958"/>
      <c r="M324" s="947" t="str">
        <f t="shared" si="91"/>
        <v>Check Dsfctnt.</v>
      </c>
      <c r="N324" s="964" t="str">
        <f t="shared" si="92"/>
        <v>Check Dsfctnt.</v>
      </c>
      <c r="O324" s="960" t="str">
        <f t="shared" si="93"/>
        <v>Check Dsfctnt.</v>
      </c>
    </row>
    <row r="325" spans="1:119" x14ac:dyDescent="0.4">
      <c r="A325" s="966"/>
      <c r="B325" s="967"/>
      <c r="C325" s="968" t="str">
        <f>C$107</f>
        <v>System TOTAL</v>
      </c>
      <c r="D325" s="969"/>
      <c r="E325" s="970">
        <f>AVERAGE(E319:E322)</f>
        <v>1</v>
      </c>
      <c r="F325" s="970">
        <f>AVERAGE(F319:F322)</f>
        <v>7.1949999999999994</v>
      </c>
      <c r="G325" s="970">
        <f>AVERAGE(G319:G322)</f>
        <v>15.7</v>
      </c>
      <c r="H325" s="971"/>
      <c r="I325" s="998"/>
      <c r="J325" s="972"/>
      <c r="K325" s="972"/>
      <c r="L325" s="970">
        <f>SUM(L319:L322)</f>
        <v>102.09883299906053</v>
      </c>
      <c r="M325" s="973">
        <f>SUM(M319:M324)</f>
        <v>2.9131124430707658</v>
      </c>
      <c r="N325" s="974">
        <f>SUM(N319:N324)</f>
        <v>105.7841272027399</v>
      </c>
      <c r="O325" s="975">
        <f>SUM(O319:O324)</f>
        <v>105.7841272027399</v>
      </c>
    </row>
    <row r="326" spans="1:119" s="449" customFormat="1" ht="4" customHeight="1" x14ac:dyDescent="0.4">
      <c r="A326" s="1001"/>
      <c r="B326" s="978"/>
      <c r="C326" s="978"/>
      <c r="D326" s="978"/>
      <c r="E326" s="979"/>
      <c r="F326" s="979"/>
      <c r="G326" s="979"/>
      <c r="H326" s="980"/>
      <c r="I326" s="999"/>
      <c r="J326" s="981"/>
      <c r="K326" s="981"/>
      <c r="L326" s="981"/>
      <c r="M326" s="982"/>
      <c r="N326" s="983"/>
      <c r="O326" s="984"/>
      <c r="CA326" s="1002"/>
      <c r="CB326" s="1002"/>
      <c r="CG326" s="1002"/>
      <c r="CK326" s="1003"/>
      <c r="CL326" s="1003"/>
      <c r="CM326" s="1002"/>
      <c r="CN326" s="1002"/>
      <c r="CO326" s="1004"/>
      <c r="CP326" s="1002"/>
      <c r="DA326" s="467"/>
      <c r="DB326" s="1002"/>
      <c r="DG326" s="836"/>
      <c r="DH326" s="889"/>
      <c r="DI326" s="889"/>
      <c r="DJ326" s="836"/>
      <c r="DK326" s="765"/>
      <c r="DL326" s="765"/>
      <c r="DM326" s="765"/>
      <c r="DN326" s="765"/>
      <c r="DO326" s="765"/>
    </row>
    <row r="327" spans="1:119" x14ac:dyDescent="0.4">
      <c r="A327" s="985">
        <v>28</v>
      </c>
      <c r="B327" s="986">
        <v>1</v>
      </c>
      <c r="C327" s="987" t="str">
        <f>C$101</f>
        <v xml:space="preserve">1. Filter Influent </v>
      </c>
      <c r="D327" s="987" t="str">
        <f>D$101</f>
        <v>Free Chlorine</v>
      </c>
      <c r="E327" s="942">
        <f>Y34</f>
        <v>0.6</v>
      </c>
      <c r="F327" s="942">
        <f>AI34</f>
        <v>6.39</v>
      </c>
      <c r="G327" s="965">
        <f>X34</f>
        <v>15.76</v>
      </c>
      <c r="H327" s="944">
        <f>(Q327*1000000)/1440</f>
        <v>17666.666666666668</v>
      </c>
      <c r="I327" s="989">
        <f>I$101</f>
        <v>91543</v>
      </c>
      <c r="J327" s="958">
        <f>+I327*$F$89</f>
        <v>12816.02</v>
      </c>
      <c r="K327" s="958">
        <f>+(J327/H$327)</f>
        <v>0.72543509433962261</v>
      </c>
      <c r="L327" s="958">
        <f>+(K327*E327)</f>
        <v>0.43526105660377357</v>
      </c>
      <c r="M327" s="947">
        <f t="shared" ref="M327:M332" si="94">IF(AND($D327="Free Chlorine",$E327&gt;0.4),$L327/(0.2828*($F327^2.69)*($E327^0.15)*(0.933^($G327-5))),IF(AND($D327="Free Chlorine",$E327&lt;=0.4),$L327/(0.2828*($F327^2.69)*(0.4^0.15)*(0.933^($G327-5))),IF(AND($D327="Chloramine",$G327&gt;1),$L327/(858.5-(24.3*$G327)),IF(AND($D327="Chloramine",$G327&lt;=1),$L327/(858.5-(24.3)),IF(AND($D327="Chlorine Dioxide",$G327&gt;1),(($L327*($G327^0.49))+0.18)/23.85,IF(AND($D327="Chlorine Dioxide",$G327&lt;=1),($L327+0.18)/23.85,IF($D327="Ozone",(($L327*EXP(0.072*$G327))-0.01)/0.98,"Check Dsfctnt.")))))))</f>
        <v>2.3868433896348695E-2</v>
      </c>
      <c r="N327" s="959">
        <f t="shared" ref="N327:N332" si="95">IF($D327="Free Chlorine",IF(F327&gt;9,(($L327*EXP(0.071*$G327))-0.21)/22.37,(($L327*EXP(0.071*$G327))-0.42)/2.94),IF($D327="Chloramine",(($L327*EXP(0.071*$G327))+410.7)/849.5,IF($D327="Chlorine Dioxide",(($L327*EXP(0.072*$G327))+35.15)/21.25,IF($D327="Ozone",(($L327*EXP(0.068*$G327))-0.01)/0.47,"Check Dsfctnt."))))</f>
        <v>0.31041667615622331</v>
      </c>
      <c r="O327" s="960">
        <f t="shared" ref="O327:O332" si="96">IF(N327&lt;0,0,N327)</f>
        <v>0.31041667615622331</v>
      </c>
      <c r="Q327">
        <f>T34</f>
        <v>25.44</v>
      </c>
    </row>
    <row r="328" spans="1:119" x14ac:dyDescent="0.4">
      <c r="A328" s="939"/>
      <c r="B328" s="940"/>
      <c r="C328" s="987" t="str">
        <f>C$102</f>
        <v>2. Filter&amp;Filter Eff.</v>
      </c>
      <c r="D328" s="987" t="str">
        <f>D$102</f>
        <v>Free Chlorine</v>
      </c>
      <c r="E328" s="956">
        <f>Z34</f>
        <v>0.2</v>
      </c>
      <c r="F328" s="956">
        <f>AK34</f>
        <v>6.46</v>
      </c>
      <c r="G328" s="965">
        <f>X34</f>
        <v>15.76</v>
      </c>
      <c r="H328" s="944">
        <f>(Q328*1000000)/1440</f>
        <v>17666.666666666668</v>
      </c>
      <c r="I328" s="989">
        <f>I$102</f>
        <v>566414.48</v>
      </c>
      <c r="J328" s="958">
        <f>+I328*$F$90</f>
        <v>385161.84640000004</v>
      </c>
      <c r="K328" s="958">
        <f>+(J328/H$328)</f>
        <v>21.801613947169812</v>
      </c>
      <c r="L328" s="958">
        <f>+(K328*E328)</f>
        <v>4.3603227894339627</v>
      </c>
      <c r="M328" s="947">
        <f t="shared" si="94"/>
        <v>0.24676199731784002</v>
      </c>
      <c r="N328" s="964">
        <f t="shared" si="95"/>
        <v>4.3979124318877867</v>
      </c>
      <c r="O328" s="960">
        <f t="shared" si="96"/>
        <v>4.3979124318877867</v>
      </c>
      <c r="Q328">
        <f>T34</f>
        <v>25.44</v>
      </c>
    </row>
    <row r="329" spans="1:119" x14ac:dyDescent="0.4">
      <c r="A329" s="939"/>
      <c r="B329" s="940"/>
      <c r="C329" s="987" t="str">
        <f>C$103</f>
        <v xml:space="preserve">3. Plant Effluent </v>
      </c>
      <c r="D329" s="987" t="str">
        <f>D$103</f>
        <v>Free Chlorine</v>
      </c>
      <c r="E329" s="956">
        <f>AA34</f>
        <v>1.7</v>
      </c>
      <c r="F329" s="956">
        <f>AM34</f>
        <v>7.67</v>
      </c>
      <c r="G329" s="965">
        <f>X34</f>
        <v>15.76</v>
      </c>
      <c r="H329" s="944">
        <f>(Q329*1000000)/1440</f>
        <v>17666.666666666668</v>
      </c>
      <c r="I329" s="989">
        <f>I$103</f>
        <v>14092</v>
      </c>
      <c r="J329" s="958">
        <f>+I329*$F$91</f>
        <v>14092</v>
      </c>
      <c r="K329" s="958">
        <f>+(J329/H$329)</f>
        <v>0.79766037735849049</v>
      </c>
      <c r="L329" s="958">
        <f>+(K329*E329)</f>
        <v>1.3560226415094339</v>
      </c>
      <c r="M329" s="947">
        <f t="shared" si="94"/>
        <v>3.8921913392462745E-2</v>
      </c>
      <c r="N329" s="964">
        <f t="shared" si="95"/>
        <v>1.2692828868103883</v>
      </c>
      <c r="O329" s="960">
        <f t="shared" si="96"/>
        <v>1.2692828868103883</v>
      </c>
      <c r="Q329">
        <f>T34</f>
        <v>25.44</v>
      </c>
    </row>
    <row r="330" spans="1:119" x14ac:dyDescent="0.4">
      <c r="A330" s="939"/>
      <c r="B330" s="940"/>
      <c r="C330" s="987" t="str">
        <f>C$104</f>
        <v>4. Clearwell #1</v>
      </c>
      <c r="D330" s="987" t="str">
        <f>D$104</f>
        <v>Free Chlorine</v>
      </c>
      <c r="E330" s="956">
        <f>AB34</f>
        <v>1.4</v>
      </c>
      <c r="F330" s="956">
        <f>AO34</f>
        <v>7.79</v>
      </c>
      <c r="G330" s="965">
        <f>X34</f>
        <v>15.76</v>
      </c>
      <c r="H330" s="944">
        <f>(Q330*1000000)/1440</f>
        <v>17895.833333333332</v>
      </c>
      <c r="I330" s="957">
        <f>V34*145792</f>
        <v>1756793.6</v>
      </c>
      <c r="J330" s="958">
        <f>+I330*$K$89</f>
        <v>1229755.52</v>
      </c>
      <c r="K330" s="958">
        <f>+(J330/H$330)</f>
        <v>68.717421373690343</v>
      </c>
      <c r="L330" s="958">
        <f>+(K330*E330)</f>
        <v>96.204389923166474</v>
      </c>
      <c r="M330" s="947">
        <f t="shared" si="94"/>
        <v>2.7266791141832494</v>
      </c>
      <c r="N330" s="964">
        <f t="shared" si="95"/>
        <v>100.04283731503432</v>
      </c>
      <c r="O330" s="960">
        <f t="shared" si="96"/>
        <v>100.04283731503432</v>
      </c>
      <c r="Q330">
        <f>U34</f>
        <v>25.77</v>
      </c>
    </row>
    <row r="331" spans="1:119" x14ac:dyDescent="0.4">
      <c r="A331" s="939"/>
      <c r="B331" s="940"/>
      <c r="C331" s="987" t="str">
        <f>C$105</f>
        <v xml:space="preserve">5. Clearwells 2&amp;3 </v>
      </c>
      <c r="D331" s="987" t="str">
        <f>D$105</f>
        <v>Chloramine</v>
      </c>
      <c r="E331" s="956">
        <f>AF34</f>
        <v>0</v>
      </c>
      <c r="F331" s="956">
        <f>AQ34</f>
        <v>7.83</v>
      </c>
      <c r="G331" s="965">
        <f>X34</f>
        <v>15.76</v>
      </c>
      <c r="H331" s="944">
        <f>(Q331*1000000)/1440</f>
        <v>17895.833333333332</v>
      </c>
      <c r="I331" s="957">
        <f>W34*347599</f>
        <v>4237231.8099999996</v>
      </c>
      <c r="J331" s="958">
        <f>+I331*$K$90</f>
        <v>2118615.9049999998</v>
      </c>
      <c r="K331" s="958">
        <f>+(J331/H$331)</f>
        <v>118.38598770663562</v>
      </c>
      <c r="L331" s="958">
        <f>+(K331*E331)</f>
        <v>0</v>
      </c>
      <c r="M331" s="947">
        <f t="shared" si="94"/>
        <v>0</v>
      </c>
      <c r="N331" s="964">
        <f t="shared" si="95"/>
        <v>0.48346085932901706</v>
      </c>
      <c r="O331" s="960">
        <f t="shared" si="96"/>
        <v>0.48346085932901706</v>
      </c>
      <c r="Q331">
        <f>U34</f>
        <v>25.77</v>
      </c>
    </row>
    <row r="332" spans="1:119" x14ac:dyDescent="0.4">
      <c r="A332" s="939"/>
      <c r="B332" s="940"/>
      <c r="C332" s="987"/>
      <c r="D332" s="987"/>
      <c r="E332" s="956"/>
      <c r="F332" s="956"/>
      <c r="G332" s="965"/>
      <c r="H332" s="990"/>
      <c r="I332" s="989"/>
      <c r="J332" s="958"/>
      <c r="K332" s="958"/>
      <c r="L332" s="958"/>
      <c r="M332" s="947" t="str">
        <f t="shared" si="94"/>
        <v>Check Dsfctnt.</v>
      </c>
      <c r="N332" s="964" t="str">
        <f t="shared" si="95"/>
        <v>Check Dsfctnt.</v>
      </c>
      <c r="O332" s="960" t="str">
        <f t="shared" si="96"/>
        <v>Check Dsfctnt.</v>
      </c>
    </row>
    <row r="333" spans="1:119" x14ac:dyDescent="0.4">
      <c r="A333" s="966"/>
      <c r="B333" s="967"/>
      <c r="C333" s="968" t="str">
        <f>C$107</f>
        <v>System TOTAL</v>
      </c>
      <c r="D333" s="969"/>
      <c r="E333" s="970">
        <f>AVERAGE(E327:E330)</f>
        <v>0.97499999999999998</v>
      </c>
      <c r="F333" s="970">
        <f>AVERAGE(F327:F330)</f>
        <v>7.0774999999999997</v>
      </c>
      <c r="G333" s="970">
        <f>AVERAGE(G327:G330)</f>
        <v>15.76</v>
      </c>
      <c r="H333" s="971"/>
      <c r="I333" s="998"/>
      <c r="J333" s="972"/>
      <c r="K333" s="972"/>
      <c r="L333" s="1063">
        <f>SUM(L327:L330)</f>
        <v>102.35599641071364</v>
      </c>
      <c r="M333" s="973">
        <f>SUM(M327:M332)</f>
        <v>3.0362314587899011</v>
      </c>
      <c r="N333" s="974">
        <f>SUM(N327:N332)</f>
        <v>106.50391016921773</v>
      </c>
      <c r="O333" s="975">
        <f>SUM(O327:O332)</f>
        <v>106.50391016921773</v>
      </c>
    </row>
    <row r="334" spans="1:119" s="449" customFormat="1" ht="4" customHeight="1" x14ac:dyDescent="0.4">
      <c r="A334" s="1001"/>
      <c r="B334" s="978"/>
      <c r="C334" s="978"/>
      <c r="D334" s="978"/>
      <c r="E334" s="979"/>
      <c r="F334" s="979"/>
      <c r="G334" s="979"/>
      <c r="H334" s="980"/>
      <c r="I334" s="999"/>
      <c r="J334" s="981"/>
      <c r="K334" s="981"/>
      <c r="L334" s="981"/>
      <c r="M334" s="982"/>
      <c r="N334" s="983"/>
      <c r="O334" s="984"/>
      <c r="CA334" s="1002"/>
      <c r="CB334" s="1002"/>
      <c r="CG334" s="1002"/>
      <c r="CK334" s="1003"/>
      <c r="CL334" s="1003"/>
      <c r="CM334" s="1002"/>
      <c r="CN334" s="1002"/>
      <c r="CO334" s="1004"/>
      <c r="CP334" s="1002"/>
      <c r="DA334" s="467"/>
      <c r="DB334" s="1002"/>
      <c r="DG334" s="836"/>
      <c r="DH334" s="889"/>
      <c r="DI334" s="889"/>
      <c r="DJ334" s="836"/>
      <c r="DK334" s="765"/>
      <c r="DL334" s="765"/>
      <c r="DM334" s="765"/>
      <c r="DN334" s="765"/>
      <c r="DO334" s="765"/>
    </row>
    <row r="335" spans="1:119" x14ac:dyDescent="0.4">
      <c r="A335" s="985">
        <v>29</v>
      </c>
      <c r="B335" s="986">
        <v>1</v>
      </c>
      <c r="C335" s="987" t="str">
        <f>C$101</f>
        <v xml:space="preserve">1. Filter Influent </v>
      </c>
      <c r="D335" s="987" t="str">
        <f>D$101</f>
        <v>Free Chlorine</v>
      </c>
      <c r="E335" s="942">
        <f>Y35</f>
        <v>0.6</v>
      </c>
      <c r="F335" s="942">
        <f>AI35</f>
        <v>6.43</v>
      </c>
      <c r="G335" s="965">
        <f>X35</f>
        <v>16.11</v>
      </c>
      <c r="H335" s="944">
        <f>(Q335*1000000)/1440</f>
        <v>15263.888888888889</v>
      </c>
      <c r="I335" s="989">
        <f>I$101</f>
        <v>91543</v>
      </c>
      <c r="J335" s="958">
        <f>+I335*$F$89</f>
        <v>12816.02</v>
      </c>
      <c r="K335" s="958">
        <f>+(J335/H$335)</f>
        <v>0.83963006369426751</v>
      </c>
      <c r="L335" s="958">
        <f>+(K335*E335)</f>
        <v>0.50377803821656053</v>
      </c>
      <c r="M335" s="947">
        <f t="shared" ref="M335:M340" si="97">IF(AND($D335="Free Chlorine",$E335&gt;0.4),$L335/(0.2828*($F335^2.69)*($E335^0.15)*(0.933^($G335-5))),IF(AND($D335="Free Chlorine",$E335&lt;=0.4),$L335/(0.2828*($F335^2.69)*(0.4^0.15)*(0.933^($G335-5))),IF(AND($D335="Chloramine",$G335&gt;1),$L335/(858.5-(24.3*$G335)),IF(AND($D335="Chloramine",$G335&lt;=1),$L335/(858.5-(24.3)),IF(AND($D335="Chlorine Dioxide",$G335&gt;1),(($L335*($G335^0.49))+0.18)/23.85,IF(AND($D335="Chlorine Dioxide",$G335&lt;=1),($L335+0.18)/23.85,IF($D335="Ozone",(($L335*EXP(0.072*$G335))-0.01)/0.98,"Check Dsfctnt.")))))))</f>
        <v>2.7833290921625901E-2</v>
      </c>
      <c r="N335" s="959">
        <f t="shared" ref="N335:N340" si="98">IF($D335="Free Chlorine",IF(F335&gt;9,(($L335*EXP(0.071*$G335))-0.21)/22.37,(($L335*EXP(0.071*$G335))-0.42)/2.94),IF($D335="Chloramine",(($L335*EXP(0.071*$G335))+410.7)/849.5,IF($D335="Chlorine Dioxide",(($L335*EXP(0.072*$G335))+35.15)/21.25,IF($D335="Ozone",(($L335*EXP(0.068*$G335))-0.01)/0.47,"Check Dsfctnt."))))</f>
        <v>0.39496944959950786</v>
      </c>
      <c r="O335" s="960">
        <f t="shared" ref="O335:O340" si="99">IF(N335&lt;0,0,N335)</f>
        <v>0.39496944959950786</v>
      </c>
      <c r="Q335">
        <f>T35</f>
        <v>21.98</v>
      </c>
    </row>
    <row r="336" spans="1:119" x14ac:dyDescent="0.4">
      <c r="A336" s="939"/>
      <c r="B336" s="940"/>
      <c r="C336" s="987" t="str">
        <f>C$102</f>
        <v>2. Filter&amp;Filter Eff.</v>
      </c>
      <c r="D336" s="987" t="str">
        <f>D$102</f>
        <v>Free Chlorine</v>
      </c>
      <c r="E336" s="956">
        <f>Z35</f>
        <v>0.4</v>
      </c>
      <c r="F336" s="956">
        <f>AK35</f>
        <v>6.37</v>
      </c>
      <c r="G336" s="965">
        <f>X35</f>
        <v>16.11</v>
      </c>
      <c r="H336" s="944">
        <f>(Q336*1000000)/1440</f>
        <v>15263.888888888889</v>
      </c>
      <c r="I336" s="989">
        <f>I$102</f>
        <v>566414.48</v>
      </c>
      <c r="J336" s="958">
        <f>+I336*$F$90</f>
        <v>385161.84640000004</v>
      </c>
      <c r="K336" s="958">
        <f>+(J336/H$336)</f>
        <v>25.233533158143771</v>
      </c>
      <c r="L336" s="958">
        <f>+(K336*E336)</f>
        <v>10.09341326325751</v>
      </c>
      <c r="M336" s="947">
        <f t="shared" si="97"/>
        <v>0.60775636583409054</v>
      </c>
      <c r="N336" s="964">
        <f t="shared" si="98"/>
        <v>10.632733791698408</v>
      </c>
      <c r="O336" s="960">
        <f t="shared" si="99"/>
        <v>10.632733791698408</v>
      </c>
      <c r="Q336">
        <f>T35</f>
        <v>21.98</v>
      </c>
    </row>
    <row r="337" spans="1:119" x14ac:dyDescent="0.4">
      <c r="A337" s="939"/>
      <c r="B337" s="940"/>
      <c r="C337" s="987" t="str">
        <f>C$103</f>
        <v xml:space="preserve">3. Plant Effluent </v>
      </c>
      <c r="D337" s="987" t="str">
        <f>D$103</f>
        <v>Free Chlorine</v>
      </c>
      <c r="E337" s="956">
        <f>AA35</f>
        <v>1.6</v>
      </c>
      <c r="F337" s="956">
        <f>AM35</f>
        <v>7.79</v>
      </c>
      <c r="G337" s="965">
        <f>X35</f>
        <v>16.11</v>
      </c>
      <c r="H337" s="944">
        <f>(Q337*1000000)/1440</f>
        <v>15263.888888888889</v>
      </c>
      <c r="I337" s="989">
        <f>I$103</f>
        <v>14092</v>
      </c>
      <c r="J337" s="958">
        <f>+I337*$F$91</f>
        <v>14092</v>
      </c>
      <c r="K337" s="958">
        <f>+(J337/H$337)</f>
        <v>0.92322474977252045</v>
      </c>
      <c r="L337" s="958">
        <f>+(K337*E337)</f>
        <v>1.4771595996360327</v>
      </c>
      <c r="M337" s="947">
        <f t="shared" si="97"/>
        <v>4.2044500323392228E-2</v>
      </c>
      <c r="N337" s="964">
        <f t="shared" si="98"/>
        <v>1.4341383863631343</v>
      </c>
      <c r="O337" s="960">
        <f t="shared" si="99"/>
        <v>1.4341383863631343</v>
      </c>
      <c r="Q337">
        <f>T35</f>
        <v>21.98</v>
      </c>
    </row>
    <row r="338" spans="1:119" x14ac:dyDescent="0.4">
      <c r="A338" s="939"/>
      <c r="B338" s="940"/>
      <c r="C338" s="987" t="str">
        <f>C$104</f>
        <v>4. Clearwell #1</v>
      </c>
      <c r="D338" s="987" t="str">
        <f>D$104</f>
        <v>Free Chlorine</v>
      </c>
      <c r="E338" s="956">
        <f>AB35</f>
        <v>1.6</v>
      </c>
      <c r="F338" s="956">
        <f>AO35</f>
        <v>7.92</v>
      </c>
      <c r="G338" s="965">
        <f>X35</f>
        <v>16.11</v>
      </c>
      <c r="H338" s="944">
        <f>(Q338*1000000)/1440</f>
        <v>17791.666666666668</v>
      </c>
      <c r="I338" s="957">
        <f>V35*145792</f>
        <v>1879258.8800000001</v>
      </c>
      <c r="J338" s="958">
        <f>+I338*$K$89</f>
        <v>1315481.216</v>
      </c>
      <c r="K338" s="958">
        <f>+(J338/H$338)</f>
        <v>73.938054295081969</v>
      </c>
      <c r="L338" s="958">
        <f>+(K338*E338)</f>
        <v>118.30088687213116</v>
      </c>
      <c r="M338" s="947">
        <f t="shared" si="97"/>
        <v>3.2205852340269532</v>
      </c>
      <c r="N338" s="964">
        <f t="shared" si="98"/>
        <v>126.15356319392458</v>
      </c>
      <c r="O338" s="960">
        <f t="shared" si="99"/>
        <v>126.15356319392458</v>
      </c>
      <c r="Q338">
        <f>U35</f>
        <v>25.62</v>
      </c>
    </row>
    <row r="339" spans="1:119" x14ac:dyDescent="0.4">
      <c r="A339" s="939"/>
      <c r="B339" s="940"/>
      <c r="C339" s="987" t="str">
        <f>C$105</f>
        <v xml:space="preserve">5. Clearwells 2&amp;3 </v>
      </c>
      <c r="D339" s="987" t="str">
        <f>D$105</f>
        <v>Chloramine</v>
      </c>
      <c r="E339" s="956">
        <f>AF35</f>
        <v>0</v>
      </c>
      <c r="F339" s="956">
        <f>AQ35</f>
        <v>8.01</v>
      </c>
      <c r="G339" s="965">
        <f>X35</f>
        <v>16.11</v>
      </c>
      <c r="H339" s="944">
        <f>(Q339*1000000)/1440</f>
        <v>17791.666666666668</v>
      </c>
      <c r="I339" s="957">
        <f>W35*347599</f>
        <v>4543118.93</v>
      </c>
      <c r="J339" s="958">
        <f>+I339*$K$90</f>
        <v>2271559.4649999999</v>
      </c>
      <c r="K339" s="958">
        <f>+(J339/H$339)</f>
        <v>127.67547344262293</v>
      </c>
      <c r="L339" s="958">
        <f>+(K339*E339)</f>
        <v>0</v>
      </c>
      <c r="M339" s="947">
        <f t="shared" si="97"/>
        <v>0</v>
      </c>
      <c r="N339" s="964">
        <f t="shared" si="98"/>
        <v>0.48346085932901706</v>
      </c>
      <c r="O339" s="960">
        <f t="shared" si="99"/>
        <v>0.48346085932901706</v>
      </c>
      <c r="Q339">
        <f>U35</f>
        <v>25.62</v>
      </c>
    </row>
    <row r="340" spans="1:119" x14ac:dyDescent="0.4">
      <c r="A340" s="939"/>
      <c r="B340" s="940"/>
      <c r="C340" s="987"/>
      <c r="D340" s="987"/>
      <c r="E340" s="956"/>
      <c r="F340" s="956"/>
      <c r="G340" s="965"/>
      <c r="H340" s="990"/>
      <c r="I340" s="989"/>
      <c r="J340" s="958"/>
      <c r="K340" s="958"/>
      <c r="L340" s="958"/>
      <c r="M340" s="947" t="str">
        <f t="shared" si="97"/>
        <v>Check Dsfctnt.</v>
      </c>
      <c r="N340" s="964" t="str">
        <f t="shared" si="98"/>
        <v>Check Dsfctnt.</v>
      </c>
      <c r="O340" s="960" t="str">
        <f t="shared" si="99"/>
        <v>Check Dsfctnt.</v>
      </c>
    </row>
    <row r="341" spans="1:119" x14ac:dyDescent="0.4">
      <c r="A341" s="966"/>
      <c r="B341" s="967"/>
      <c r="C341" s="968" t="str">
        <f>C$107</f>
        <v>System TOTAL</v>
      </c>
      <c r="D341" s="969"/>
      <c r="E341" s="970">
        <f>AVERAGE(E335:E338)</f>
        <v>1.05</v>
      </c>
      <c r="F341" s="970">
        <f>AVERAGE(F335:F338)</f>
        <v>7.1274999999999995</v>
      </c>
      <c r="G341" s="970">
        <f>AVERAGE(G335:G338)</f>
        <v>16.11</v>
      </c>
      <c r="H341" s="971"/>
      <c r="I341" s="998"/>
      <c r="J341" s="972"/>
      <c r="K341" s="972"/>
      <c r="L341" s="970">
        <f>SUM(L335:L338)</f>
        <v>130.37523777324125</v>
      </c>
      <c r="M341" s="973">
        <f>SUM(M335:M340)</f>
        <v>3.8982193911060619</v>
      </c>
      <c r="N341" s="974">
        <f>SUM(N335:N340)</f>
        <v>139.09886568091466</v>
      </c>
      <c r="O341" s="975">
        <f>SUM(O335:O340)</f>
        <v>139.09886568091466</v>
      </c>
    </row>
    <row r="342" spans="1:119" s="449" customFormat="1" ht="4" customHeight="1" x14ac:dyDescent="0.4">
      <c r="A342" s="1001"/>
      <c r="B342" s="978"/>
      <c r="C342" s="978"/>
      <c r="D342" s="978"/>
      <c r="E342" s="979"/>
      <c r="F342" s="979"/>
      <c r="G342" s="979"/>
      <c r="H342" s="980"/>
      <c r="I342" s="999"/>
      <c r="J342" s="981"/>
      <c r="K342" s="981"/>
      <c r="L342" s="981"/>
      <c r="M342" s="982"/>
      <c r="N342" s="983"/>
      <c r="O342" s="984"/>
      <c r="CA342" s="1002"/>
      <c r="CB342" s="1002"/>
      <c r="CG342" s="1002"/>
      <c r="CK342" s="1003"/>
      <c r="CL342" s="1003"/>
      <c r="CM342" s="1002"/>
      <c r="CN342" s="1002"/>
      <c r="CO342" s="1004"/>
      <c r="CP342" s="1002"/>
      <c r="DA342" s="467"/>
      <c r="DB342" s="1002"/>
      <c r="DG342" s="836"/>
      <c r="DH342" s="889"/>
      <c r="DI342" s="889"/>
      <c r="DJ342" s="836"/>
      <c r="DK342" s="765"/>
      <c r="DL342" s="765"/>
      <c r="DM342" s="765"/>
      <c r="DN342" s="765"/>
      <c r="DO342" s="765"/>
    </row>
    <row r="343" spans="1:119" x14ac:dyDescent="0.4">
      <c r="A343" s="985">
        <v>30</v>
      </c>
      <c r="B343" s="986">
        <v>1</v>
      </c>
      <c r="C343" s="987" t="str">
        <f>C$101</f>
        <v xml:space="preserve">1. Filter Influent </v>
      </c>
      <c r="D343" s="987" t="str">
        <f>D$101</f>
        <v>Free Chlorine</v>
      </c>
      <c r="E343" s="942">
        <f>Y36</f>
        <v>0.4</v>
      </c>
      <c r="F343" s="942">
        <f>AI36</f>
        <v>6.32</v>
      </c>
      <c r="G343" s="965">
        <f>X36</f>
        <v>16.2</v>
      </c>
      <c r="H343" s="944">
        <f>(Q343*1000000)/1440</f>
        <v>15027.777777777777</v>
      </c>
      <c r="I343" s="989">
        <f>I$101</f>
        <v>91543</v>
      </c>
      <c r="J343" s="958">
        <f>+I343*$F$89</f>
        <v>12816.02</v>
      </c>
      <c r="K343" s="958">
        <f>+(J343/H$343)</f>
        <v>0.85282203327171913</v>
      </c>
      <c r="L343" s="958">
        <f>+(K343*E343)</f>
        <v>0.34112881330868766</v>
      </c>
      <c r="M343" s="947">
        <f t="shared" ref="M343:M348" si="100">IF(AND($D343="Free Chlorine",$E343&gt;0.4),$L343/(0.2828*($F343^2.69)*($E343^0.15)*(0.933^($G343-5))),IF(AND($D343="Free Chlorine",$E343&lt;=0.4),$L343/(0.2828*($F343^2.69)*(0.4^0.15)*(0.933^($G343-5))),IF(AND($D343="Chloramine",$G343&gt;1),$L343/(858.5-(24.3*$G343)),IF(AND($D343="Chloramine",$G343&lt;=1),$L343/(858.5-(24.3)),IF(AND($D343="Chlorine Dioxide",$G343&gt;1),(($L343*($G343^0.49))+0.18)/23.85,IF(AND($D343="Chlorine Dioxide",$G343&lt;=1),($L343+0.18)/23.85,IF($D343="Ozone",(($L343*EXP(0.072*$G343))-0.01)/0.98,"Check Dsfctnt.")))))))</f>
        <v>2.1111867381042256E-2</v>
      </c>
      <c r="N343" s="959">
        <f t="shared" ref="N343:N348" si="101">IF($D343="Free Chlorine",IF(F343&gt;9,(($L343*EXP(0.071*$G343))-0.21)/22.37,(($L343*EXP(0.071*$G343))-0.42)/2.94),IF($D343="Chloramine",(($L343*EXP(0.071*$G343))+410.7)/849.5,IF($D343="Chlorine Dioxide",(($L343*EXP(0.072*$G343))+35.15)/21.25,IF($D343="Ozone",(($L343*EXP(0.068*$G343))-0.01)/0.47,"Check Dsfctnt."))))</f>
        <v>0.22366193576555335</v>
      </c>
      <c r="O343" s="960">
        <f t="shared" ref="O343:O348" si="102">IF(N343&lt;0,0,N343)</f>
        <v>0.22366193576555335</v>
      </c>
      <c r="Q343">
        <f>T36</f>
        <v>21.64</v>
      </c>
    </row>
    <row r="344" spans="1:119" x14ac:dyDescent="0.4">
      <c r="A344" s="939"/>
      <c r="B344" s="940"/>
      <c r="C344" s="987" t="str">
        <f>C$102</f>
        <v>2. Filter&amp;Filter Eff.</v>
      </c>
      <c r="D344" s="987" t="str">
        <f>D$102</f>
        <v>Free Chlorine</v>
      </c>
      <c r="E344" s="956">
        <f>Z36</f>
        <v>0.1</v>
      </c>
      <c r="F344" s="956">
        <f>AK36</f>
        <v>6.35</v>
      </c>
      <c r="G344" s="965">
        <f>X36</f>
        <v>16.2</v>
      </c>
      <c r="H344" s="944">
        <f>(Q344*1000000)/1440</f>
        <v>15027.777777777777</v>
      </c>
      <c r="I344" s="989">
        <f>I$102</f>
        <v>566414.48</v>
      </c>
      <c r="J344" s="958">
        <f>+I344*$F$90</f>
        <v>385161.84640000004</v>
      </c>
      <c r="K344" s="958">
        <f>+(J344/H$344)</f>
        <v>25.629993475785586</v>
      </c>
      <c r="L344" s="958">
        <f>+(K344*E344)</f>
        <v>2.5629993475785589</v>
      </c>
      <c r="M344" s="947">
        <f t="shared" si="100"/>
        <v>0.156611756621066</v>
      </c>
      <c r="N344" s="964">
        <f t="shared" si="101"/>
        <v>2.6109066048419169</v>
      </c>
      <c r="O344" s="960">
        <f t="shared" si="102"/>
        <v>2.6109066048419169</v>
      </c>
      <c r="Q344">
        <f>T36</f>
        <v>21.64</v>
      </c>
    </row>
    <row r="345" spans="1:119" x14ac:dyDescent="0.4">
      <c r="A345" s="939"/>
      <c r="B345" s="940"/>
      <c r="C345" s="987" t="str">
        <f>C$103</f>
        <v xml:space="preserve">3. Plant Effluent </v>
      </c>
      <c r="D345" s="987" t="str">
        <f>D$103</f>
        <v>Free Chlorine</v>
      </c>
      <c r="E345" s="956">
        <f>AA36</f>
        <v>1.2</v>
      </c>
      <c r="F345" s="956">
        <f>AM36</f>
        <v>7.69</v>
      </c>
      <c r="G345" s="965">
        <f>X36</f>
        <v>16.2</v>
      </c>
      <c r="H345" s="944">
        <f>(Q345*1000000)/1440</f>
        <v>15027.777777777777</v>
      </c>
      <c r="I345" s="989">
        <f>I$103</f>
        <v>14092</v>
      </c>
      <c r="J345" s="958">
        <f>+I345*$F$91</f>
        <v>14092</v>
      </c>
      <c r="K345" s="958">
        <f>+(J345/H$345)</f>
        <v>0.93773012939001854</v>
      </c>
      <c r="L345" s="958">
        <f>+(K345*E345)</f>
        <v>1.1252761552680222</v>
      </c>
      <c r="M345" s="947">
        <f t="shared" si="100"/>
        <v>3.4840650913735047E-2</v>
      </c>
      <c r="N345" s="964">
        <f t="shared" si="101"/>
        <v>1.0661734741248141</v>
      </c>
      <c r="O345" s="960">
        <f t="shared" si="102"/>
        <v>1.0661734741248141</v>
      </c>
      <c r="Q345">
        <f>T36</f>
        <v>21.64</v>
      </c>
    </row>
    <row r="346" spans="1:119" x14ac:dyDescent="0.4">
      <c r="A346" s="939"/>
      <c r="B346" s="940"/>
      <c r="C346" s="987" t="str">
        <f>C$104</f>
        <v>4. Clearwell #1</v>
      </c>
      <c r="D346" s="987" t="str">
        <f>D$104</f>
        <v>Free Chlorine</v>
      </c>
      <c r="E346" s="956">
        <f>AB36</f>
        <v>1.6</v>
      </c>
      <c r="F346" s="956">
        <f>AO36</f>
        <v>7.76</v>
      </c>
      <c r="G346" s="965">
        <f>X36</f>
        <v>16.2</v>
      </c>
      <c r="H346" s="944">
        <f>(Q346*1000000)/1440</f>
        <v>17715.277777777777</v>
      </c>
      <c r="I346" s="957">
        <f>V36*145792</f>
        <v>1885090.56</v>
      </c>
      <c r="J346" s="958">
        <f>+I346*$K$89</f>
        <v>1319563.392</v>
      </c>
      <c r="K346" s="958">
        <f>+(J346/H$346)</f>
        <v>74.487310250098005</v>
      </c>
      <c r="L346" s="958">
        <f>+(K346*E346)</f>
        <v>119.17969640015681</v>
      </c>
      <c r="M346" s="947">
        <f t="shared" si="100"/>
        <v>3.449073363260946</v>
      </c>
      <c r="N346" s="964">
        <f t="shared" si="101"/>
        <v>127.90740073902572</v>
      </c>
      <c r="O346" s="960">
        <f t="shared" si="102"/>
        <v>127.90740073902572</v>
      </c>
      <c r="Q346">
        <f>U36</f>
        <v>25.51</v>
      </c>
    </row>
    <row r="347" spans="1:119" x14ac:dyDescent="0.4">
      <c r="A347" s="939"/>
      <c r="B347" s="940"/>
      <c r="C347" s="987" t="str">
        <f>C$105</f>
        <v xml:space="preserve">5. Clearwells 2&amp;3 </v>
      </c>
      <c r="D347" s="987" t="str">
        <f>D$105</f>
        <v>Chloramine</v>
      </c>
      <c r="E347" s="956">
        <f>AF36</f>
        <v>0</v>
      </c>
      <c r="F347" s="956">
        <f>AQ36</f>
        <v>7.95</v>
      </c>
      <c r="G347" s="965">
        <f>X36</f>
        <v>16.2</v>
      </c>
      <c r="H347" s="944">
        <f>(Q347*1000000)/1440</f>
        <v>17715.277777777777</v>
      </c>
      <c r="I347" s="957">
        <f>W36*347599</f>
        <v>4532690.96</v>
      </c>
      <c r="J347" s="958">
        <f>+I347*$K$90</f>
        <v>2266345.48</v>
      </c>
      <c r="K347" s="958">
        <f>+(J347/H$347)</f>
        <v>127.93169310858487</v>
      </c>
      <c r="L347" s="958">
        <f>+(K347*E347)</f>
        <v>0</v>
      </c>
      <c r="M347" s="947">
        <f t="shared" si="100"/>
        <v>0</v>
      </c>
      <c r="N347" s="964">
        <f t="shared" si="101"/>
        <v>0.48346085932901706</v>
      </c>
      <c r="O347" s="960">
        <f t="shared" si="102"/>
        <v>0.48346085932901706</v>
      </c>
      <c r="Q347">
        <f>U36</f>
        <v>25.51</v>
      </c>
    </row>
    <row r="348" spans="1:119" x14ac:dyDescent="0.4">
      <c r="A348" s="939"/>
      <c r="B348" s="940"/>
      <c r="C348" s="987"/>
      <c r="D348" s="987"/>
      <c r="E348" s="956"/>
      <c r="F348" s="956"/>
      <c r="G348" s="965"/>
      <c r="H348" s="990"/>
      <c r="I348" s="989"/>
      <c r="J348" s="958"/>
      <c r="K348" s="958"/>
      <c r="L348" s="958"/>
      <c r="M348" s="947" t="str">
        <f t="shared" si="100"/>
        <v>Check Dsfctnt.</v>
      </c>
      <c r="N348" s="964" t="str">
        <f t="shared" si="101"/>
        <v>Check Dsfctnt.</v>
      </c>
      <c r="O348" s="960" t="str">
        <f t="shared" si="102"/>
        <v>Check Dsfctnt.</v>
      </c>
    </row>
    <row r="349" spans="1:119" x14ac:dyDescent="0.4">
      <c r="A349" s="966"/>
      <c r="B349" s="967"/>
      <c r="C349" s="968" t="str">
        <f>C$107</f>
        <v>System TOTAL</v>
      </c>
      <c r="D349" s="969"/>
      <c r="E349" s="970">
        <f>AVERAGE(E343:E346)</f>
        <v>0.82499999999999996</v>
      </c>
      <c r="F349" s="970">
        <f>AVERAGE(F343:F346)</f>
        <v>7.0299999999999994</v>
      </c>
      <c r="G349" s="970">
        <f>AVERAGE(G343:G346)</f>
        <v>16.2</v>
      </c>
      <c r="H349" s="971"/>
      <c r="I349" s="998"/>
      <c r="J349" s="972"/>
      <c r="K349" s="972"/>
      <c r="L349" s="970">
        <f>SUM(L343:L346)</f>
        <v>123.20910071631208</v>
      </c>
      <c r="M349" s="973">
        <f>SUM(M343:M348)</f>
        <v>3.6616376381767894</v>
      </c>
      <c r="N349" s="974">
        <f>SUM(N343:N348)</f>
        <v>132.29160361308703</v>
      </c>
      <c r="O349" s="975">
        <f>SUM(O343:O348)</f>
        <v>132.29160361308703</v>
      </c>
    </row>
    <row r="350" spans="1:119" s="449" customFormat="1" ht="3.75" customHeight="1" x14ac:dyDescent="0.4">
      <c r="A350" s="1001"/>
      <c r="B350" s="978"/>
      <c r="C350" s="978"/>
      <c r="D350" s="978"/>
      <c r="E350" s="979"/>
      <c r="F350" s="979"/>
      <c r="G350" s="979"/>
      <c r="H350" s="980"/>
      <c r="I350" s="999"/>
      <c r="J350" s="981"/>
      <c r="K350" s="981"/>
      <c r="L350" s="981"/>
      <c r="M350" s="982"/>
      <c r="N350" s="1064"/>
      <c r="O350" s="1065"/>
      <c r="CA350" s="1002"/>
      <c r="CB350" s="1002"/>
      <c r="CG350" s="1002"/>
      <c r="CK350" s="1003"/>
      <c r="CL350" s="1003"/>
      <c r="CM350" s="1002"/>
      <c r="CN350" s="1002"/>
      <c r="CO350" s="1004"/>
      <c r="CP350" s="1002"/>
      <c r="DA350" s="467"/>
      <c r="DB350" s="1002"/>
      <c r="DG350" s="836"/>
      <c r="DH350" s="889"/>
      <c r="DI350" s="889"/>
      <c r="DJ350" s="836"/>
      <c r="DK350" s="765"/>
      <c r="DL350" s="765"/>
      <c r="DM350" s="765"/>
      <c r="DN350" s="765"/>
      <c r="DO350" s="765"/>
    </row>
    <row r="351" spans="1:119" x14ac:dyDescent="0.4">
      <c r="A351" s="985">
        <v>31</v>
      </c>
      <c r="B351" s="986">
        <v>1</v>
      </c>
      <c r="C351" s="987" t="str">
        <f>C$101</f>
        <v xml:space="preserve">1. Filter Influent </v>
      </c>
      <c r="D351" s="987" t="str">
        <f>D$101</f>
        <v>Free Chlorine</v>
      </c>
      <c r="E351" s="942">
        <f>Y37</f>
        <v>0.5</v>
      </c>
      <c r="F351" s="942">
        <f>AI37</f>
        <v>6.37</v>
      </c>
      <c r="G351" s="965">
        <f>X37</f>
        <v>16.23</v>
      </c>
      <c r="H351" s="944">
        <f>(Q351*1000000)/1440</f>
        <v>15041.666666666666</v>
      </c>
      <c r="I351" s="989">
        <f>I$101</f>
        <v>91543</v>
      </c>
      <c r="J351" s="958">
        <f>+I351*$F$89</f>
        <v>12816.02</v>
      </c>
      <c r="K351" s="958">
        <f>+(J351/H$343)</f>
        <v>0.85282203327171913</v>
      </c>
      <c r="L351" s="958">
        <f>+(K351*E351)</f>
        <v>0.42641101663585956</v>
      </c>
      <c r="M351" s="947">
        <f t="shared" ref="M351:M356" si="103">IF(AND($D351="Free Chlorine",$E351&gt;0.4),$L351/(0.2828*($F351^2.69)*($E351^0.15)*(0.933^($G351-5))),IF(AND($D351="Free Chlorine",$E351&lt;=0.4),$L351/(0.2828*($F351^2.69)*(0.4^0.15)*(0.933^($G351-5))),IF(AND($D351="Chloramine",$G351&gt;1),$L351/(858.5-(24.3*$G351)),IF(AND($D351="Chloramine",$G351&lt;=1),$L351/(858.5-(24.3)),IF(AND($D351="Chlorine Dioxide",$G351&gt;1),(($L351*($G351^0.49))+0.18)/23.85,IF(AND($D351="Chlorine Dioxide",$G351&lt;=1),($L351+0.18)/23.85,IF($D351="Ozone",(($L351*EXP(0.072*$G351))-0.01)/0.98,"Check Dsfctnt.")))))))</f>
        <v>2.5037881429945709E-2</v>
      </c>
      <c r="N351" s="959">
        <f t="shared" ref="N351:N356" si="104">IF($D351="Free Chlorine",IF(F351&gt;9,(($L351*EXP(0.071*$G351))-0.21)/22.37,(($L351*EXP(0.071*$G351))-0.42)/2.94),IF($D351="Chloramine",(($L351*EXP(0.071*$G351))+410.7)/849.5,IF($D351="Chlorine Dioxide",(($L351*EXP(0.072*$G351))+35.15)/21.25,IF($D351="Ozone",(($L351*EXP(0.068*$G351))-0.01)/0.47,"Check Dsfctnt."))))</f>
        <v>0.3162686024941026</v>
      </c>
      <c r="O351" s="960">
        <f t="shared" ref="O351:O356" si="105">IF(N351&lt;0,0,N351)</f>
        <v>0.3162686024941026</v>
      </c>
      <c r="Q351">
        <f>T37</f>
        <v>21.66</v>
      </c>
    </row>
    <row r="352" spans="1:119" x14ac:dyDescent="0.4">
      <c r="A352" s="939"/>
      <c r="B352" s="940"/>
      <c r="C352" s="987" t="str">
        <f>C$102</f>
        <v>2. Filter&amp;Filter Eff.</v>
      </c>
      <c r="D352" s="987" t="str">
        <f>D$102</f>
        <v>Free Chlorine</v>
      </c>
      <c r="E352" s="956">
        <f>Z37</f>
        <v>0.2</v>
      </c>
      <c r="F352" s="956">
        <f>AK37</f>
        <v>6.36</v>
      </c>
      <c r="G352" s="965">
        <f>X37</f>
        <v>16.23</v>
      </c>
      <c r="H352" s="944">
        <f>(Q352*1000000)/1440</f>
        <v>15041.666666666666</v>
      </c>
      <c r="I352" s="989">
        <f>I$102</f>
        <v>566414.48</v>
      </c>
      <c r="J352" s="958">
        <f>+I352*$F$90</f>
        <v>385161.84640000004</v>
      </c>
      <c r="K352" s="958">
        <f>+(J352/H$344)</f>
        <v>25.629993475785586</v>
      </c>
      <c r="L352" s="958">
        <f>+(K352*E352)</f>
        <v>5.1259986951571177</v>
      </c>
      <c r="M352" s="947">
        <f t="shared" si="103"/>
        <v>0.31255006035652072</v>
      </c>
      <c r="N352" s="964">
        <f t="shared" si="104"/>
        <v>5.3764138885320696</v>
      </c>
      <c r="O352" s="960">
        <f t="shared" si="105"/>
        <v>5.3764138885320696</v>
      </c>
      <c r="Q352">
        <f>T37</f>
        <v>21.66</v>
      </c>
    </row>
    <row r="353" spans="1:119" x14ac:dyDescent="0.4">
      <c r="A353" s="939"/>
      <c r="B353" s="940"/>
      <c r="C353" s="987" t="str">
        <f>C$103</f>
        <v xml:space="preserve">3. Plant Effluent </v>
      </c>
      <c r="D353" s="987" t="str">
        <f>D$103</f>
        <v>Free Chlorine</v>
      </c>
      <c r="E353" s="956">
        <f>AA37</f>
        <v>1.6</v>
      </c>
      <c r="F353" s="956">
        <f>AM37</f>
        <v>7.69</v>
      </c>
      <c r="G353" s="965">
        <f>X37</f>
        <v>16.23</v>
      </c>
      <c r="H353" s="944">
        <f>(Q353*1000000)/1440</f>
        <v>15041.666666666666</v>
      </c>
      <c r="I353" s="989">
        <f>I$103</f>
        <v>14092</v>
      </c>
      <c r="J353" s="958">
        <f>+I353*$F$91</f>
        <v>14092</v>
      </c>
      <c r="K353" s="958">
        <f>+(J353/H$345)</f>
        <v>0.93773012939001854</v>
      </c>
      <c r="L353" s="958">
        <f>+(K353*E353)</f>
        <v>1.5003682070240298</v>
      </c>
      <c r="M353" s="947">
        <f t="shared" si="103"/>
        <v>4.4584893847433242E-2</v>
      </c>
      <c r="N353" s="964">
        <f t="shared" si="104"/>
        <v>1.472620986169435</v>
      </c>
      <c r="O353" s="960">
        <f t="shared" si="105"/>
        <v>1.472620986169435</v>
      </c>
      <c r="Q353">
        <f>T37</f>
        <v>21.66</v>
      </c>
    </row>
    <row r="354" spans="1:119" x14ac:dyDescent="0.4">
      <c r="A354" s="939"/>
      <c r="B354" s="940"/>
      <c r="C354" s="987" t="str">
        <f>C$104</f>
        <v>4. Clearwell #1</v>
      </c>
      <c r="D354" s="987" t="str">
        <f>D$104</f>
        <v>Free Chlorine</v>
      </c>
      <c r="E354" s="956">
        <f>AB37</f>
        <v>1.5</v>
      </c>
      <c r="F354" s="956">
        <f>AO37</f>
        <v>7.71</v>
      </c>
      <c r="G354" s="965">
        <f>X37</f>
        <v>16.23</v>
      </c>
      <c r="H354" s="944">
        <f>(Q354*1000000)/1440</f>
        <v>16798.611111111109</v>
      </c>
      <c r="I354" s="957">
        <f>V37*145792</f>
        <v>1736382.72</v>
      </c>
      <c r="J354" s="958">
        <f>+I354*$K$89</f>
        <v>1215467.9039999999</v>
      </c>
      <c r="K354" s="958">
        <f>+(J354/H$346)</f>
        <v>68.611281135241072</v>
      </c>
      <c r="L354" s="958">
        <f>+(K354*E354)</f>
        <v>102.9169217028616</v>
      </c>
      <c r="M354" s="947">
        <f t="shared" si="103"/>
        <v>3.066525338261227</v>
      </c>
      <c r="N354" s="964">
        <f t="shared" si="104"/>
        <v>110.66996556250351</v>
      </c>
      <c r="O354" s="960">
        <f t="shared" si="105"/>
        <v>110.66996556250351</v>
      </c>
      <c r="Q354">
        <f>U37</f>
        <v>24.19</v>
      </c>
    </row>
    <row r="355" spans="1:119" x14ac:dyDescent="0.4">
      <c r="A355" s="939"/>
      <c r="B355" s="940"/>
      <c r="C355" s="987" t="str">
        <f>C$105</f>
        <v xml:space="preserve">5. Clearwells 2&amp;3 </v>
      </c>
      <c r="D355" s="987" t="str">
        <f>D$105</f>
        <v>Chloramine</v>
      </c>
      <c r="E355" s="956">
        <f>AF37</f>
        <v>0</v>
      </c>
      <c r="F355" s="956">
        <f>AQ37</f>
        <v>7.83</v>
      </c>
      <c r="G355" s="965">
        <f>X37</f>
        <v>16.23</v>
      </c>
      <c r="H355" s="944">
        <f>(Q355*1000000)/1440</f>
        <v>16798.611111111109</v>
      </c>
      <c r="I355" s="957">
        <f>W37*347599</f>
        <v>4185091.9599999995</v>
      </c>
      <c r="J355" s="958">
        <f>+I355*$K$90</f>
        <v>2092545.9799999997</v>
      </c>
      <c r="K355" s="958">
        <f>+(J355/H$347)</f>
        <v>118.12098044688356</v>
      </c>
      <c r="L355" s="958">
        <f>+(K355*E355)</f>
        <v>0</v>
      </c>
      <c r="M355" s="947">
        <f t="shared" si="103"/>
        <v>0</v>
      </c>
      <c r="N355" s="964">
        <f t="shared" si="104"/>
        <v>0.48346085932901706</v>
      </c>
      <c r="O355" s="960">
        <f t="shared" si="105"/>
        <v>0.48346085932901706</v>
      </c>
      <c r="Q355">
        <f>U37</f>
        <v>24.19</v>
      </c>
    </row>
    <row r="356" spans="1:119" x14ac:dyDescent="0.4">
      <c r="A356" s="939"/>
      <c r="B356" s="940"/>
      <c r="C356" s="987"/>
      <c r="D356" s="987"/>
      <c r="E356" s="956"/>
      <c r="F356" s="956"/>
      <c r="G356" s="965"/>
      <c r="H356" s="990"/>
      <c r="I356" s="989"/>
      <c r="J356" s="958"/>
      <c r="K356" s="958"/>
      <c r="L356" s="958"/>
      <c r="M356" s="947" t="str">
        <f t="shared" si="103"/>
        <v>Check Dsfctnt.</v>
      </c>
      <c r="N356" s="964" t="str">
        <f t="shared" si="104"/>
        <v>Check Dsfctnt.</v>
      </c>
      <c r="O356" s="960" t="str">
        <f t="shared" si="105"/>
        <v>Check Dsfctnt.</v>
      </c>
    </row>
    <row r="357" spans="1:119" x14ac:dyDescent="0.4">
      <c r="A357" s="966"/>
      <c r="B357" s="967"/>
      <c r="C357" s="968" t="str">
        <f>C$107</f>
        <v>System TOTAL</v>
      </c>
      <c r="D357" s="969"/>
      <c r="E357" s="970">
        <f>AVERAGE(E351:E354)</f>
        <v>0.95</v>
      </c>
      <c r="F357" s="970">
        <f>AVERAGE(F351:F354)</f>
        <v>7.0325000000000006</v>
      </c>
      <c r="G357" s="970">
        <f>AVERAGE(G351:G354)</f>
        <v>16.23</v>
      </c>
      <c r="H357" s="971"/>
      <c r="I357" s="998"/>
      <c r="J357" s="972"/>
      <c r="K357" s="972"/>
      <c r="L357" s="1063">
        <f>SUM(L351:L354)</f>
        <v>109.96969962167861</v>
      </c>
      <c r="M357" s="973">
        <f>SUM(M351:M356)</f>
        <v>3.4486981738951266</v>
      </c>
      <c r="N357" s="974">
        <f>SUM(N351:N356)</f>
        <v>118.31872989902813</v>
      </c>
      <c r="O357" s="975">
        <f>SUM(O351:O356)</f>
        <v>118.31872989902813</v>
      </c>
    </row>
    <row r="358" spans="1:119" s="335" customFormat="1" x14ac:dyDescent="0.4">
      <c r="A358" s="682"/>
      <c r="B358" s="682"/>
      <c r="C358" s="682"/>
      <c r="D358" s="682"/>
      <c r="E358" s="1066"/>
      <c r="F358" s="682"/>
      <c r="G358" s="682"/>
      <c r="H358" s="1067"/>
      <c r="I358" s="1067"/>
      <c r="J358" s="1067"/>
      <c r="K358" s="1066"/>
      <c r="L358" s="1066"/>
      <c r="M358" s="1068"/>
      <c r="N358" s="1034"/>
      <c r="O358"/>
      <c r="CA358" s="682"/>
      <c r="CB358" s="682"/>
      <c r="CG358" s="682"/>
      <c r="CK358" s="1066"/>
      <c r="CL358" s="1066"/>
      <c r="CM358" s="682"/>
      <c r="CN358" s="682"/>
      <c r="CO358" s="1069"/>
      <c r="CP358" s="682"/>
      <c r="DA358" s="472"/>
      <c r="DB358" s="682"/>
      <c r="DG358" s="836"/>
      <c r="DH358" s="889"/>
      <c r="DI358" s="889"/>
      <c r="DJ358" s="836"/>
      <c r="DK358" s="765"/>
      <c r="DL358" s="765"/>
      <c r="DM358" s="765"/>
      <c r="DN358" s="765"/>
      <c r="DO358" s="765"/>
    </row>
    <row r="359" spans="1:119" s="335" customFormat="1" x14ac:dyDescent="0.4">
      <c r="A359" s="682"/>
      <c r="B359" s="682"/>
      <c r="E359" s="1066"/>
      <c r="F359" s="682"/>
      <c r="G359" s="682"/>
      <c r="H359" s="1067"/>
      <c r="I359" s="1067"/>
      <c r="J359" s="1067"/>
      <c r="K359" s="1066"/>
      <c r="L359" s="1066"/>
      <c r="M359" s="1068"/>
      <c r="N359" s="1070"/>
      <c r="CA359" s="682"/>
      <c r="CB359" s="682"/>
      <c r="CG359" s="682"/>
      <c r="CK359" s="1066"/>
      <c r="CL359" s="1066"/>
      <c r="CM359" s="682"/>
      <c r="CN359" s="682"/>
      <c r="CO359" s="1069"/>
      <c r="CP359" s="682"/>
      <c r="DA359" s="472"/>
      <c r="DB359" s="682"/>
      <c r="DG359" s="836"/>
      <c r="DH359" s="889"/>
      <c r="DI359" s="889"/>
      <c r="DJ359" s="836"/>
      <c r="DK359" s="765"/>
      <c r="DL359" s="765"/>
      <c r="DM359" s="765"/>
      <c r="DN359" s="765"/>
      <c r="DO359" s="765"/>
    </row>
    <row r="360" spans="1:119" s="335" customFormat="1" x14ac:dyDescent="0.4">
      <c r="A360" s="682"/>
      <c r="B360" s="682"/>
      <c r="C360" s="682"/>
      <c r="F360" s="680"/>
      <c r="G360" s="682"/>
      <c r="H360" s="1067"/>
      <c r="I360" s="1067"/>
      <c r="J360" s="1067"/>
      <c r="K360" s="1066"/>
      <c r="L360" s="1066"/>
      <c r="M360" s="1068"/>
      <c r="N360" s="1070"/>
      <c r="CA360" s="682"/>
      <c r="CB360" s="682"/>
      <c r="CG360" s="682"/>
      <c r="CK360" s="1066"/>
      <c r="CL360" s="1066"/>
      <c r="CM360" s="682"/>
      <c r="CN360" s="682"/>
      <c r="CO360" s="1069"/>
      <c r="CP360" s="682"/>
      <c r="DA360" s="472"/>
      <c r="DB360" s="682"/>
      <c r="DG360" s="836"/>
      <c r="DH360" s="889"/>
      <c r="DI360" s="889"/>
      <c r="DJ360" s="836"/>
      <c r="DK360" s="765"/>
      <c r="DL360" s="765"/>
      <c r="DM360" s="765"/>
      <c r="DN360" s="765"/>
      <c r="DO360" s="765"/>
    </row>
    <row r="361" spans="1:119" s="335" customFormat="1" x14ac:dyDescent="0.4">
      <c r="A361" s="682"/>
      <c r="B361" s="682"/>
      <c r="C361" s="682"/>
      <c r="F361" s="680" t="s">
        <v>949</v>
      </c>
      <c r="G361"/>
      <c r="H361" s="920" t="s">
        <v>950</v>
      </c>
      <c r="I361" s="1067"/>
      <c r="J361" s="1067"/>
      <c r="K361" s="1066"/>
      <c r="L361" s="1066"/>
      <c r="M361" s="1068"/>
      <c r="N361" s="1070"/>
      <c r="CA361" s="682"/>
      <c r="CB361" s="682"/>
      <c r="CG361" s="682"/>
      <c r="CK361" s="1066"/>
      <c r="CL361" s="1066"/>
      <c r="CM361" s="682"/>
      <c r="CN361" s="682"/>
      <c r="CO361" s="1069"/>
      <c r="CP361" s="682"/>
      <c r="DA361" s="472"/>
      <c r="DB361" s="682"/>
      <c r="DG361" s="836"/>
      <c r="DH361" s="889"/>
      <c r="DI361" s="889"/>
      <c r="DJ361" s="836"/>
      <c r="DK361" s="765"/>
      <c r="DL361" s="765"/>
      <c r="DM361" s="765"/>
      <c r="DN361" s="765"/>
      <c r="DO361" s="765"/>
    </row>
    <row r="362" spans="1:119" s="335" customFormat="1" x14ac:dyDescent="0.4">
      <c r="A362" s="682"/>
      <c r="B362" s="682"/>
      <c r="C362" s="682"/>
      <c r="F362" s="680" t="s">
        <v>951</v>
      </c>
      <c r="G362"/>
      <c r="H362" s="920" t="s">
        <v>952</v>
      </c>
      <c r="I362" s="1067"/>
      <c r="J362" s="1067"/>
      <c r="K362" s="1066"/>
      <c r="L362" s="1066"/>
      <c r="M362" s="1068"/>
      <c r="N362" s="1070"/>
      <c r="CA362" s="682"/>
      <c r="CB362" s="682"/>
      <c r="CG362" s="682"/>
      <c r="CK362" s="1066"/>
      <c r="CL362" s="1066"/>
      <c r="CM362" s="682"/>
      <c r="CN362" s="682"/>
      <c r="CO362" s="1069"/>
      <c r="CP362" s="682"/>
      <c r="DA362" s="472"/>
      <c r="DB362" s="682"/>
      <c r="DG362" s="836"/>
      <c r="DH362" s="889"/>
      <c r="DI362" s="889"/>
      <c r="DJ362" s="836"/>
      <c r="DK362" s="765"/>
      <c r="DL362" s="765"/>
      <c r="DM362" s="765"/>
      <c r="DN362" s="765"/>
      <c r="DO362" s="765"/>
    </row>
    <row r="363" spans="1:119" s="335" customFormat="1" x14ac:dyDescent="0.4">
      <c r="A363" s="682"/>
      <c r="B363" s="682"/>
      <c r="F363"/>
      <c r="G363"/>
      <c r="H363" s="920" t="s">
        <v>953</v>
      </c>
      <c r="I363" s="1067"/>
      <c r="J363" s="1067"/>
      <c r="K363" s="1066"/>
      <c r="L363" s="1066"/>
      <c r="M363" s="1068"/>
      <c r="N363" s="1070"/>
      <c r="CA363" s="682"/>
      <c r="CB363" s="682"/>
      <c r="CG363" s="682"/>
      <c r="CK363" s="1066"/>
      <c r="CL363" s="1066"/>
      <c r="CM363" s="682"/>
      <c r="CN363" s="682"/>
      <c r="CO363" s="1069"/>
      <c r="CP363" s="682"/>
      <c r="DA363" s="472"/>
      <c r="DB363" s="682"/>
      <c r="DG363" s="836"/>
      <c r="DH363" s="889"/>
      <c r="DI363" s="889"/>
      <c r="DJ363" s="836"/>
      <c r="DK363" s="765"/>
      <c r="DL363" s="765"/>
      <c r="DM363" s="765"/>
      <c r="DN363" s="765"/>
      <c r="DO363" s="765"/>
    </row>
    <row r="364" spans="1:119" s="335" customFormat="1" x14ac:dyDescent="0.4">
      <c r="A364" s="682"/>
      <c r="B364" s="682"/>
      <c r="F364"/>
      <c r="G364"/>
      <c r="H364" s="920" t="s">
        <v>954</v>
      </c>
      <c r="I364" s="1067"/>
      <c r="J364" s="1067"/>
      <c r="K364" s="1066"/>
      <c r="L364" s="1066"/>
      <c r="M364" s="1068"/>
      <c r="N364" s="1070"/>
      <c r="CA364" s="682"/>
      <c r="CB364" s="682"/>
      <c r="CG364" s="682"/>
      <c r="CK364" s="1066"/>
      <c r="CL364" s="1066"/>
      <c r="CM364" s="682"/>
      <c r="CN364" s="682"/>
      <c r="CO364" s="1069"/>
      <c r="CP364" s="682"/>
      <c r="DA364" s="472"/>
      <c r="DB364" s="682"/>
      <c r="DG364" s="836"/>
      <c r="DH364" s="889"/>
      <c r="DI364" s="889"/>
      <c r="DJ364" s="836"/>
      <c r="DK364" s="765"/>
      <c r="DL364" s="765"/>
      <c r="DM364" s="765"/>
      <c r="DN364" s="765"/>
      <c r="DO364" s="765"/>
    </row>
    <row r="365" spans="1:119" s="335" customFormat="1" x14ac:dyDescent="0.4">
      <c r="A365" s="682"/>
      <c r="B365" s="682"/>
      <c r="C365" s="682"/>
      <c r="D365" s="682"/>
      <c r="E365" s="1066"/>
      <c r="F365" s="682"/>
      <c r="G365" s="682"/>
      <c r="H365" s="1067"/>
      <c r="I365" s="1067"/>
      <c r="J365" s="1067"/>
      <c r="K365" s="1066"/>
      <c r="L365" s="1066"/>
      <c r="M365" s="1068"/>
      <c r="N365" s="1070"/>
      <c r="CA365" s="682"/>
      <c r="CB365" s="682"/>
      <c r="CG365" s="682"/>
      <c r="CK365" s="1066"/>
      <c r="CL365" s="1066"/>
      <c r="CM365" s="682"/>
      <c r="CN365" s="682"/>
      <c r="CO365" s="1069"/>
      <c r="CP365" s="682"/>
      <c r="DA365" s="472"/>
      <c r="DB365" s="682"/>
      <c r="DG365" s="836"/>
      <c r="DH365" s="889"/>
      <c r="DI365" s="889"/>
      <c r="DJ365" s="836"/>
      <c r="DK365" s="765"/>
      <c r="DL365" s="765"/>
      <c r="DM365" s="765"/>
      <c r="DN365" s="765"/>
      <c r="DO365" s="765"/>
    </row>
    <row r="366" spans="1:119" s="335" customFormat="1" x14ac:dyDescent="0.4">
      <c r="A366" s="682"/>
      <c r="B366" s="682"/>
      <c r="C366" s="682"/>
      <c r="D366" s="682"/>
      <c r="E366" s="1066"/>
      <c r="F366" s="682"/>
      <c r="G366" s="682"/>
      <c r="H366" s="1067"/>
      <c r="I366" s="1067"/>
      <c r="J366" s="1067"/>
      <c r="K366" s="1066"/>
      <c r="L366" s="1066"/>
      <c r="M366" s="1068"/>
      <c r="N366" s="1070"/>
      <c r="CA366" s="682"/>
      <c r="CB366" s="682"/>
      <c r="CG366" s="682"/>
      <c r="CK366" s="1066"/>
      <c r="CL366" s="1066"/>
      <c r="CM366" s="682"/>
      <c r="CN366" s="682"/>
      <c r="CO366" s="1069"/>
      <c r="CP366" s="682"/>
      <c r="DA366" s="472"/>
      <c r="DB366" s="682"/>
      <c r="DG366" s="836"/>
      <c r="DH366" s="889"/>
      <c r="DI366" s="889"/>
      <c r="DJ366" s="836"/>
      <c r="DK366" s="765"/>
      <c r="DL366" s="765"/>
      <c r="DM366" s="765"/>
      <c r="DN366" s="765"/>
      <c r="DO366" s="765"/>
    </row>
    <row r="367" spans="1:119" s="335" customFormat="1" x14ac:dyDescent="0.4">
      <c r="A367" s="682"/>
      <c r="B367" s="682"/>
      <c r="C367" s="682"/>
      <c r="D367" s="682"/>
      <c r="E367" s="1066"/>
      <c r="F367" s="682"/>
      <c r="G367" s="682"/>
      <c r="H367" s="1067"/>
      <c r="I367" s="1067"/>
      <c r="J367" s="1067"/>
      <c r="K367" s="1066"/>
      <c r="L367" s="1066"/>
      <c r="M367" s="1068"/>
      <c r="N367" s="1070"/>
      <c r="CA367" s="682"/>
      <c r="CB367" s="682"/>
      <c r="CG367" s="682"/>
      <c r="CK367" s="1066"/>
      <c r="CL367" s="1066"/>
      <c r="CM367" s="682"/>
      <c r="CN367" s="682"/>
      <c r="CO367" s="1069"/>
      <c r="CP367" s="682"/>
      <c r="DA367" s="472"/>
      <c r="DB367" s="682"/>
      <c r="DG367" s="836"/>
      <c r="DH367" s="889"/>
      <c r="DI367" s="889"/>
      <c r="DJ367" s="836"/>
      <c r="DK367" s="765"/>
      <c r="DL367" s="765"/>
      <c r="DM367" s="765"/>
      <c r="DN367" s="765"/>
      <c r="DO367" s="765"/>
    </row>
    <row r="368" spans="1:119" s="335" customFormat="1" x14ac:dyDescent="0.4">
      <c r="A368" s="682"/>
      <c r="B368" s="682"/>
      <c r="C368" s="682"/>
      <c r="D368" s="682"/>
      <c r="E368" s="1066"/>
      <c r="F368" s="682"/>
      <c r="G368" s="682"/>
      <c r="H368" s="1067"/>
      <c r="I368" s="1067"/>
      <c r="J368" s="1067"/>
      <c r="K368" s="1066"/>
      <c r="L368" s="1066"/>
      <c r="M368" s="1068"/>
      <c r="N368" s="1070"/>
      <c r="CA368" s="682"/>
      <c r="CB368" s="682"/>
      <c r="CG368" s="682"/>
      <c r="CK368" s="1066"/>
      <c r="CL368" s="1066"/>
      <c r="CM368" s="682"/>
      <c r="CN368" s="682"/>
      <c r="CO368" s="1069"/>
      <c r="CP368" s="682"/>
      <c r="DA368" s="472"/>
      <c r="DB368" s="682"/>
      <c r="DG368" s="836"/>
      <c r="DH368" s="889"/>
      <c r="DI368" s="889"/>
      <c r="DJ368" s="836"/>
      <c r="DK368" s="765"/>
      <c r="DL368" s="765"/>
      <c r="DM368" s="765"/>
      <c r="DN368" s="765"/>
      <c r="DO368" s="765"/>
    </row>
    <row r="369" spans="1:119" s="335" customFormat="1" x14ac:dyDescent="0.4">
      <c r="A369" s="682"/>
      <c r="B369" s="682"/>
      <c r="C369" s="682"/>
      <c r="D369" s="682"/>
      <c r="E369" s="1066"/>
      <c r="F369" s="682"/>
      <c r="G369" s="682"/>
      <c r="H369" s="1067"/>
      <c r="I369" s="1067"/>
      <c r="J369" s="1067"/>
      <c r="K369" s="1066"/>
      <c r="L369" s="1066"/>
      <c r="M369" s="1068"/>
      <c r="N369" s="1070"/>
      <c r="CA369" s="682"/>
      <c r="CB369" s="682"/>
      <c r="CG369" s="682"/>
      <c r="CK369" s="1066"/>
      <c r="CL369" s="1066"/>
      <c r="CM369" s="682"/>
      <c r="CN369" s="682"/>
      <c r="CO369" s="1069"/>
      <c r="CP369" s="682"/>
      <c r="DA369" s="472"/>
      <c r="DB369" s="682"/>
      <c r="DG369" s="836"/>
      <c r="DH369" s="889"/>
      <c r="DI369" s="889"/>
      <c r="DJ369" s="836"/>
      <c r="DK369" s="765"/>
      <c r="DL369" s="765"/>
      <c r="DM369" s="765"/>
      <c r="DN369" s="765"/>
      <c r="DO369" s="765"/>
    </row>
    <row r="370" spans="1:119" s="335" customFormat="1" x14ac:dyDescent="0.4">
      <c r="A370" s="682"/>
      <c r="B370" s="682"/>
      <c r="C370" s="682"/>
      <c r="D370" s="682"/>
      <c r="E370" s="1066"/>
      <c r="F370" s="682"/>
      <c r="G370" s="682"/>
      <c r="H370" s="1067"/>
      <c r="I370" s="1067"/>
      <c r="J370" s="1067"/>
      <c r="K370" s="1066"/>
      <c r="L370" s="1066"/>
      <c r="M370" s="1068"/>
      <c r="N370" s="1070"/>
      <c r="CA370" s="682"/>
      <c r="CB370" s="682"/>
      <c r="CG370" s="682"/>
      <c r="CK370" s="1066"/>
      <c r="CL370" s="1066"/>
      <c r="CM370" s="682"/>
      <c r="CN370" s="682"/>
      <c r="CO370" s="1069"/>
      <c r="CP370" s="682"/>
      <c r="DA370" s="472"/>
      <c r="DB370" s="682"/>
      <c r="DG370" s="836"/>
      <c r="DH370" s="889"/>
      <c r="DI370" s="889"/>
      <c r="DJ370" s="836"/>
      <c r="DK370" s="765"/>
      <c r="DL370" s="765"/>
      <c r="DM370" s="765"/>
      <c r="DN370" s="765"/>
      <c r="DO370" s="765"/>
    </row>
    <row r="371" spans="1:119" s="335" customFormat="1" x14ac:dyDescent="0.4">
      <c r="M371" s="1070"/>
      <c r="N371" s="1070"/>
      <c r="CA371" s="682"/>
      <c r="CB371" s="682"/>
      <c r="CG371" s="682"/>
      <c r="CK371" s="1066"/>
      <c r="CL371" s="1066"/>
      <c r="CM371" s="682"/>
      <c r="CN371" s="682"/>
      <c r="CO371" s="1069"/>
      <c r="CP371" s="682"/>
      <c r="DA371" s="472"/>
      <c r="DB371" s="682"/>
      <c r="DG371" s="836"/>
      <c r="DH371" s="889"/>
      <c r="DI371" s="889"/>
      <c r="DJ371" s="836"/>
      <c r="DK371" s="765"/>
      <c r="DL371" s="765"/>
      <c r="DM371" s="765"/>
      <c r="DN371" s="765"/>
      <c r="DO371" s="765"/>
    </row>
    <row r="372" spans="1:119" x14ac:dyDescent="0.4">
      <c r="M372" s="1034"/>
      <c r="N372" s="1034"/>
    </row>
    <row r="373" spans="1:119" x14ac:dyDescent="0.4">
      <c r="M373" s="1034"/>
      <c r="N373" s="1034"/>
    </row>
    <row r="374" spans="1:119" x14ac:dyDescent="0.4">
      <c r="M374" s="1034"/>
      <c r="N374" s="1034"/>
    </row>
    <row r="375" spans="1:119" x14ac:dyDescent="0.4">
      <c r="M375" s="1034"/>
      <c r="N375" s="1034"/>
    </row>
    <row r="376" spans="1:119" x14ac:dyDescent="0.4">
      <c r="F376" s="860"/>
      <c r="M376" s="1034"/>
      <c r="N376" s="1034"/>
    </row>
    <row r="377" spans="1:119" x14ac:dyDescent="0.4">
      <c r="C377" s="1066" t="s">
        <v>955</v>
      </c>
      <c r="D377" s="682">
        <f>SUMIF(H101:H357,"&gt;0",B101:B357)</f>
        <v>31</v>
      </c>
      <c r="M377" s="1034"/>
      <c r="N377" s="1034"/>
    </row>
    <row r="378" spans="1:119" x14ac:dyDescent="0.4">
      <c r="M378" s="1034"/>
      <c r="N378" s="1034"/>
    </row>
    <row r="379" spans="1:119" x14ac:dyDescent="0.4">
      <c r="C379" s="836" t="s">
        <v>956</v>
      </c>
      <c r="D379" s="836">
        <f>IF(D24="January",1,IF(D24="February",2,IF(D24="March",3,IF(D24="April",4,IF(D24="May",5,IF(D24="June",6,0))))))</f>
        <v>0</v>
      </c>
      <c r="M379" s="1034"/>
      <c r="N379" s="1034"/>
    </row>
    <row r="380" spans="1:119" x14ac:dyDescent="0.4">
      <c r="C380" s="836" t="s">
        <v>957</v>
      </c>
      <c r="D380" s="836">
        <f>IF(D24="July",7,IF(D24="August",8,IF(D24="September",9,IF(D24="October",10,IF(D24="November",11,IF(D24="December",12,0))))))</f>
        <v>7</v>
      </c>
      <c r="M380" s="1034"/>
      <c r="N380" s="1034"/>
    </row>
    <row r="381" spans="1:119" x14ac:dyDescent="0.4">
      <c r="M381" s="1034"/>
      <c r="N381" s="1034"/>
    </row>
    <row r="382" spans="1:119" x14ac:dyDescent="0.4">
      <c r="M382" s="1034"/>
      <c r="N382" s="1034"/>
    </row>
    <row r="383" spans="1:119" s="1072" customFormat="1" ht="24.6" x14ac:dyDescent="0.4">
      <c r="C383" s="1071" t="s">
        <v>924</v>
      </c>
      <c r="D383" s="1071" t="s">
        <v>958</v>
      </c>
      <c r="E383" s="1071" t="s">
        <v>959</v>
      </c>
      <c r="M383" s="1073"/>
      <c r="N383" s="1073"/>
      <c r="CA383" s="1074"/>
      <c r="CB383" s="1074"/>
      <c r="CG383" s="1074"/>
      <c r="CK383" s="1075"/>
      <c r="CL383" s="1075"/>
      <c r="CM383" s="1074"/>
      <c r="CN383" s="1074"/>
      <c r="CO383" s="1076"/>
      <c r="CP383" s="1074"/>
      <c r="DA383" s="1077"/>
      <c r="DB383" s="1074"/>
      <c r="DG383" s="836"/>
      <c r="DH383" s="889"/>
      <c r="DI383" s="889"/>
      <c r="DJ383" s="836"/>
      <c r="DK383" s="765"/>
      <c r="DL383" s="765"/>
      <c r="DM383" s="765"/>
      <c r="DN383" s="765"/>
      <c r="DO383" s="765"/>
    </row>
    <row r="384" spans="1:119" x14ac:dyDescent="0.4">
      <c r="C384" s="1078">
        <v>1</v>
      </c>
      <c r="D384" s="1033">
        <f>M107</f>
        <v>2.9688011849467864</v>
      </c>
      <c r="E384" s="1033">
        <f>O107</f>
        <v>107.81582060832194</v>
      </c>
      <c r="M384" s="1034"/>
      <c r="N384" s="1034"/>
    </row>
    <row r="385" spans="3:14" x14ac:dyDescent="0.4">
      <c r="C385" s="1078">
        <v>2</v>
      </c>
      <c r="D385" s="1033">
        <f>M115</f>
        <v>2.2532105111576972</v>
      </c>
      <c r="E385" s="1033">
        <f>O115</f>
        <v>76.622081441282759</v>
      </c>
      <c r="M385" s="1034"/>
      <c r="N385" s="1034"/>
    </row>
    <row r="386" spans="3:14" x14ac:dyDescent="0.4">
      <c r="C386" s="1078">
        <v>3</v>
      </c>
      <c r="D386" s="1033">
        <f>M123</f>
        <v>2.3332765379356903</v>
      </c>
      <c r="E386" s="1033">
        <f>O123</f>
        <v>82.862445772376645</v>
      </c>
      <c r="M386" s="1034"/>
      <c r="N386" s="1034"/>
    </row>
    <row r="387" spans="3:14" x14ac:dyDescent="0.4">
      <c r="C387" s="1078">
        <v>4</v>
      </c>
      <c r="D387" s="1033">
        <f>M131</f>
        <v>2.414978078372942</v>
      </c>
      <c r="E387" s="1033">
        <f>O131</f>
        <v>91.809770438247554</v>
      </c>
      <c r="M387" s="1034"/>
      <c r="N387" s="1034"/>
    </row>
    <row r="388" spans="3:14" x14ac:dyDescent="0.4">
      <c r="C388" s="1078">
        <v>5</v>
      </c>
      <c r="D388" s="1033">
        <f>M139</f>
        <v>2.2393880713515735</v>
      </c>
      <c r="E388" s="1033">
        <f>O139</f>
        <v>81.634561794235807</v>
      </c>
      <c r="M388" s="1034"/>
      <c r="N388" s="1034"/>
    </row>
    <row r="389" spans="3:14" x14ac:dyDescent="0.4">
      <c r="C389" s="1078">
        <v>6</v>
      </c>
      <c r="D389" s="1033">
        <f>M147</f>
        <v>3.4583196867675503</v>
      </c>
      <c r="E389" s="1033">
        <f>O147</f>
        <v>116.23025331617627</v>
      </c>
      <c r="M389" s="1034"/>
      <c r="N389" s="1034"/>
    </row>
    <row r="390" spans="3:14" x14ac:dyDescent="0.4">
      <c r="C390" s="1078">
        <v>7</v>
      </c>
      <c r="D390" s="1033">
        <f>M155</f>
        <v>2.3359254100473401</v>
      </c>
      <c r="E390" s="1033">
        <f>O155</f>
        <v>83.915446292533034</v>
      </c>
      <c r="M390" s="1034"/>
      <c r="N390" s="1034"/>
    </row>
    <row r="391" spans="3:14" x14ac:dyDescent="0.4">
      <c r="C391" s="1078">
        <v>8</v>
      </c>
      <c r="D391" s="1033">
        <f>M163</f>
        <v>3.1113649132938352</v>
      </c>
      <c r="E391" s="1033">
        <f>O163</f>
        <v>113.43456972471316</v>
      </c>
      <c r="M391" s="1034"/>
      <c r="N391" s="1034"/>
    </row>
    <row r="392" spans="3:14" x14ac:dyDescent="0.4">
      <c r="C392" s="1078">
        <v>9</v>
      </c>
      <c r="D392" s="1033">
        <f>M171</f>
        <v>2.633415082665</v>
      </c>
      <c r="E392" s="1033">
        <f>O171</f>
        <v>86.326599660492207</v>
      </c>
      <c r="M392" s="1034"/>
      <c r="N392" s="1034"/>
    </row>
    <row r="393" spans="3:14" x14ac:dyDescent="0.4">
      <c r="C393" s="1078">
        <v>10</v>
      </c>
      <c r="D393" s="1033">
        <f>M179</f>
        <v>3.0824007704734901</v>
      </c>
      <c r="E393" s="1033">
        <f>O179</f>
        <v>105.01886684847085</v>
      </c>
      <c r="M393" s="1034"/>
      <c r="N393" s="1034"/>
    </row>
    <row r="394" spans="3:14" x14ac:dyDescent="0.4">
      <c r="C394" s="1078">
        <v>11</v>
      </c>
      <c r="D394" s="1033">
        <f>M192</f>
        <v>2.6464452623176928</v>
      </c>
      <c r="E394" s="1033">
        <f>O192</f>
        <v>85.067620614194922</v>
      </c>
      <c r="M394" s="1034"/>
      <c r="N394" s="1034"/>
    </row>
    <row r="395" spans="3:14" x14ac:dyDescent="0.4">
      <c r="C395" s="1078">
        <v>12</v>
      </c>
      <c r="D395" s="1033">
        <f>M200</f>
        <v>2.8032881679207491</v>
      </c>
      <c r="E395" s="1033">
        <f>O200</f>
        <v>104.97272356373209</v>
      </c>
      <c r="M395" s="1034"/>
      <c r="N395" s="1034"/>
    </row>
    <row r="396" spans="3:14" x14ac:dyDescent="0.4">
      <c r="C396" s="1078">
        <v>13</v>
      </c>
      <c r="D396" s="1033">
        <f>M208</f>
        <v>2.4460916423724273</v>
      </c>
      <c r="E396" s="1033">
        <f>O208</f>
        <v>81.813763077927391</v>
      </c>
      <c r="M396" s="1034"/>
      <c r="N396" s="1034"/>
    </row>
    <row r="397" spans="3:14" x14ac:dyDescent="0.4">
      <c r="C397" s="1078">
        <v>14</v>
      </c>
      <c r="D397" s="1033">
        <f>M216</f>
        <v>2.7221725575079514</v>
      </c>
      <c r="E397" s="1033">
        <f>O216</f>
        <v>97.956702437728651</v>
      </c>
      <c r="M397" s="1034"/>
      <c r="N397" s="1034"/>
    </row>
    <row r="398" spans="3:14" x14ac:dyDescent="0.4">
      <c r="C398" s="1078">
        <v>15</v>
      </c>
      <c r="D398" s="1033">
        <f>M224</f>
        <v>3.3195481263352016</v>
      </c>
      <c r="E398" s="1033">
        <f>O224</f>
        <v>121.31454614713404</v>
      </c>
      <c r="M398" s="1034"/>
      <c r="N398" s="1034"/>
    </row>
    <row r="399" spans="3:14" x14ac:dyDescent="0.4">
      <c r="C399" s="1078">
        <v>16</v>
      </c>
      <c r="D399" s="1033">
        <f>M232</f>
        <v>2.803840254355487</v>
      </c>
      <c r="E399" s="1033">
        <f>O232</f>
        <v>102.61156650485911</v>
      </c>
      <c r="M399" s="1034"/>
      <c r="N399" s="1034"/>
    </row>
    <row r="400" spans="3:14" x14ac:dyDescent="0.4">
      <c r="C400" s="1078">
        <v>17</v>
      </c>
      <c r="D400" s="1033">
        <f>M240</f>
        <v>3.6394852541697809</v>
      </c>
      <c r="E400" s="1033">
        <f>O240</f>
        <v>148.63497449676163</v>
      </c>
      <c r="M400" s="1034"/>
      <c r="N400" s="1034"/>
    </row>
    <row r="401" spans="3:14" x14ac:dyDescent="0.4">
      <c r="C401" s="1078">
        <v>18</v>
      </c>
      <c r="D401" s="1033">
        <f>M248</f>
        <v>3.3978482837831048</v>
      </c>
      <c r="E401" s="1033">
        <f>O248</f>
        <v>116.59533102015401</v>
      </c>
      <c r="M401" s="1034"/>
      <c r="N401" s="1034"/>
    </row>
    <row r="402" spans="3:14" x14ac:dyDescent="0.4">
      <c r="C402" s="1078">
        <v>19</v>
      </c>
      <c r="D402" s="1033">
        <f>M256</f>
        <v>3.6405102649830785</v>
      </c>
      <c r="E402" s="1033">
        <f>O256</f>
        <v>127.38363066076333</v>
      </c>
      <c r="M402" s="1034"/>
      <c r="N402" s="1034"/>
    </row>
    <row r="403" spans="3:14" x14ac:dyDescent="0.4">
      <c r="C403" s="1078">
        <v>20</v>
      </c>
      <c r="D403" s="1033">
        <f>M264</f>
        <v>3.4399444071236438</v>
      </c>
      <c r="E403" s="1033">
        <f>O264</f>
        <v>117.48030911816718</v>
      </c>
      <c r="M403" s="1034"/>
      <c r="N403" s="1034"/>
    </row>
    <row r="404" spans="3:14" x14ac:dyDescent="0.4">
      <c r="C404" s="1078">
        <v>21</v>
      </c>
      <c r="D404" s="1033">
        <f>M277</f>
        <v>3.5635884589836437</v>
      </c>
      <c r="E404" s="1033">
        <f>O277</f>
        <v>133.66938063000012</v>
      </c>
      <c r="M404" s="1034"/>
      <c r="N404" s="1034"/>
    </row>
    <row r="405" spans="3:14" x14ac:dyDescent="0.4">
      <c r="C405" s="1078">
        <v>22</v>
      </c>
      <c r="D405" s="1033">
        <f>M285</f>
        <v>3.1889524898715154</v>
      </c>
      <c r="E405" s="1033">
        <f>O285</f>
        <v>114.47437987577118</v>
      </c>
      <c r="M405" s="1034"/>
      <c r="N405" s="1034"/>
    </row>
    <row r="406" spans="3:14" x14ac:dyDescent="0.4">
      <c r="C406" s="1078">
        <v>23</v>
      </c>
      <c r="D406" s="1033">
        <f>M293</f>
        <v>3.533303171624155</v>
      </c>
      <c r="E406" s="1033">
        <f>O293</f>
        <v>116.81320226298608</v>
      </c>
      <c r="M406" s="1034"/>
      <c r="N406" s="1034"/>
    </row>
    <row r="407" spans="3:14" x14ac:dyDescent="0.4">
      <c r="C407" s="1078">
        <v>24</v>
      </c>
      <c r="D407" s="1033">
        <f>M301</f>
        <v>3.3060623491668042</v>
      </c>
      <c r="E407" s="1033">
        <f>O301</f>
        <v>118.57505421189133</v>
      </c>
      <c r="M407" s="1034"/>
      <c r="N407" s="1034"/>
    </row>
    <row r="408" spans="3:14" x14ac:dyDescent="0.4">
      <c r="C408" s="1078">
        <v>25</v>
      </c>
      <c r="D408" s="1033">
        <f>M309</f>
        <v>4.1040112671684392</v>
      </c>
      <c r="E408" s="1033">
        <f>O309</f>
        <v>131.97206235045877</v>
      </c>
      <c r="M408" s="1034"/>
      <c r="N408" s="1034"/>
    </row>
    <row r="409" spans="3:14" x14ac:dyDescent="0.4">
      <c r="C409" s="1078">
        <v>26</v>
      </c>
      <c r="D409" s="1033">
        <f>M317</f>
        <v>2.6286032250707678</v>
      </c>
      <c r="E409" s="1033">
        <f>O317</f>
        <v>93.232804576625298</v>
      </c>
      <c r="M409" s="1034"/>
      <c r="N409" s="1034"/>
    </row>
    <row r="410" spans="3:14" x14ac:dyDescent="0.4">
      <c r="C410" s="1078">
        <v>27</v>
      </c>
      <c r="D410" s="1033">
        <f>M325</f>
        <v>2.9131124430707658</v>
      </c>
      <c r="E410" s="1033">
        <f>O325</f>
        <v>105.7841272027399</v>
      </c>
      <c r="M410" s="1034"/>
      <c r="N410" s="1034"/>
    </row>
    <row r="411" spans="3:14" x14ac:dyDescent="0.4">
      <c r="C411" s="1078">
        <v>28</v>
      </c>
      <c r="D411" s="1033">
        <f>M333</f>
        <v>3.0362314587899011</v>
      </c>
      <c r="E411" s="1033">
        <f>O333</f>
        <v>106.50391016921773</v>
      </c>
      <c r="M411" s="1034"/>
      <c r="N411" s="1034"/>
    </row>
    <row r="412" spans="3:14" x14ac:dyDescent="0.4">
      <c r="C412" s="1078">
        <v>29</v>
      </c>
      <c r="D412" s="1033">
        <f>M341</f>
        <v>3.8982193911060619</v>
      </c>
      <c r="E412" s="1033">
        <f>O341</f>
        <v>139.09886568091466</v>
      </c>
      <c r="M412" s="1034"/>
      <c r="N412" s="1034"/>
    </row>
    <row r="413" spans="3:14" x14ac:dyDescent="0.4">
      <c r="C413" s="1078">
        <v>30</v>
      </c>
      <c r="D413" s="1033">
        <f>M349</f>
        <v>3.6616376381767894</v>
      </c>
      <c r="E413" s="1033">
        <f>O349</f>
        <v>132.29160361308703</v>
      </c>
      <c r="M413" s="1034"/>
      <c r="N413" s="1034"/>
    </row>
    <row r="414" spans="3:14" x14ac:dyDescent="0.4">
      <c r="C414" s="1078"/>
      <c r="D414" s="1033"/>
      <c r="E414" s="1033"/>
      <c r="M414" s="1034"/>
      <c r="N414" s="1034"/>
    </row>
    <row r="415" spans="3:14" x14ac:dyDescent="0.4">
      <c r="M415" s="1034"/>
      <c r="N415" s="1034"/>
    </row>
    <row r="416" spans="3:14" x14ac:dyDescent="0.4">
      <c r="D416" s="869" t="s">
        <v>862</v>
      </c>
      <c r="E416" s="869" t="s">
        <v>863</v>
      </c>
      <c r="M416" s="1034"/>
      <c r="N416" s="1034"/>
    </row>
    <row r="417" spans="3:14" x14ac:dyDescent="0.4">
      <c r="C417" s="1079" t="s">
        <v>960</v>
      </c>
      <c r="D417" s="874">
        <f>SMALL(($M$107,$M$115,$M$123,$M$131,$M$139,$M$147,$M$155,$M$163,$M$171,$M$179,$M$192,$M$200,$M$208,$M$216,$M$224,$M$232,$M$240,$M$248,$M$256,$M$264,$M$277,$M$285,$M$293,$M$301,$M$309,$M$317,$M$325,$M$333,$M$341,$M$349),1)</f>
        <v>2.2393880713515735</v>
      </c>
      <c r="E417" s="874">
        <f>SMALL(($O$107,$O$115,$O$123,$O$131,$O$139,$O$147,$O$155,$O$163,$O$171,$O$179,$O$192,$O$200,$O$208,$O$216,$O$224,$O$232,$O$240,$O$248,$O$256,$O$264,$O$277,$O$285,$O$293,$O$301,$O$309,$O$317,$O$325,$O$333,$O$341,$O$349),1)</f>
        <v>76.622081441282759</v>
      </c>
      <c r="M417" s="1034"/>
      <c r="N417" s="1034"/>
    </row>
    <row r="418" spans="3:14" x14ac:dyDescent="0.4">
      <c r="C418" s="1080" t="s">
        <v>961</v>
      </c>
      <c r="D418" s="884">
        <f>($M$107+$M$115+$M$123+$M$131+$M$139+$M$147+$M$155+$M$163+$M$171+$M$179+$M$192+$M$200+$M$208+$M$216+$M$224+$M$232+$M$240+$M$248+$M$256+$M$264+$M$277+$M$285+$M$293+$M$301+$M$309+$M$317+$M$325+$M$333+$M$341+$M$349)/$D$377</f>
        <v>2.9523863342228989</v>
      </c>
      <c r="E418" s="884">
        <f>($O$107+$O$115+$O$123+$O$131+$O$139+$O$147+$O$155+$O$163+$O$171+$O$179+$O$192+$O$200+$O$208+$O$216+$O$224+$O$232+$O$240+$O$248+$O$256+$O$264+$O$277+$O$285+$O$293+$O$301+$O$309+$O$317+$O$325+$O$333+$O$341+$O$349)/$D$377</f>
        <v>104.57796690683756</v>
      </c>
      <c r="M418" s="1034"/>
      <c r="N418" s="1034"/>
    </row>
    <row r="419" spans="3:14" x14ac:dyDescent="0.4">
      <c r="M419" s="1034"/>
      <c r="N419" s="1034"/>
    </row>
    <row r="420" spans="3:14" x14ac:dyDescent="0.4">
      <c r="M420" s="1034"/>
      <c r="N420" s="1034"/>
    </row>
    <row r="421" spans="3:14" x14ac:dyDescent="0.4">
      <c r="M421" s="1034"/>
      <c r="N421" s="1034"/>
    </row>
    <row r="422" spans="3:14" x14ac:dyDescent="0.4">
      <c r="M422" s="1034"/>
      <c r="N422" s="1034"/>
    </row>
    <row r="423" spans="3:14" x14ac:dyDescent="0.4">
      <c r="M423" s="1034"/>
      <c r="N423" s="1034"/>
    </row>
    <row r="424" spans="3:14" x14ac:dyDescent="0.4">
      <c r="M424" s="1034"/>
      <c r="N424" s="1034"/>
    </row>
    <row r="425" spans="3:14" x14ac:dyDescent="0.4">
      <c r="M425" s="1034"/>
      <c r="N425" s="1034"/>
    </row>
    <row r="426" spans="3:14" x14ac:dyDescent="0.4">
      <c r="M426" s="1034"/>
      <c r="N426" s="1034"/>
    </row>
    <row r="427" spans="3:14" x14ac:dyDescent="0.4">
      <c r="M427" s="1034"/>
      <c r="N427" s="1034"/>
    </row>
    <row r="428" spans="3:14" x14ac:dyDescent="0.4">
      <c r="M428" s="1034"/>
      <c r="N428" s="1034"/>
    </row>
    <row r="429" spans="3:14" x14ac:dyDescent="0.4">
      <c r="M429" s="1034"/>
      <c r="N429" s="1034"/>
    </row>
    <row r="430" spans="3:14" x14ac:dyDescent="0.4">
      <c r="M430" s="1034"/>
      <c r="N430" s="1034"/>
    </row>
    <row r="431" spans="3:14" x14ac:dyDescent="0.4">
      <c r="M431" s="1034"/>
      <c r="N431" s="1034"/>
    </row>
    <row r="432" spans="3:14" x14ac:dyDescent="0.4">
      <c r="C432" s="1034"/>
      <c r="M432" s="1034"/>
      <c r="N432" s="1034"/>
    </row>
    <row r="433" spans="13:14" x14ac:dyDescent="0.4">
      <c r="M433" s="1034"/>
      <c r="N433" s="1034"/>
    </row>
    <row r="434" spans="13:14" x14ac:dyDescent="0.4">
      <c r="M434" s="1034"/>
      <c r="N434" s="1034"/>
    </row>
    <row r="435" spans="13:14" x14ac:dyDescent="0.4">
      <c r="M435" s="1034"/>
      <c r="N435" s="1034"/>
    </row>
    <row r="436" spans="13:14" x14ac:dyDescent="0.4">
      <c r="M436" s="1034"/>
      <c r="N436" s="1034"/>
    </row>
    <row r="437" spans="13:14" x14ac:dyDescent="0.4">
      <c r="M437" s="1034"/>
      <c r="N437" s="1034"/>
    </row>
    <row r="438" spans="13:14" x14ac:dyDescent="0.4">
      <c r="M438" s="1034"/>
      <c r="N438" s="1034"/>
    </row>
  </sheetData>
  <mergeCells count="30">
    <mergeCell ref="CS7:CT7"/>
    <mergeCell ref="CY7:CZ7"/>
    <mergeCell ref="DA7:DB7"/>
    <mergeCell ref="DU7:DU10"/>
    <mergeCell ref="CY8:CZ8"/>
    <mergeCell ref="DA8:DB8"/>
    <mergeCell ref="CY9:CZ10"/>
    <mergeCell ref="DA9:DB10"/>
    <mergeCell ref="CY6:DD6"/>
    <mergeCell ref="BR7:BR10"/>
    <mergeCell ref="BS7:BS10"/>
    <mergeCell ref="BT7:BT10"/>
    <mergeCell ref="BU7:BU10"/>
    <mergeCell ref="BV7:BV10"/>
    <mergeCell ref="BW7:BW10"/>
    <mergeCell ref="BX7:BX10"/>
    <mergeCell ref="BY7:BY10"/>
    <mergeCell ref="BZ7:BZ10"/>
    <mergeCell ref="CJ6:CK6"/>
    <mergeCell ref="CM6:CO6"/>
    <mergeCell ref="CQ6:CR6"/>
    <mergeCell ref="CS6:CT6"/>
    <mergeCell ref="CU6:CV6"/>
    <mergeCell ref="CW6:CX6"/>
    <mergeCell ref="CH6:CI6"/>
    <mergeCell ref="A6:M6"/>
    <mergeCell ref="BR6:BT6"/>
    <mergeCell ref="CA6:CB6"/>
    <mergeCell ref="CC6:CD6"/>
    <mergeCell ref="CF6:CG6"/>
  </mergeCells>
  <phoneticPr fontId="40" type="noConversion"/>
  <conditionalFormatting sqref="BT11:BT36 BT39:BT41">
    <cfRule type="expression" dxfId="13" priority="12" stopIfTrue="1">
      <formula>LEN(BT11)&gt;0</formula>
    </cfRule>
  </conditionalFormatting>
  <conditionalFormatting sqref="EX11:EX36 EX39:EX41">
    <cfRule type="expression" dxfId="12" priority="10" stopIfTrue="1">
      <formula>AND(LEN(EX11)=0,LEN(EH11)&gt;0)</formula>
    </cfRule>
    <cfRule type="expression" dxfId="11" priority="11" stopIfTrue="1">
      <formula>ISERROR(EX11)</formula>
    </cfRule>
  </conditionalFormatting>
  <conditionalFormatting sqref="EM11:EM36 EM39:EM41">
    <cfRule type="expression" dxfId="10" priority="8" stopIfTrue="1">
      <formula>AND(LEN(EM11)=0,LEN(FC11)&gt;0)</formula>
    </cfRule>
    <cfRule type="expression" dxfId="9" priority="9" stopIfTrue="1">
      <formula>ISERROR(EM11)</formula>
    </cfRule>
  </conditionalFormatting>
  <conditionalFormatting sqref="EV11:EV36 EV39:EV41">
    <cfRule type="expression" dxfId="8" priority="13" stopIfTrue="1">
      <formula>AND(LEN(EV11)=0,LEN(EG11)&gt;0)</formula>
    </cfRule>
    <cfRule type="expression" dxfId="7" priority="14" stopIfTrue="1">
      <formula>ISERROR(EV11)</formula>
    </cfRule>
  </conditionalFormatting>
  <conditionalFormatting sqref="BT37:BT38">
    <cfRule type="expression" dxfId="6" priority="5" stopIfTrue="1">
      <formula>LEN(BT37)&gt;0</formula>
    </cfRule>
  </conditionalFormatting>
  <conditionalFormatting sqref="EX37:EX38">
    <cfRule type="expression" dxfId="5" priority="3" stopIfTrue="1">
      <formula>AND(LEN(EX37)=0,LEN(EH37)&gt;0)</formula>
    </cfRule>
    <cfRule type="expression" dxfId="4" priority="4" stopIfTrue="1">
      <formula>ISERROR(EX37)</formula>
    </cfRule>
  </conditionalFormatting>
  <conditionalFormatting sqref="EM37:EM38">
    <cfRule type="expression" dxfId="3" priority="1" stopIfTrue="1">
      <formula>AND(LEN(EM37)=0,LEN(FC37)&gt;0)</formula>
    </cfRule>
    <cfRule type="expression" dxfId="2" priority="2" stopIfTrue="1">
      <formula>ISERROR(EM37)</formula>
    </cfRule>
  </conditionalFormatting>
  <conditionalFormatting sqref="EV37:EV38">
    <cfRule type="expression" dxfId="1" priority="6" stopIfTrue="1">
      <formula>AND(LEN(EV37)=0,LEN(EG37)&gt;0)</formula>
    </cfRule>
    <cfRule type="expression" dxfId="0" priority="7" stopIfTrue="1">
      <formula>ISERROR(EV37)</formula>
    </cfRule>
  </conditionalFormatting>
  <dataValidations count="10">
    <dataValidation type="custom" allowBlank="1" showInputMessage="1" showErrorMessage="1" errorTitle="   IMPORTANT!  Invalid Entry ..." error="Enter a value between 0 and 999999.99_x000a__x000a_Please use no more than two (2) decimal(s)._x000a__x000a_Use a blank cell (and NOT zero) to indicate no activity / measurement._x000a__x000a_" sqref="EM11:EM41" xr:uid="{00000000-0002-0000-0C00-000000000000}">
      <formula1>OR(AND(EM11&gt;=0,EM11&lt;=999999.99),LEN(EM11)=0)</formula1>
    </dataValidation>
    <dataValidation type="custom" allowBlank="1" showInputMessage="1" showErrorMessage="1" errorTitle="   IMPORTANT!  Invalid Entry ..." error="Enter a value between 0 and 99999.99_x000a__x000a_Please use no more than two (2) decimal(s)._x000a__x000a_Use a blank cell (and NOT zero) to indicate no activity / measurement._x000a__x000a_" sqref="EV11:EV41 EX11:EX41" xr:uid="{00000000-0002-0000-0C00-000001000000}">
      <formula1>OR(AND(EV11&gt;=0,EV11&lt;=99999.99),LEN(EV11)=0)</formula1>
    </dataValidation>
    <dataValidation type="custom" allowBlank="1" showInputMessage="1" showErrorMessage="1" errorTitle="   IMPORTANT!  Invalid Entry ..." error="Enter a value between 0 and 999.99_x000a__x000a_Please use no more than two (2) decimals._x000a__x000a_Use a blank cell (and NOT zero) to indicate no activity / measurement._x000a__x000a_" sqref="BY11:BY40" xr:uid="{00000000-0002-0000-0C00-000002000000}">
      <formula1>OR(AND(BY11&gt;=0.01,BY11&lt;=999.99),LEN(BY11)=0)</formula1>
    </dataValidation>
    <dataValidation type="custom" allowBlank="1" showInputMessage="1" showErrorMessage="1" errorTitle="   IMPORTANT!  Invalid Entry ..." error="Enter a value between 0 and 999.99_x000a__x000a_Please use no more than two (2) decimals._x000a__x000a_Use a blank cell (and NOT zero) to indicate no activity / measurement._x000a__x000a_" sqref="BZ11:BZ40 BU11:BX40" xr:uid="{00000000-0002-0000-0C00-000003000000}">
      <formula1>OR(AND(BU11&gt;0.01,BU11&lt;=999.99),LEN(BU11)=0)</formula1>
    </dataValidation>
    <dataValidation type="custom" allowBlank="1" showInputMessage="1" showErrorMessage="1" errorTitle="   IMPORTANT!  Invalid Entry ..." error="Enter a value between 0 and 999.999_x000a__x000a_Please use no more than three (3) decimals._x000a__x000a_Use a blank cell (and NOT zero) to indicate no activity / measurement._x000a__x000a_" sqref="BR11:BR40" xr:uid="{00000000-0002-0000-0C00-000004000000}">
      <formula1>OR(AND(BR11&gt;0.00000000001,BR11&lt;=99999.999),LEN(BR11)=0)</formula1>
    </dataValidation>
    <dataValidation type="custom" allowBlank="1" showInputMessage="1" showErrorMessage="1" errorTitle="   IMPORTANT!  Invalid Entry ..." error="Enter a value between 0 and 999.999_x000a__x000a_Please use no more than three (3) decimals._x000a__x000a_Use a blank cell (and NOT zero) to indicate no activity / measurement._x000a__x000a_" sqref="BS11:BS40" xr:uid="{00000000-0002-0000-0C00-000005000000}">
      <formula1>OR(AND(BS11&gt;0.00000000001,BS11&lt;=999.999),LEN(BS11)=0)</formula1>
    </dataValidation>
    <dataValidation type="custom" allowBlank="1" showInputMessage="1" showErrorMessage="1" errorTitle="   IMPORTANT!  Invalid Entry ..." error="Enter a value between 0 and 99,999_x000a__x000a_Whole numbers are required._x000a__x000a_" sqref="BT11:BT41" xr:uid="{00000000-0002-0000-0C00-000006000000}">
      <formula1>OR(AND(BT11&gt;=0,BT11&lt;=99999),LEN(BT11)=0)</formula1>
    </dataValidation>
    <dataValidation type="decimal" allowBlank="1" showInputMessage="1" showErrorMessage="1" errorTitle="   IMPORTANT!  Invalid Entry ..." error="Enter a value bewteen 0 and 14. _x000a__x000a_Please use no more than one (1) decimal._x000a__x000a_" sqref="LL65547:LN65577 VH65547:VJ65577 AFD65547:AFF65577 AOZ65547:APB65577 AYV65547:AYX65577 BIR65547:BIT65577 BSN65547:BSP65577 CCJ65547:CCL65577 CMF65547:CMH65577 CWB65547:CWD65577 DFX65547:DFZ65577 DPT65547:DPV65577 DZP65547:DZR65577 EJL65547:EJN65577 ETH65547:ETJ65577 FDD65547:FDF65577 FMZ65547:FNB65577 FWV65547:FWX65577 GGR65547:GGT65577 GQN65547:GQP65577 HAJ65547:HAL65577 HKF65547:HKH65577 HUB65547:HUD65577 IDX65547:IDZ65577 INT65547:INV65577 IXP65547:IXR65577 JHL65547:JHN65577 JRH65547:JRJ65577 KBD65547:KBF65577 KKZ65547:KLB65577 KUV65547:KUX65577 LER65547:LET65577 LON65547:LOP65577 LYJ65547:LYL65577 MIF65547:MIH65577 MSB65547:MSD65577 NBX65547:NBZ65577 NLT65547:NLV65577 NVP65547:NVR65577 OFL65547:OFN65577 OPH65547:OPJ65577 OZD65547:OZF65577 PIZ65547:PJB65577 PSV65547:PSX65577 QCR65547:QCT65577 QMN65547:QMP65577 QWJ65547:QWL65577 RGF65547:RGH65577 RQB65547:RQD65577 RZX65547:RZZ65577 SJT65547:SJV65577 STP65547:STR65577 TDL65547:TDN65577 TNH65547:TNJ65577 TXD65547:TXF65577 UGZ65547:UHB65577 UQV65547:UQX65577 VAR65547:VAT65577 VKN65547:VKP65577 VUJ65547:VUL65577 WEF65547:WEH65577 WOB65547:WOD65577 WXX65547:WXZ65577 LL131083:LN131113 VH131083:VJ131113 AFD131083:AFF131113 AOZ131083:APB131113 AYV131083:AYX131113 BIR131083:BIT131113 BSN131083:BSP131113 CCJ131083:CCL131113 CMF131083:CMH131113 CWB131083:CWD131113 DFX131083:DFZ131113 DPT131083:DPV131113 DZP131083:DZR131113 EJL131083:EJN131113 ETH131083:ETJ131113 FDD131083:FDF131113 FMZ131083:FNB131113 FWV131083:FWX131113 GGR131083:GGT131113 GQN131083:GQP131113 HAJ131083:HAL131113 HKF131083:HKH131113 HUB131083:HUD131113 IDX131083:IDZ131113 INT131083:INV131113 IXP131083:IXR131113 JHL131083:JHN131113 JRH131083:JRJ131113 KBD131083:KBF131113 KKZ131083:KLB131113 KUV131083:KUX131113 LER131083:LET131113 LON131083:LOP131113 LYJ131083:LYL131113 MIF131083:MIH131113 MSB131083:MSD131113 NBX131083:NBZ131113 NLT131083:NLV131113 NVP131083:NVR131113 OFL131083:OFN131113 OPH131083:OPJ131113 OZD131083:OZF131113 PIZ131083:PJB131113 PSV131083:PSX131113 QCR131083:QCT131113 QMN131083:QMP131113 QWJ131083:QWL131113 RGF131083:RGH131113 RQB131083:RQD131113 RZX131083:RZZ131113 SJT131083:SJV131113 STP131083:STR131113 TDL131083:TDN131113 TNH131083:TNJ131113 TXD131083:TXF131113 UGZ131083:UHB131113 UQV131083:UQX131113 VAR131083:VAT131113 VKN131083:VKP131113 VUJ131083:VUL131113 WEF131083:WEH131113 WOB131083:WOD131113 WXX131083:WXZ131113 LL196619:LN196649 VH196619:VJ196649 AFD196619:AFF196649 AOZ196619:APB196649 AYV196619:AYX196649 BIR196619:BIT196649 BSN196619:BSP196649 CCJ196619:CCL196649 CMF196619:CMH196649 CWB196619:CWD196649 DFX196619:DFZ196649 DPT196619:DPV196649 DZP196619:DZR196649 EJL196619:EJN196649 ETH196619:ETJ196649 FDD196619:FDF196649 FMZ196619:FNB196649 FWV196619:FWX196649 GGR196619:GGT196649 GQN196619:GQP196649 HAJ196619:HAL196649 HKF196619:HKH196649 HUB196619:HUD196649 IDX196619:IDZ196649 INT196619:INV196649 IXP196619:IXR196649 JHL196619:JHN196649 JRH196619:JRJ196649 KBD196619:KBF196649 KKZ196619:KLB196649 KUV196619:KUX196649 LER196619:LET196649 LON196619:LOP196649 LYJ196619:LYL196649 MIF196619:MIH196649 MSB196619:MSD196649 NBX196619:NBZ196649 NLT196619:NLV196649 NVP196619:NVR196649 OFL196619:OFN196649 OPH196619:OPJ196649 OZD196619:OZF196649 PIZ196619:PJB196649 PSV196619:PSX196649 QCR196619:QCT196649 QMN196619:QMP196649 QWJ196619:QWL196649 RGF196619:RGH196649 RQB196619:RQD196649 RZX196619:RZZ196649 SJT196619:SJV196649 STP196619:STR196649 TDL196619:TDN196649 TNH196619:TNJ196649 TXD196619:TXF196649 UGZ196619:UHB196649 UQV196619:UQX196649 VAR196619:VAT196649 VKN196619:VKP196649 VUJ196619:VUL196649 WEF196619:WEH196649 WOB196619:WOD196649 WXX196619:WXZ196649 LL262155:LN262185 VH262155:VJ262185 AFD262155:AFF262185 AOZ262155:APB262185 AYV262155:AYX262185 BIR262155:BIT262185 BSN262155:BSP262185 CCJ262155:CCL262185 CMF262155:CMH262185 CWB262155:CWD262185 DFX262155:DFZ262185 DPT262155:DPV262185 DZP262155:DZR262185 EJL262155:EJN262185 ETH262155:ETJ262185 FDD262155:FDF262185 FMZ262155:FNB262185 FWV262155:FWX262185 GGR262155:GGT262185 GQN262155:GQP262185 HAJ262155:HAL262185 HKF262155:HKH262185 HUB262155:HUD262185 IDX262155:IDZ262185 INT262155:INV262185 IXP262155:IXR262185 JHL262155:JHN262185 JRH262155:JRJ262185 KBD262155:KBF262185 KKZ262155:KLB262185 KUV262155:KUX262185 LER262155:LET262185 LON262155:LOP262185 LYJ262155:LYL262185 MIF262155:MIH262185 MSB262155:MSD262185 NBX262155:NBZ262185 NLT262155:NLV262185 NVP262155:NVR262185 OFL262155:OFN262185 OPH262155:OPJ262185 OZD262155:OZF262185 PIZ262155:PJB262185 PSV262155:PSX262185 QCR262155:QCT262185 QMN262155:QMP262185 QWJ262155:QWL262185 RGF262155:RGH262185 RQB262155:RQD262185 RZX262155:RZZ262185 SJT262155:SJV262185 STP262155:STR262185 TDL262155:TDN262185 TNH262155:TNJ262185 TXD262155:TXF262185 UGZ262155:UHB262185 UQV262155:UQX262185 VAR262155:VAT262185 VKN262155:VKP262185 VUJ262155:VUL262185 WEF262155:WEH262185 WOB262155:WOD262185 WXX262155:WXZ262185 LL327691:LN327721 VH327691:VJ327721 AFD327691:AFF327721 AOZ327691:APB327721 AYV327691:AYX327721 BIR327691:BIT327721 BSN327691:BSP327721 CCJ327691:CCL327721 CMF327691:CMH327721 CWB327691:CWD327721 DFX327691:DFZ327721 DPT327691:DPV327721 DZP327691:DZR327721 EJL327691:EJN327721 ETH327691:ETJ327721 FDD327691:FDF327721 FMZ327691:FNB327721 FWV327691:FWX327721 GGR327691:GGT327721 GQN327691:GQP327721 HAJ327691:HAL327721 HKF327691:HKH327721 HUB327691:HUD327721 IDX327691:IDZ327721 INT327691:INV327721 IXP327691:IXR327721 JHL327691:JHN327721 JRH327691:JRJ327721 KBD327691:KBF327721 KKZ327691:KLB327721 KUV327691:KUX327721 LER327691:LET327721 LON327691:LOP327721 LYJ327691:LYL327721 MIF327691:MIH327721 MSB327691:MSD327721 NBX327691:NBZ327721 NLT327691:NLV327721 NVP327691:NVR327721 OFL327691:OFN327721 OPH327691:OPJ327721 OZD327691:OZF327721 PIZ327691:PJB327721 PSV327691:PSX327721 QCR327691:QCT327721 QMN327691:QMP327721 QWJ327691:QWL327721 RGF327691:RGH327721 RQB327691:RQD327721 RZX327691:RZZ327721 SJT327691:SJV327721 STP327691:STR327721 TDL327691:TDN327721 TNH327691:TNJ327721 TXD327691:TXF327721 UGZ327691:UHB327721 UQV327691:UQX327721 VAR327691:VAT327721 VKN327691:VKP327721 VUJ327691:VUL327721 WEF327691:WEH327721 WOB327691:WOD327721 WXX327691:WXZ327721 LL393227:LN393257 VH393227:VJ393257 AFD393227:AFF393257 AOZ393227:APB393257 AYV393227:AYX393257 BIR393227:BIT393257 BSN393227:BSP393257 CCJ393227:CCL393257 CMF393227:CMH393257 CWB393227:CWD393257 DFX393227:DFZ393257 DPT393227:DPV393257 DZP393227:DZR393257 EJL393227:EJN393257 ETH393227:ETJ393257 FDD393227:FDF393257 FMZ393227:FNB393257 FWV393227:FWX393257 GGR393227:GGT393257 GQN393227:GQP393257 HAJ393227:HAL393257 HKF393227:HKH393257 HUB393227:HUD393257 IDX393227:IDZ393257 INT393227:INV393257 IXP393227:IXR393257 JHL393227:JHN393257 JRH393227:JRJ393257 KBD393227:KBF393257 KKZ393227:KLB393257 KUV393227:KUX393257 LER393227:LET393257 LON393227:LOP393257 LYJ393227:LYL393257 MIF393227:MIH393257 MSB393227:MSD393257 NBX393227:NBZ393257 NLT393227:NLV393257 NVP393227:NVR393257 OFL393227:OFN393257 OPH393227:OPJ393257 OZD393227:OZF393257 PIZ393227:PJB393257 PSV393227:PSX393257 QCR393227:QCT393257 QMN393227:QMP393257 QWJ393227:QWL393257 RGF393227:RGH393257 RQB393227:RQD393257 RZX393227:RZZ393257 SJT393227:SJV393257 STP393227:STR393257 TDL393227:TDN393257 TNH393227:TNJ393257 TXD393227:TXF393257 UGZ393227:UHB393257 UQV393227:UQX393257 VAR393227:VAT393257 VKN393227:VKP393257 VUJ393227:VUL393257 WEF393227:WEH393257 WOB393227:WOD393257 WXX393227:WXZ393257 LL458763:LN458793 VH458763:VJ458793 AFD458763:AFF458793 AOZ458763:APB458793 AYV458763:AYX458793 BIR458763:BIT458793 BSN458763:BSP458793 CCJ458763:CCL458793 CMF458763:CMH458793 CWB458763:CWD458793 DFX458763:DFZ458793 DPT458763:DPV458793 DZP458763:DZR458793 EJL458763:EJN458793 ETH458763:ETJ458793 FDD458763:FDF458793 FMZ458763:FNB458793 FWV458763:FWX458793 GGR458763:GGT458793 GQN458763:GQP458793 HAJ458763:HAL458793 HKF458763:HKH458793 HUB458763:HUD458793 IDX458763:IDZ458793 INT458763:INV458793 IXP458763:IXR458793 JHL458763:JHN458793 JRH458763:JRJ458793 KBD458763:KBF458793 KKZ458763:KLB458793 KUV458763:KUX458793 LER458763:LET458793 LON458763:LOP458793 LYJ458763:LYL458793 MIF458763:MIH458793 MSB458763:MSD458793 NBX458763:NBZ458793 NLT458763:NLV458793 NVP458763:NVR458793 OFL458763:OFN458793 OPH458763:OPJ458793 OZD458763:OZF458793 PIZ458763:PJB458793 PSV458763:PSX458793 QCR458763:QCT458793 QMN458763:QMP458793 QWJ458763:QWL458793 RGF458763:RGH458793 RQB458763:RQD458793 RZX458763:RZZ458793 SJT458763:SJV458793 STP458763:STR458793 TDL458763:TDN458793 TNH458763:TNJ458793 TXD458763:TXF458793 UGZ458763:UHB458793 UQV458763:UQX458793 VAR458763:VAT458793 VKN458763:VKP458793 VUJ458763:VUL458793 WEF458763:WEH458793 WOB458763:WOD458793 WXX458763:WXZ458793 LL524299:LN524329 VH524299:VJ524329 AFD524299:AFF524329 AOZ524299:APB524329 AYV524299:AYX524329 BIR524299:BIT524329 BSN524299:BSP524329 CCJ524299:CCL524329 CMF524299:CMH524329 CWB524299:CWD524329 DFX524299:DFZ524329 DPT524299:DPV524329 DZP524299:DZR524329 EJL524299:EJN524329 ETH524299:ETJ524329 FDD524299:FDF524329 FMZ524299:FNB524329 FWV524299:FWX524329 GGR524299:GGT524329 GQN524299:GQP524329 HAJ524299:HAL524329 HKF524299:HKH524329 HUB524299:HUD524329 IDX524299:IDZ524329 INT524299:INV524329 IXP524299:IXR524329 JHL524299:JHN524329 JRH524299:JRJ524329 KBD524299:KBF524329 KKZ524299:KLB524329 KUV524299:KUX524329 LER524299:LET524329 LON524299:LOP524329 LYJ524299:LYL524329 MIF524299:MIH524329 MSB524299:MSD524329 NBX524299:NBZ524329 NLT524299:NLV524329 NVP524299:NVR524329 OFL524299:OFN524329 OPH524299:OPJ524329 OZD524299:OZF524329 PIZ524299:PJB524329 PSV524299:PSX524329 QCR524299:QCT524329 QMN524299:QMP524329 QWJ524299:QWL524329 RGF524299:RGH524329 RQB524299:RQD524329 RZX524299:RZZ524329 SJT524299:SJV524329 STP524299:STR524329 TDL524299:TDN524329 TNH524299:TNJ524329 TXD524299:TXF524329 UGZ524299:UHB524329 UQV524299:UQX524329 VAR524299:VAT524329 VKN524299:VKP524329 VUJ524299:VUL524329 WEF524299:WEH524329 WOB524299:WOD524329 WXX524299:WXZ524329 LL589835:LN589865 VH589835:VJ589865 AFD589835:AFF589865 AOZ589835:APB589865 AYV589835:AYX589865 BIR589835:BIT589865 BSN589835:BSP589865 CCJ589835:CCL589865 CMF589835:CMH589865 CWB589835:CWD589865 DFX589835:DFZ589865 DPT589835:DPV589865 DZP589835:DZR589865 EJL589835:EJN589865 ETH589835:ETJ589865 FDD589835:FDF589865 FMZ589835:FNB589865 FWV589835:FWX589865 GGR589835:GGT589865 GQN589835:GQP589865 HAJ589835:HAL589865 HKF589835:HKH589865 HUB589835:HUD589865 IDX589835:IDZ589865 INT589835:INV589865 IXP589835:IXR589865 JHL589835:JHN589865 JRH589835:JRJ589865 KBD589835:KBF589865 KKZ589835:KLB589865 KUV589835:KUX589865 LER589835:LET589865 LON589835:LOP589865 LYJ589835:LYL589865 MIF589835:MIH589865 MSB589835:MSD589865 NBX589835:NBZ589865 NLT589835:NLV589865 NVP589835:NVR589865 OFL589835:OFN589865 OPH589835:OPJ589865 OZD589835:OZF589865 PIZ589835:PJB589865 PSV589835:PSX589865 QCR589835:QCT589865 QMN589835:QMP589865 QWJ589835:QWL589865 RGF589835:RGH589865 RQB589835:RQD589865 RZX589835:RZZ589865 SJT589835:SJV589865 STP589835:STR589865 TDL589835:TDN589865 TNH589835:TNJ589865 TXD589835:TXF589865 UGZ589835:UHB589865 UQV589835:UQX589865 VAR589835:VAT589865 VKN589835:VKP589865 VUJ589835:VUL589865 WEF589835:WEH589865 WOB589835:WOD589865 WXX589835:WXZ589865 LL655371:LN655401 VH655371:VJ655401 AFD655371:AFF655401 AOZ655371:APB655401 AYV655371:AYX655401 BIR655371:BIT655401 BSN655371:BSP655401 CCJ655371:CCL655401 CMF655371:CMH655401 CWB655371:CWD655401 DFX655371:DFZ655401 DPT655371:DPV655401 DZP655371:DZR655401 EJL655371:EJN655401 ETH655371:ETJ655401 FDD655371:FDF655401 FMZ655371:FNB655401 FWV655371:FWX655401 GGR655371:GGT655401 GQN655371:GQP655401 HAJ655371:HAL655401 HKF655371:HKH655401 HUB655371:HUD655401 IDX655371:IDZ655401 INT655371:INV655401 IXP655371:IXR655401 JHL655371:JHN655401 JRH655371:JRJ655401 KBD655371:KBF655401 KKZ655371:KLB655401 KUV655371:KUX655401 LER655371:LET655401 LON655371:LOP655401 LYJ655371:LYL655401 MIF655371:MIH655401 MSB655371:MSD655401 NBX655371:NBZ655401 NLT655371:NLV655401 NVP655371:NVR655401 OFL655371:OFN655401 OPH655371:OPJ655401 OZD655371:OZF655401 PIZ655371:PJB655401 PSV655371:PSX655401 QCR655371:QCT655401 QMN655371:QMP655401 QWJ655371:QWL655401 RGF655371:RGH655401 RQB655371:RQD655401 RZX655371:RZZ655401 SJT655371:SJV655401 STP655371:STR655401 TDL655371:TDN655401 TNH655371:TNJ655401 TXD655371:TXF655401 UGZ655371:UHB655401 UQV655371:UQX655401 VAR655371:VAT655401 VKN655371:VKP655401 VUJ655371:VUL655401 WEF655371:WEH655401 WOB655371:WOD655401 WXX655371:WXZ655401 LL720907:LN720937 VH720907:VJ720937 AFD720907:AFF720937 AOZ720907:APB720937 AYV720907:AYX720937 BIR720907:BIT720937 BSN720907:BSP720937 CCJ720907:CCL720937 CMF720907:CMH720937 CWB720907:CWD720937 DFX720907:DFZ720937 DPT720907:DPV720937 DZP720907:DZR720937 EJL720907:EJN720937 ETH720907:ETJ720937 FDD720907:FDF720937 FMZ720907:FNB720937 FWV720907:FWX720937 GGR720907:GGT720937 GQN720907:GQP720937 HAJ720907:HAL720937 HKF720907:HKH720937 HUB720907:HUD720937 IDX720907:IDZ720937 INT720907:INV720937 IXP720907:IXR720937 JHL720907:JHN720937 JRH720907:JRJ720937 KBD720907:KBF720937 KKZ720907:KLB720937 KUV720907:KUX720937 LER720907:LET720937 LON720907:LOP720937 LYJ720907:LYL720937 MIF720907:MIH720937 MSB720907:MSD720937 NBX720907:NBZ720937 NLT720907:NLV720937 NVP720907:NVR720937 OFL720907:OFN720937 OPH720907:OPJ720937 OZD720907:OZF720937 PIZ720907:PJB720937 PSV720907:PSX720937 QCR720907:QCT720937 QMN720907:QMP720937 QWJ720907:QWL720937 RGF720907:RGH720937 RQB720907:RQD720937 RZX720907:RZZ720937 SJT720907:SJV720937 STP720907:STR720937 TDL720907:TDN720937 TNH720907:TNJ720937 TXD720907:TXF720937 UGZ720907:UHB720937 UQV720907:UQX720937 VAR720907:VAT720937 VKN720907:VKP720937 VUJ720907:VUL720937 WEF720907:WEH720937 WOB720907:WOD720937 WXX720907:WXZ720937 LL786443:LN786473 VH786443:VJ786473 AFD786443:AFF786473 AOZ786443:APB786473 AYV786443:AYX786473 BIR786443:BIT786473 BSN786443:BSP786473 CCJ786443:CCL786473 CMF786443:CMH786473 CWB786443:CWD786473 DFX786443:DFZ786473 DPT786443:DPV786473 DZP786443:DZR786473 EJL786443:EJN786473 ETH786443:ETJ786473 FDD786443:FDF786473 FMZ786443:FNB786473 FWV786443:FWX786473 GGR786443:GGT786473 GQN786443:GQP786473 HAJ786443:HAL786473 HKF786443:HKH786473 HUB786443:HUD786473 IDX786443:IDZ786473 INT786443:INV786473 IXP786443:IXR786473 JHL786443:JHN786473 JRH786443:JRJ786473 KBD786443:KBF786473 KKZ786443:KLB786473 KUV786443:KUX786473 LER786443:LET786473 LON786443:LOP786473 LYJ786443:LYL786473 MIF786443:MIH786473 MSB786443:MSD786473 NBX786443:NBZ786473 NLT786443:NLV786473 NVP786443:NVR786473 OFL786443:OFN786473 OPH786443:OPJ786473 OZD786443:OZF786473 PIZ786443:PJB786473 PSV786443:PSX786473 QCR786443:QCT786473 QMN786443:QMP786473 QWJ786443:QWL786473 RGF786443:RGH786473 RQB786443:RQD786473 RZX786443:RZZ786473 SJT786443:SJV786473 STP786443:STR786473 TDL786443:TDN786473 TNH786443:TNJ786473 TXD786443:TXF786473 UGZ786443:UHB786473 UQV786443:UQX786473 VAR786443:VAT786473 VKN786443:VKP786473 VUJ786443:VUL786473 WEF786443:WEH786473 WOB786443:WOD786473 WXX786443:WXZ786473 LL851979:LN852009 VH851979:VJ852009 AFD851979:AFF852009 AOZ851979:APB852009 AYV851979:AYX852009 BIR851979:BIT852009 BSN851979:BSP852009 CCJ851979:CCL852009 CMF851979:CMH852009 CWB851979:CWD852009 DFX851979:DFZ852009 DPT851979:DPV852009 DZP851979:DZR852009 EJL851979:EJN852009 ETH851979:ETJ852009 FDD851979:FDF852009 FMZ851979:FNB852009 FWV851979:FWX852009 GGR851979:GGT852009 GQN851979:GQP852009 HAJ851979:HAL852009 HKF851979:HKH852009 HUB851979:HUD852009 IDX851979:IDZ852009 INT851979:INV852009 IXP851979:IXR852009 JHL851979:JHN852009 JRH851979:JRJ852009 KBD851979:KBF852009 KKZ851979:KLB852009 KUV851979:KUX852009 LER851979:LET852009 LON851979:LOP852009 LYJ851979:LYL852009 MIF851979:MIH852009 MSB851979:MSD852009 NBX851979:NBZ852009 NLT851979:NLV852009 NVP851979:NVR852009 OFL851979:OFN852009 OPH851979:OPJ852009 OZD851979:OZF852009 PIZ851979:PJB852009 PSV851979:PSX852009 QCR851979:QCT852009 QMN851979:QMP852009 QWJ851979:QWL852009 RGF851979:RGH852009 RQB851979:RQD852009 RZX851979:RZZ852009 SJT851979:SJV852009 STP851979:STR852009 TDL851979:TDN852009 TNH851979:TNJ852009 TXD851979:TXF852009 UGZ851979:UHB852009 UQV851979:UQX852009 VAR851979:VAT852009 VKN851979:VKP852009 VUJ851979:VUL852009 WEF851979:WEH852009 WOB851979:WOD852009 WXX851979:WXZ852009 LL917515:LN917545 VH917515:VJ917545 AFD917515:AFF917545 AOZ917515:APB917545 AYV917515:AYX917545 BIR917515:BIT917545 BSN917515:BSP917545 CCJ917515:CCL917545 CMF917515:CMH917545 CWB917515:CWD917545 DFX917515:DFZ917545 DPT917515:DPV917545 DZP917515:DZR917545 EJL917515:EJN917545 ETH917515:ETJ917545 FDD917515:FDF917545 FMZ917515:FNB917545 FWV917515:FWX917545 GGR917515:GGT917545 GQN917515:GQP917545 HAJ917515:HAL917545 HKF917515:HKH917545 HUB917515:HUD917545 IDX917515:IDZ917545 INT917515:INV917545 IXP917515:IXR917545 JHL917515:JHN917545 JRH917515:JRJ917545 KBD917515:KBF917545 KKZ917515:KLB917545 KUV917515:KUX917545 LER917515:LET917545 LON917515:LOP917545 LYJ917515:LYL917545 MIF917515:MIH917545 MSB917515:MSD917545 NBX917515:NBZ917545 NLT917515:NLV917545 NVP917515:NVR917545 OFL917515:OFN917545 OPH917515:OPJ917545 OZD917515:OZF917545 PIZ917515:PJB917545 PSV917515:PSX917545 QCR917515:QCT917545 QMN917515:QMP917545 QWJ917515:QWL917545 RGF917515:RGH917545 RQB917515:RQD917545 RZX917515:RZZ917545 SJT917515:SJV917545 STP917515:STR917545 TDL917515:TDN917545 TNH917515:TNJ917545 TXD917515:TXF917545 UGZ917515:UHB917545 UQV917515:UQX917545 VAR917515:VAT917545 VKN917515:VKP917545 VUJ917515:VUL917545 WEF917515:WEH917545 WOB917515:WOD917545 WXX917515:WXZ917545 LL983051:LN983081 VH983051:VJ983081 AFD983051:AFF983081 AOZ983051:APB983081 AYV983051:AYX983081 BIR983051:BIT983081 BSN983051:BSP983081 CCJ983051:CCL983081 CMF983051:CMH983081 CWB983051:CWD983081 DFX983051:DFZ983081 DPT983051:DPV983081 DZP983051:DZR983081 EJL983051:EJN983081 ETH983051:ETJ983081 FDD983051:FDF983081 FMZ983051:FNB983081 FWV983051:FWX983081 GGR983051:GGT983081 GQN983051:GQP983081 HAJ983051:HAL983081 HKF983051:HKH983081 HUB983051:HUD983081 IDX983051:IDZ983081 INT983051:INV983081 IXP983051:IXR983081 JHL983051:JHN983081 JRH983051:JRJ983081 KBD983051:KBF983081 KKZ983051:KLB983081 KUV983051:KUX983081 LER983051:LET983081 LON983051:LOP983081 LYJ983051:LYL983081 MIF983051:MIH983081 MSB983051:MSD983081 NBX983051:NBZ983081 NLT983051:NLV983081 NVP983051:NVR983081 OFL983051:OFN983081 OPH983051:OPJ983081 OZD983051:OZF983081 PIZ983051:PJB983081 PSV983051:PSX983081 QCR983051:QCT983081 QMN983051:QMP983081 QWJ983051:QWL983081 RGF983051:RGH983081 RQB983051:RQD983081 RZX983051:RZZ983081 SJT983051:SJV983081 STP983051:STR983081 TDL983051:TDN983081 TNH983051:TNJ983081 TXD983051:TXF983081 UGZ983051:UHB983081 UQV983051:UQX983081 VAR983051:VAT983081 VKN983051:VKP983081 VUJ983051:VUL983081 WEF983051:WEH983081 WOB983051:WOD983081 WXX983051:WXZ983081 WXX40:WXZ41 WOB40:WOD41 WEF40:WEH41 VUJ40:VUL41 VKN40:VKP41 VAR40:VAT41 UQV40:UQX41 UGZ40:UHB41 TXD40:TXF41 TNH40:TNJ41 TDL40:TDN41 STP40:STR41 SJT40:SJV41 RZX40:RZZ41 RQB40:RQD41 RGF40:RGH41 QWJ40:QWL41 QMN40:QMP41 QCR40:QCT41 PSV40:PSX41 PIZ40:PJB41 OZD40:OZF41 OPH40:OPJ41 OFL40:OFN41 NVP40:NVR41 NLT40:NLV41 NBX40:NBZ41 MSB40:MSD41 MIF40:MIH41 LYJ40:LYL41 LON40:LOP41 LER40:LET41 KUV40:KUX41 KKZ40:KLB41 KBD40:KBF41 JRH40:JRJ41 JHL40:JHN41 IXP40:IXR41 INT40:INV41 IDX40:IDZ41 HUB40:HUD41 HKF40:HKH41 HAJ40:HAL41 GQN40:GQP41 GGR40:GGT41 FWV40:FWX41 FMZ40:FNB41 FDD40:FDF41 ETH40:ETJ41 EJL40:EJN41 DZP40:DZR41 DPT40:DPV41 DFX40:DFZ41 CWB40:CWD41 CMF40:CMH41 CCJ40:CCL41 BSN40:BSP41 BIR40:BIT41 AYV40:AYX41 AOZ40:APB41 AFD40:AFF41 VH40:VJ41 LL40:LN41 LM11:LO39 VI11:VK39 AFE11:AFG39 APA11:APC39 AYW11:AYY39 BIS11:BIU39 BSO11:BSQ39 CCK11:CCM39 CMG11:CMI39 CWC11:CWE39 DFY11:DGA39 DPU11:DPW39 DZQ11:DZS39 EJM11:EJO39 ETI11:ETK39 FDE11:FDG39 FNA11:FNC39 FWW11:FWY39 GGS11:GGU39 GQO11:GQQ39 HAK11:HAM39 HKG11:HKI39 HUC11:HUE39 IDY11:IEA39 INU11:INW39 IXQ11:IXS39 JHM11:JHO39 JRI11:JRK39 KBE11:KBG39 KLA11:KLC39 KUW11:KUY39 LES11:LEU39 LOO11:LOQ39 LYK11:LYM39 MIG11:MII39 MSC11:MSE39 NBY11:NCA39 NLU11:NLW39 NVQ11:NVS39 OFM11:OFO39 OPI11:OPK39 OZE11:OZG39 PJA11:PJC39 PSW11:PSY39 QCS11:QCU39 QMO11:QMQ39 QWK11:QWM39 RGG11:RGI39 RQC11:RQE39 RZY11:SAA39 SJU11:SJW39 STQ11:STS39 TDM11:TDO39 TNI11:TNK39 TXE11:TXG39 UHA11:UHC39 UQW11:UQY39 VAS11:VAU39 VKO11:VKQ39 VUK11:VUM39 WEG11:WEI39 WOC11:WOE39 WXY11:WYA39" xr:uid="{00000000-0002-0000-0C00-000007000000}">
      <formula1>0</formula1>
      <formula2>14</formula2>
    </dataValidation>
    <dataValidation type="decimal" allowBlank="1" showInputMessage="1" showErrorMessage="1" errorTitle="   IMPORTANT!  Invalid Entry ..." error="Enter a value between 0 and 999.9999. _x000a__x000a_Please use no more than four (4) decimals." sqref="LZ65547:MA65577 VV65547:VW65577 AFR65547:AFS65577 APN65547:APO65577 AZJ65547:AZK65577 BJF65547:BJG65577 BTB65547:BTC65577 CCX65547:CCY65577 CMT65547:CMU65577 CWP65547:CWQ65577 DGL65547:DGM65577 DQH65547:DQI65577 EAD65547:EAE65577 EJZ65547:EKA65577 ETV65547:ETW65577 FDR65547:FDS65577 FNN65547:FNO65577 FXJ65547:FXK65577 GHF65547:GHG65577 GRB65547:GRC65577 HAX65547:HAY65577 HKT65547:HKU65577 HUP65547:HUQ65577 IEL65547:IEM65577 IOH65547:IOI65577 IYD65547:IYE65577 JHZ65547:JIA65577 JRV65547:JRW65577 KBR65547:KBS65577 KLN65547:KLO65577 KVJ65547:KVK65577 LFF65547:LFG65577 LPB65547:LPC65577 LYX65547:LYY65577 MIT65547:MIU65577 MSP65547:MSQ65577 NCL65547:NCM65577 NMH65547:NMI65577 NWD65547:NWE65577 OFZ65547:OGA65577 OPV65547:OPW65577 OZR65547:OZS65577 PJN65547:PJO65577 PTJ65547:PTK65577 QDF65547:QDG65577 QNB65547:QNC65577 QWX65547:QWY65577 RGT65547:RGU65577 RQP65547:RQQ65577 SAL65547:SAM65577 SKH65547:SKI65577 SUD65547:SUE65577 TDZ65547:TEA65577 TNV65547:TNW65577 TXR65547:TXS65577 UHN65547:UHO65577 URJ65547:URK65577 VBF65547:VBG65577 VLB65547:VLC65577 VUX65547:VUY65577 WET65547:WEU65577 WOP65547:WOQ65577 WYL65547:WYM65577 LZ131083:MA131113 VV131083:VW131113 AFR131083:AFS131113 APN131083:APO131113 AZJ131083:AZK131113 BJF131083:BJG131113 BTB131083:BTC131113 CCX131083:CCY131113 CMT131083:CMU131113 CWP131083:CWQ131113 DGL131083:DGM131113 DQH131083:DQI131113 EAD131083:EAE131113 EJZ131083:EKA131113 ETV131083:ETW131113 FDR131083:FDS131113 FNN131083:FNO131113 FXJ131083:FXK131113 GHF131083:GHG131113 GRB131083:GRC131113 HAX131083:HAY131113 HKT131083:HKU131113 HUP131083:HUQ131113 IEL131083:IEM131113 IOH131083:IOI131113 IYD131083:IYE131113 JHZ131083:JIA131113 JRV131083:JRW131113 KBR131083:KBS131113 KLN131083:KLO131113 KVJ131083:KVK131113 LFF131083:LFG131113 LPB131083:LPC131113 LYX131083:LYY131113 MIT131083:MIU131113 MSP131083:MSQ131113 NCL131083:NCM131113 NMH131083:NMI131113 NWD131083:NWE131113 OFZ131083:OGA131113 OPV131083:OPW131113 OZR131083:OZS131113 PJN131083:PJO131113 PTJ131083:PTK131113 QDF131083:QDG131113 QNB131083:QNC131113 QWX131083:QWY131113 RGT131083:RGU131113 RQP131083:RQQ131113 SAL131083:SAM131113 SKH131083:SKI131113 SUD131083:SUE131113 TDZ131083:TEA131113 TNV131083:TNW131113 TXR131083:TXS131113 UHN131083:UHO131113 URJ131083:URK131113 VBF131083:VBG131113 VLB131083:VLC131113 VUX131083:VUY131113 WET131083:WEU131113 WOP131083:WOQ131113 WYL131083:WYM131113 LZ196619:MA196649 VV196619:VW196649 AFR196619:AFS196649 APN196619:APO196649 AZJ196619:AZK196649 BJF196619:BJG196649 BTB196619:BTC196649 CCX196619:CCY196649 CMT196619:CMU196649 CWP196619:CWQ196649 DGL196619:DGM196649 DQH196619:DQI196649 EAD196619:EAE196649 EJZ196619:EKA196649 ETV196619:ETW196649 FDR196619:FDS196649 FNN196619:FNO196649 FXJ196619:FXK196649 GHF196619:GHG196649 GRB196619:GRC196649 HAX196619:HAY196649 HKT196619:HKU196649 HUP196619:HUQ196649 IEL196619:IEM196649 IOH196619:IOI196649 IYD196619:IYE196649 JHZ196619:JIA196649 JRV196619:JRW196649 KBR196619:KBS196649 KLN196619:KLO196649 KVJ196619:KVK196649 LFF196619:LFG196649 LPB196619:LPC196649 LYX196619:LYY196649 MIT196619:MIU196649 MSP196619:MSQ196649 NCL196619:NCM196649 NMH196619:NMI196649 NWD196619:NWE196649 OFZ196619:OGA196649 OPV196619:OPW196649 OZR196619:OZS196649 PJN196619:PJO196649 PTJ196619:PTK196649 QDF196619:QDG196649 QNB196619:QNC196649 QWX196619:QWY196649 RGT196619:RGU196649 RQP196619:RQQ196649 SAL196619:SAM196649 SKH196619:SKI196649 SUD196619:SUE196649 TDZ196619:TEA196649 TNV196619:TNW196649 TXR196619:TXS196649 UHN196619:UHO196649 URJ196619:URK196649 VBF196619:VBG196649 VLB196619:VLC196649 VUX196619:VUY196649 WET196619:WEU196649 WOP196619:WOQ196649 WYL196619:WYM196649 LZ262155:MA262185 VV262155:VW262185 AFR262155:AFS262185 APN262155:APO262185 AZJ262155:AZK262185 BJF262155:BJG262185 BTB262155:BTC262185 CCX262155:CCY262185 CMT262155:CMU262185 CWP262155:CWQ262185 DGL262155:DGM262185 DQH262155:DQI262185 EAD262155:EAE262185 EJZ262155:EKA262185 ETV262155:ETW262185 FDR262155:FDS262185 FNN262155:FNO262185 FXJ262155:FXK262185 GHF262155:GHG262185 GRB262155:GRC262185 HAX262155:HAY262185 HKT262155:HKU262185 HUP262155:HUQ262185 IEL262155:IEM262185 IOH262155:IOI262185 IYD262155:IYE262185 JHZ262155:JIA262185 JRV262155:JRW262185 KBR262155:KBS262185 KLN262155:KLO262185 KVJ262155:KVK262185 LFF262155:LFG262185 LPB262155:LPC262185 LYX262155:LYY262185 MIT262155:MIU262185 MSP262155:MSQ262185 NCL262155:NCM262185 NMH262155:NMI262185 NWD262155:NWE262185 OFZ262155:OGA262185 OPV262155:OPW262185 OZR262155:OZS262185 PJN262155:PJO262185 PTJ262155:PTK262185 QDF262155:QDG262185 QNB262155:QNC262185 QWX262155:QWY262185 RGT262155:RGU262185 RQP262155:RQQ262185 SAL262155:SAM262185 SKH262155:SKI262185 SUD262155:SUE262185 TDZ262155:TEA262185 TNV262155:TNW262185 TXR262155:TXS262185 UHN262155:UHO262185 URJ262155:URK262185 VBF262155:VBG262185 VLB262155:VLC262185 VUX262155:VUY262185 WET262155:WEU262185 WOP262155:WOQ262185 WYL262155:WYM262185 LZ327691:MA327721 VV327691:VW327721 AFR327691:AFS327721 APN327691:APO327721 AZJ327691:AZK327721 BJF327691:BJG327721 BTB327691:BTC327721 CCX327691:CCY327721 CMT327691:CMU327721 CWP327691:CWQ327721 DGL327691:DGM327721 DQH327691:DQI327721 EAD327691:EAE327721 EJZ327691:EKA327721 ETV327691:ETW327721 FDR327691:FDS327721 FNN327691:FNO327721 FXJ327691:FXK327721 GHF327691:GHG327721 GRB327691:GRC327721 HAX327691:HAY327721 HKT327691:HKU327721 HUP327691:HUQ327721 IEL327691:IEM327721 IOH327691:IOI327721 IYD327691:IYE327721 JHZ327691:JIA327721 JRV327691:JRW327721 KBR327691:KBS327721 KLN327691:KLO327721 KVJ327691:KVK327721 LFF327691:LFG327721 LPB327691:LPC327721 LYX327691:LYY327721 MIT327691:MIU327721 MSP327691:MSQ327721 NCL327691:NCM327721 NMH327691:NMI327721 NWD327691:NWE327721 OFZ327691:OGA327721 OPV327691:OPW327721 OZR327691:OZS327721 PJN327691:PJO327721 PTJ327691:PTK327721 QDF327691:QDG327721 QNB327691:QNC327721 QWX327691:QWY327721 RGT327691:RGU327721 RQP327691:RQQ327721 SAL327691:SAM327721 SKH327691:SKI327721 SUD327691:SUE327721 TDZ327691:TEA327721 TNV327691:TNW327721 TXR327691:TXS327721 UHN327691:UHO327721 URJ327691:URK327721 VBF327691:VBG327721 VLB327691:VLC327721 VUX327691:VUY327721 WET327691:WEU327721 WOP327691:WOQ327721 WYL327691:WYM327721 LZ393227:MA393257 VV393227:VW393257 AFR393227:AFS393257 APN393227:APO393257 AZJ393227:AZK393257 BJF393227:BJG393257 BTB393227:BTC393257 CCX393227:CCY393257 CMT393227:CMU393257 CWP393227:CWQ393257 DGL393227:DGM393257 DQH393227:DQI393257 EAD393227:EAE393257 EJZ393227:EKA393257 ETV393227:ETW393257 FDR393227:FDS393257 FNN393227:FNO393257 FXJ393227:FXK393257 GHF393227:GHG393257 GRB393227:GRC393257 HAX393227:HAY393257 HKT393227:HKU393257 HUP393227:HUQ393257 IEL393227:IEM393257 IOH393227:IOI393257 IYD393227:IYE393257 JHZ393227:JIA393257 JRV393227:JRW393257 KBR393227:KBS393257 KLN393227:KLO393257 KVJ393227:KVK393257 LFF393227:LFG393257 LPB393227:LPC393257 LYX393227:LYY393257 MIT393227:MIU393257 MSP393227:MSQ393257 NCL393227:NCM393257 NMH393227:NMI393257 NWD393227:NWE393257 OFZ393227:OGA393257 OPV393227:OPW393257 OZR393227:OZS393257 PJN393227:PJO393257 PTJ393227:PTK393257 QDF393227:QDG393257 QNB393227:QNC393257 QWX393227:QWY393257 RGT393227:RGU393257 RQP393227:RQQ393257 SAL393227:SAM393257 SKH393227:SKI393257 SUD393227:SUE393257 TDZ393227:TEA393257 TNV393227:TNW393257 TXR393227:TXS393257 UHN393227:UHO393257 URJ393227:URK393257 VBF393227:VBG393257 VLB393227:VLC393257 VUX393227:VUY393257 WET393227:WEU393257 WOP393227:WOQ393257 WYL393227:WYM393257 LZ458763:MA458793 VV458763:VW458793 AFR458763:AFS458793 APN458763:APO458793 AZJ458763:AZK458793 BJF458763:BJG458793 BTB458763:BTC458793 CCX458763:CCY458793 CMT458763:CMU458793 CWP458763:CWQ458793 DGL458763:DGM458793 DQH458763:DQI458793 EAD458763:EAE458793 EJZ458763:EKA458793 ETV458763:ETW458793 FDR458763:FDS458793 FNN458763:FNO458793 FXJ458763:FXK458793 GHF458763:GHG458793 GRB458763:GRC458793 HAX458763:HAY458793 HKT458763:HKU458793 HUP458763:HUQ458793 IEL458763:IEM458793 IOH458763:IOI458793 IYD458763:IYE458793 JHZ458763:JIA458793 JRV458763:JRW458793 KBR458763:KBS458793 KLN458763:KLO458793 KVJ458763:KVK458793 LFF458763:LFG458793 LPB458763:LPC458793 LYX458763:LYY458793 MIT458763:MIU458793 MSP458763:MSQ458793 NCL458763:NCM458793 NMH458763:NMI458793 NWD458763:NWE458793 OFZ458763:OGA458793 OPV458763:OPW458793 OZR458763:OZS458793 PJN458763:PJO458793 PTJ458763:PTK458793 QDF458763:QDG458793 QNB458763:QNC458793 QWX458763:QWY458793 RGT458763:RGU458793 RQP458763:RQQ458793 SAL458763:SAM458793 SKH458763:SKI458793 SUD458763:SUE458793 TDZ458763:TEA458793 TNV458763:TNW458793 TXR458763:TXS458793 UHN458763:UHO458793 URJ458763:URK458793 VBF458763:VBG458793 VLB458763:VLC458793 VUX458763:VUY458793 WET458763:WEU458793 WOP458763:WOQ458793 WYL458763:WYM458793 LZ524299:MA524329 VV524299:VW524329 AFR524299:AFS524329 APN524299:APO524329 AZJ524299:AZK524329 BJF524299:BJG524329 BTB524299:BTC524329 CCX524299:CCY524329 CMT524299:CMU524329 CWP524299:CWQ524329 DGL524299:DGM524329 DQH524299:DQI524329 EAD524299:EAE524329 EJZ524299:EKA524329 ETV524299:ETW524329 FDR524299:FDS524329 FNN524299:FNO524329 FXJ524299:FXK524329 GHF524299:GHG524329 GRB524299:GRC524329 HAX524299:HAY524329 HKT524299:HKU524329 HUP524299:HUQ524329 IEL524299:IEM524329 IOH524299:IOI524329 IYD524299:IYE524329 JHZ524299:JIA524329 JRV524299:JRW524329 KBR524299:KBS524329 KLN524299:KLO524329 KVJ524299:KVK524329 LFF524299:LFG524329 LPB524299:LPC524329 LYX524299:LYY524329 MIT524299:MIU524329 MSP524299:MSQ524329 NCL524299:NCM524329 NMH524299:NMI524329 NWD524299:NWE524329 OFZ524299:OGA524329 OPV524299:OPW524329 OZR524299:OZS524329 PJN524299:PJO524329 PTJ524299:PTK524329 QDF524299:QDG524329 QNB524299:QNC524329 QWX524299:QWY524329 RGT524299:RGU524329 RQP524299:RQQ524329 SAL524299:SAM524329 SKH524299:SKI524329 SUD524299:SUE524329 TDZ524299:TEA524329 TNV524299:TNW524329 TXR524299:TXS524329 UHN524299:UHO524329 URJ524299:URK524329 VBF524299:VBG524329 VLB524299:VLC524329 VUX524299:VUY524329 WET524299:WEU524329 WOP524299:WOQ524329 WYL524299:WYM524329 LZ589835:MA589865 VV589835:VW589865 AFR589835:AFS589865 APN589835:APO589865 AZJ589835:AZK589865 BJF589835:BJG589865 BTB589835:BTC589865 CCX589835:CCY589865 CMT589835:CMU589865 CWP589835:CWQ589865 DGL589835:DGM589865 DQH589835:DQI589865 EAD589835:EAE589865 EJZ589835:EKA589865 ETV589835:ETW589865 FDR589835:FDS589865 FNN589835:FNO589865 FXJ589835:FXK589865 GHF589835:GHG589865 GRB589835:GRC589865 HAX589835:HAY589865 HKT589835:HKU589865 HUP589835:HUQ589865 IEL589835:IEM589865 IOH589835:IOI589865 IYD589835:IYE589865 JHZ589835:JIA589865 JRV589835:JRW589865 KBR589835:KBS589865 KLN589835:KLO589865 KVJ589835:KVK589865 LFF589835:LFG589865 LPB589835:LPC589865 LYX589835:LYY589865 MIT589835:MIU589865 MSP589835:MSQ589865 NCL589835:NCM589865 NMH589835:NMI589865 NWD589835:NWE589865 OFZ589835:OGA589865 OPV589835:OPW589865 OZR589835:OZS589865 PJN589835:PJO589865 PTJ589835:PTK589865 QDF589835:QDG589865 QNB589835:QNC589865 QWX589835:QWY589865 RGT589835:RGU589865 RQP589835:RQQ589865 SAL589835:SAM589865 SKH589835:SKI589865 SUD589835:SUE589865 TDZ589835:TEA589865 TNV589835:TNW589865 TXR589835:TXS589865 UHN589835:UHO589865 URJ589835:URK589865 VBF589835:VBG589865 VLB589835:VLC589865 VUX589835:VUY589865 WET589835:WEU589865 WOP589835:WOQ589865 WYL589835:WYM589865 LZ655371:MA655401 VV655371:VW655401 AFR655371:AFS655401 APN655371:APO655401 AZJ655371:AZK655401 BJF655371:BJG655401 BTB655371:BTC655401 CCX655371:CCY655401 CMT655371:CMU655401 CWP655371:CWQ655401 DGL655371:DGM655401 DQH655371:DQI655401 EAD655371:EAE655401 EJZ655371:EKA655401 ETV655371:ETW655401 FDR655371:FDS655401 FNN655371:FNO655401 FXJ655371:FXK655401 GHF655371:GHG655401 GRB655371:GRC655401 HAX655371:HAY655401 HKT655371:HKU655401 HUP655371:HUQ655401 IEL655371:IEM655401 IOH655371:IOI655401 IYD655371:IYE655401 JHZ655371:JIA655401 JRV655371:JRW655401 KBR655371:KBS655401 KLN655371:KLO655401 KVJ655371:KVK655401 LFF655371:LFG655401 LPB655371:LPC655401 LYX655371:LYY655401 MIT655371:MIU655401 MSP655371:MSQ655401 NCL655371:NCM655401 NMH655371:NMI655401 NWD655371:NWE655401 OFZ655371:OGA655401 OPV655371:OPW655401 OZR655371:OZS655401 PJN655371:PJO655401 PTJ655371:PTK655401 QDF655371:QDG655401 QNB655371:QNC655401 QWX655371:QWY655401 RGT655371:RGU655401 RQP655371:RQQ655401 SAL655371:SAM655401 SKH655371:SKI655401 SUD655371:SUE655401 TDZ655371:TEA655401 TNV655371:TNW655401 TXR655371:TXS655401 UHN655371:UHO655401 URJ655371:URK655401 VBF655371:VBG655401 VLB655371:VLC655401 VUX655371:VUY655401 WET655371:WEU655401 WOP655371:WOQ655401 WYL655371:WYM655401 LZ720907:MA720937 VV720907:VW720937 AFR720907:AFS720937 APN720907:APO720937 AZJ720907:AZK720937 BJF720907:BJG720937 BTB720907:BTC720937 CCX720907:CCY720937 CMT720907:CMU720937 CWP720907:CWQ720937 DGL720907:DGM720937 DQH720907:DQI720937 EAD720907:EAE720937 EJZ720907:EKA720937 ETV720907:ETW720937 FDR720907:FDS720937 FNN720907:FNO720937 FXJ720907:FXK720937 GHF720907:GHG720937 GRB720907:GRC720937 HAX720907:HAY720937 HKT720907:HKU720937 HUP720907:HUQ720937 IEL720907:IEM720937 IOH720907:IOI720937 IYD720907:IYE720937 JHZ720907:JIA720937 JRV720907:JRW720937 KBR720907:KBS720937 KLN720907:KLO720937 KVJ720907:KVK720937 LFF720907:LFG720937 LPB720907:LPC720937 LYX720907:LYY720937 MIT720907:MIU720937 MSP720907:MSQ720937 NCL720907:NCM720937 NMH720907:NMI720937 NWD720907:NWE720937 OFZ720907:OGA720937 OPV720907:OPW720937 OZR720907:OZS720937 PJN720907:PJO720937 PTJ720907:PTK720937 QDF720907:QDG720937 QNB720907:QNC720937 QWX720907:QWY720937 RGT720907:RGU720937 RQP720907:RQQ720937 SAL720907:SAM720937 SKH720907:SKI720937 SUD720907:SUE720937 TDZ720907:TEA720937 TNV720907:TNW720937 TXR720907:TXS720937 UHN720907:UHO720937 URJ720907:URK720937 VBF720907:VBG720937 VLB720907:VLC720937 VUX720907:VUY720937 WET720907:WEU720937 WOP720907:WOQ720937 WYL720907:WYM720937 LZ786443:MA786473 VV786443:VW786473 AFR786443:AFS786473 APN786443:APO786473 AZJ786443:AZK786473 BJF786443:BJG786473 BTB786443:BTC786473 CCX786443:CCY786473 CMT786443:CMU786473 CWP786443:CWQ786473 DGL786443:DGM786473 DQH786443:DQI786473 EAD786443:EAE786473 EJZ786443:EKA786473 ETV786443:ETW786473 FDR786443:FDS786473 FNN786443:FNO786473 FXJ786443:FXK786473 GHF786443:GHG786473 GRB786443:GRC786473 HAX786443:HAY786473 HKT786443:HKU786473 HUP786443:HUQ786473 IEL786443:IEM786473 IOH786443:IOI786473 IYD786443:IYE786473 JHZ786443:JIA786473 JRV786443:JRW786473 KBR786443:KBS786473 KLN786443:KLO786473 KVJ786443:KVK786473 LFF786443:LFG786473 LPB786443:LPC786473 LYX786443:LYY786473 MIT786443:MIU786473 MSP786443:MSQ786473 NCL786443:NCM786473 NMH786443:NMI786473 NWD786443:NWE786473 OFZ786443:OGA786473 OPV786443:OPW786473 OZR786443:OZS786473 PJN786443:PJO786473 PTJ786443:PTK786473 QDF786443:QDG786473 QNB786443:QNC786473 QWX786443:QWY786473 RGT786443:RGU786473 RQP786443:RQQ786473 SAL786443:SAM786473 SKH786443:SKI786473 SUD786443:SUE786473 TDZ786443:TEA786473 TNV786443:TNW786473 TXR786443:TXS786473 UHN786443:UHO786473 URJ786443:URK786473 VBF786443:VBG786473 VLB786443:VLC786473 VUX786443:VUY786473 WET786443:WEU786473 WOP786443:WOQ786473 WYL786443:WYM786473 LZ851979:MA852009 VV851979:VW852009 AFR851979:AFS852009 APN851979:APO852009 AZJ851979:AZK852009 BJF851979:BJG852009 BTB851979:BTC852009 CCX851979:CCY852009 CMT851979:CMU852009 CWP851979:CWQ852009 DGL851979:DGM852009 DQH851979:DQI852009 EAD851979:EAE852009 EJZ851979:EKA852009 ETV851979:ETW852009 FDR851979:FDS852009 FNN851979:FNO852009 FXJ851979:FXK852009 GHF851979:GHG852009 GRB851979:GRC852009 HAX851979:HAY852009 HKT851979:HKU852009 HUP851979:HUQ852009 IEL851979:IEM852009 IOH851979:IOI852009 IYD851979:IYE852009 JHZ851979:JIA852009 JRV851979:JRW852009 KBR851979:KBS852009 KLN851979:KLO852009 KVJ851979:KVK852009 LFF851979:LFG852009 LPB851979:LPC852009 LYX851979:LYY852009 MIT851979:MIU852009 MSP851979:MSQ852009 NCL851979:NCM852009 NMH851979:NMI852009 NWD851979:NWE852009 OFZ851979:OGA852009 OPV851979:OPW852009 OZR851979:OZS852009 PJN851979:PJO852009 PTJ851979:PTK852009 QDF851979:QDG852009 QNB851979:QNC852009 QWX851979:QWY852009 RGT851979:RGU852009 RQP851979:RQQ852009 SAL851979:SAM852009 SKH851979:SKI852009 SUD851979:SUE852009 TDZ851979:TEA852009 TNV851979:TNW852009 TXR851979:TXS852009 UHN851979:UHO852009 URJ851979:URK852009 VBF851979:VBG852009 VLB851979:VLC852009 VUX851979:VUY852009 WET851979:WEU852009 WOP851979:WOQ852009 WYL851979:WYM852009 LZ917515:MA917545 VV917515:VW917545 AFR917515:AFS917545 APN917515:APO917545 AZJ917515:AZK917545 BJF917515:BJG917545 BTB917515:BTC917545 CCX917515:CCY917545 CMT917515:CMU917545 CWP917515:CWQ917545 DGL917515:DGM917545 DQH917515:DQI917545 EAD917515:EAE917545 EJZ917515:EKA917545 ETV917515:ETW917545 FDR917515:FDS917545 FNN917515:FNO917545 FXJ917515:FXK917545 GHF917515:GHG917545 GRB917515:GRC917545 HAX917515:HAY917545 HKT917515:HKU917545 HUP917515:HUQ917545 IEL917515:IEM917545 IOH917515:IOI917545 IYD917515:IYE917545 JHZ917515:JIA917545 JRV917515:JRW917545 KBR917515:KBS917545 KLN917515:KLO917545 KVJ917515:KVK917545 LFF917515:LFG917545 LPB917515:LPC917545 LYX917515:LYY917545 MIT917515:MIU917545 MSP917515:MSQ917545 NCL917515:NCM917545 NMH917515:NMI917545 NWD917515:NWE917545 OFZ917515:OGA917545 OPV917515:OPW917545 OZR917515:OZS917545 PJN917515:PJO917545 PTJ917515:PTK917545 QDF917515:QDG917545 QNB917515:QNC917545 QWX917515:QWY917545 RGT917515:RGU917545 RQP917515:RQQ917545 SAL917515:SAM917545 SKH917515:SKI917545 SUD917515:SUE917545 TDZ917515:TEA917545 TNV917515:TNW917545 TXR917515:TXS917545 UHN917515:UHO917545 URJ917515:URK917545 VBF917515:VBG917545 VLB917515:VLC917545 VUX917515:VUY917545 WET917515:WEU917545 WOP917515:WOQ917545 WYL917515:WYM917545 LZ983051:MA983081 VV983051:VW983081 AFR983051:AFS983081 APN983051:APO983081 AZJ983051:AZK983081 BJF983051:BJG983081 BTB983051:BTC983081 CCX983051:CCY983081 CMT983051:CMU983081 CWP983051:CWQ983081 DGL983051:DGM983081 DQH983051:DQI983081 EAD983051:EAE983081 EJZ983051:EKA983081 ETV983051:ETW983081 FDR983051:FDS983081 FNN983051:FNO983081 FXJ983051:FXK983081 GHF983051:GHG983081 GRB983051:GRC983081 HAX983051:HAY983081 HKT983051:HKU983081 HUP983051:HUQ983081 IEL983051:IEM983081 IOH983051:IOI983081 IYD983051:IYE983081 JHZ983051:JIA983081 JRV983051:JRW983081 KBR983051:KBS983081 KLN983051:KLO983081 KVJ983051:KVK983081 LFF983051:LFG983081 LPB983051:LPC983081 LYX983051:LYY983081 MIT983051:MIU983081 MSP983051:MSQ983081 NCL983051:NCM983081 NMH983051:NMI983081 NWD983051:NWE983081 OFZ983051:OGA983081 OPV983051:OPW983081 OZR983051:OZS983081 PJN983051:PJO983081 PTJ983051:PTK983081 QDF983051:QDG983081 QNB983051:QNC983081 QWX983051:QWY983081 RGT983051:RGU983081 RQP983051:RQQ983081 SAL983051:SAM983081 SKH983051:SKI983081 SUD983051:SUE983081 TDZ983051:TEA983081 TNV983051:TNW983081 TXR983051:TXS983081 UHN983051:UHO983081 URJ983051:URK983081 VBF983051:VBG983081 VLB983051:VLC983081 VUX983051:VUY983081 WET983051:WEU983081 WOP983051:WOQ983081 WYL983051:WYM983081 WYL40:WYM41 WOP40:WOQ41 WET40:WEU41 VUX40:VUY41 VLB40:VLC41 VBF40:VBG41 URJ40:URK41 UHN40:UHO41 TXR40:TXS41 TNV40:TNW41 TDZ40:TEA41 SUD40:SUE41 SKH40:SKI41 SAL40:SAM41 RQP40:RQQ41 RGT40:RGU41 QWX40:QWY41 QNB40:QNC41 QDF40:QDG41 PTJ40:PTK41 PJN40:PJO41 OZR40:OZS41 OPV40:OPW41 OFZ40:OGA41 NWD40:NWE41 NMH40:NMI41 NCL40:NCM41 MSP40:MSQ41 MIT40:MIU41 LYX40:LYY41 LPB40:LPC41 LFF40:LFG41 KVJ40:KVK41 KLN40:KLO41 KBR40:KBS41 JRV40:JRW41 JHZ40:JIA41 IYD40:IYE41 IOH40:IOI41 IEL40:IEM41 HUP40:HUQ41 HKT40:HKU41 HAX40:HAY41 GRB40:GRC41 GHF40:GHG41 FXJ40:FXK41 FNN40:FNO41 FDR40:FDS41 ETV40:ETW41 EJZ40:EKA41 EAD40:EAE41 DQH40:DQI41 DGL40:DGM41 CWP40:CWQ41 CMT40:CMU41 CCX40:CCY41 BTB40:BTC41 BJF40:BJG41 AZJ40:AZK41 APN40:APO41 AFR40:AFS41 VV40:VW41 LZ40:MA41 MA11:MB39 VW11:VX39 AFS11:AFT39 APO11:APP39 AZK11:AZL39 BJG11:BJH39 BTC11:BTD39 CCY11:CCZ39 CMU11:CMV39 CWQ11:CWR39 DGM11:DGN39 DQI11:DQJ39 EAE11:EAF39 EKA11:EKB39 ETW11:ETX39 FDS11:FDT39 FNO11:FNP39 FXK11:FXL39 GHG11:GHH39 GRC11:GRD39 HAY11:HAZ39 HKU11:HKV39 HUQ11:HUR39 IEM11:IEN39 IOI11:IOJ39 IYE11:IYF39 JIA11:JIB39 JRW11:JRX39 KBS11:KBT39 KLO11:KLP39 KVK11:KVL39 LFG11:LFH39 LPC11:LPD39 LYY11:LYZ39 MIU11:MIV39 MSQ11:MSR39 NCM11:NCN39 NMI11:NMJ39 NWE11:NWF39 OGA11:OGB39 OPW11:OPX39 OZS11:OZT39 PJO11:PJP39 PTK11:PTL39 QDG11:QDH39 QNC11:QND39 QWY11:QWZ39 RGU11:RGV39 RQQ11:RQR39 SAM11:SAN39 SKI11:SKJ39 SUE11:SUF39 TEA11:TEB39 TNW11:TNX39 TXS11:TXT39 UHO11:UHP39 URK11:URL39 VBG11:VBH39 VLC11:VLD39 VUY11:VUZ39 WEU11:WEV39 WOQ11:WOR39 WYM11:WYN39" xr:uid="{00000000-0002-0000-0C00-000008000000}">
      <formula1>0</formula1>
      <formula2>999.9999</formula2>
    </dataValidation>
    <dataValidation type="decimal" allowBlank="1" showInputMessage="1" showErrorMessage="1" errorTitle="   IMPORTANT!  Invalid Entry ..." error="Enter a value between 0 and 99.9999. _x000a__x000a_Please use no more than four (4) decimals." sqref="ML65547:ML65577 WH65547:WH65577 AGD65547:AGD65577 APZ65547:APZ65577 AZV65547:AZV65577 BJR65547:BJR65577 BTN65547:BTN65577 CDJ65547:CDJ65577 CNF65547:CNF65577 CXB65547:CXB65577 DGX65547:DGX65577 DQT65547:DQT65577 EAP65547:EAP65577 EKL65547:EKL65577 EUH65547:EUH65577 FED65547:FED65577 FNZ65547:FNZ65577 FXV65547:FXV65577 GHR65547:GHR65577 GRN65547:GRN65577 HBJ65547:HBJ65577 HLF65547:HLF65577 HVB65547:HVB65577 IEX65547:IEX65577 IOT65547:IOT65577 IYP65547:IYP65577 JIL65547:JIL65577 JSH65547:JSH65577 KCD65547:KCD65577 KLZ65547:KLZ65577 KVV65547:KVV65577 LFR65547:LFR65577 LPN65547:LPN65577 LZJ65547:LZJ65577 MJF65547:MJF65577 MTB65547:MTB65577 NCX65547:NCX65577 NMT65547:NMT65577 NWP65547:NWP65577 OGL65547:OGL65577 OQH65547:OQH65577 PAD65547:PAD65577 PJZ65547:PJZ65577 PTV65547:PTV65577 QDR65547:QDR65577 QNN65547:QNN65577 QXJ65547:QXJ65577 RHF65547:RHF65577 RRB65547:RRB65577 SAX65547:SAX65577 SKT65547:SKT65577 SUP65547:SUP65577 TEL65547:TEL65577 TOH65547:TOH65577 TYD65547:TYD65577 UHZ65547:UHZ65577 URV65547:URV65577 VBR65547:VBR65577 VLN65547:VLN65577 VVJ65547:VVJ65577 WFF65547:WFF65577 WPB65547:WPB65577 WYX65547:WYX65577 ML131083:ML131113 WH131083:WH131113 AGD131083:AGD131113 APZ131083:APZ131113 AZV131083:AZV131113 BJR131083:BJR131113 BTN131083:BTN131113 CDJ131083:CDJ131113 CNF131083:CNF131113 CXB131083:CXB131113 DGX131083:DGX131113 DQT131083:DQT131113 EAP131083:EAP131113 EKL131083:EKL131113 EUH131083:EUH131113 FED131083:FED131113 FNZ131083:FNZ131113 FXV131083:FXV131113 GHR131083:GHR131113 GRN131083:GRN131113 HBJ131083:HBJ131113 HLF131083:HLF131113 HVB131083:HVB131113 IEX131083:IEX131113 IOT131083:IOT131113 IYP131083:IYP131113 JIL131083:JIL131113 JSH131083:JSH131113 KCD131083:KCD131113 KLZ131083:KLZ131113 KVV131083:KVV131113 LFR131083:LFR131113 LPN131083:LPN131113 LZJ131083:LZJ131113 MJF131083:MJF131113 MTB131083:MTB131113 NCX131083:NCX131113 NMT131083:NMT131113 NWP131083:NWP131113 OGL131083:OGL131113 OQH131083:OQH131113 PAD131083:PAD131113 PJZ131083:PJZ131113 PTV131083:PTV131113 QDR131083:QDR131113 QNN131083:QNN131113 QXJ131083:QXJ131113 RHF131083:RHF131113 RRB131083:RRB131113 SAX131083:SAX131113 SKT131083:SKT131113 SUP131083:SUP131113 TEL131083:TEL131113 TOH131083:TOH131113 TYD131083:TYD131113 UHZ131083:UHZ131113 URV131083:URV131113 VBR131083:VBR131113 VLN131083:VLN131113 VVJ131083:VVJ131113 WFF131083:WFF131113 WPB131083:WPB131113 WYX131083:WYX131113 ML196619:ML196649 WH196619:WH196649 AGD196619:AGD196649 APZ196619:APZ196649 AZV196619:AZV196649 BJR196619:BJR196649 BTN196619:BTN196649 CDJ196619:CDJ196649 CNF196619:CNF196649 CXB196619:CXB196649 DGX196619:DGX196649 DQT196619:DQT196649 EAP196619:EAP196649 EKL196619:EKL196649 EUH196619:EUH196649 FED196619:FED196649 FNZ196619:FNZ196649 FXV196619:FXV196649 GHR196619:GHR196649 GRN196619:GRN196649 HBJ196619:HBJ196649 HLF196619:HLF196649 HVB196619:HVB196649 IEX196619:IEX196649 IOT196619:IOT196649 IYP196619:IYP196649 JIL196619:JIL196649 JSH196619:JSH196649 KCD196619:KCD196649 KLZ196619:KLZ196649 KVV196619:KVV196649 LFR196619:LFR196649 LPN196619:LPN196649 LZJ196619:LZJ196649 MJF196619:MJF196649 MTB196619:MTB196649 NCX196619:NCX196649 NMT196619:NMT196649 NWP196619:NWP196649 OGL196619:OGL196649 OQH196619:OQH196649 PAD196619:PAD196649 PJZ196619:PJZ196649 PTV196619:PTV196649 QDR196619:QDR196649 QNN196619:QNN196649 QXJ196619:QXJ196649 RHF196619:RHF196649 RRB196619:RRB196649 SAX196619:SAX196649 SKT196619:SKT196649 SUP196619:SUP196649 TEL196619:TEL196649 TOH196619:TOH196649 TYD196619:TYD196649 UHZ196619:UHZ196649 URV196619:URV196649 VBR196619:VBR196649 VLN196619:VLN196649 VVJ196619:VVJ196649 WFF196619:WFF196649 WPB196619:WPB196649 WYX196619:WYX196649 ML262155:ML262185 WH262155:WH262185 AGD262155:AGD262185 APZ262155:APZ262185 AZV262155:AZV262185 BJR262155:BJR262185 BTN262155:BTN262185 CDJ262155:CDJ262185 CNF262155:CNF262185 CXB262155:CXB262185 DGX262155:DGX262185 DQT262155:DQT262185 EAP262155:EAP262185 EKL262155:EKL262185 EUH262155:EUH262185 FED262155:FED262185 FNZ262155:FNZ262185 FXV262155:FXV262185 GHR262155:GHR262185 GRN262155:GRN262185 HBJ262155:HBJ262185 HLF262155:HLF262185 HVB262155:HVB262185 IEX262155:IEX262185 IOT262155:IOT262185 IYP262155:IYP262185 JIL262155:JIL262185 JSH262155:JSH262185 KCD262155:KCD262185 KLZ262155:KLZ262185 KVV262155:KVV262185 LFR262155:LFR262185 LPN262155:LPN262185 LZJ262155:LZJ262185 MJF262155:MJF262185 MTB262155:MTB262185 NCX262155:NCX262185 NMT262155:NMT262185 NWP262155:NWP262185 OGL262155:OGL262185 OQH262155:OQH262185 PAD262155:PAD262185 PJZ262155:PJZ262185 PTV262155:PTV262185 QDR262155:QDR262185 QNN262155:QNN262185 QXJ262155:QXJ262185 RHF262155:RHF262185 RRB262155:RRB262185 SAX262155:SAX262185 SKT262155:SKT262185 SUP262155:SUP262185 TEL262155:TEL262185 TOH262155:TOH262185 TYD262155:TYD262185 UHZ262155:UHZ262185 URV262155:URV262185 VBR262155:VBR262185 VLN262155:VLN262185 VVJ262155:VVJ262185 WFF262155:WFF262185 WPB262155:WPB262185 WYX262155:WYX262185 ML327691:ML327721 WH327691:WH327721 AGD327691:AGD327721 APZ327691:APZ327721 AZV327691:AZV327721 BJR327691:BJR327721 BTN327691:BTN327721 CDJ327691:CDJ327721 CNF327691:CNF327721 CXB327691:CXB327721 DGX327691:DGX327721 DQT327691:DQT327721 EAP327691:EAP327721 EKL327691:EKL327721 EUH327691:EUH327721 FED327691:FED327721 FNZ327691:FNZ327721 FXV327691:FXV327721 GHR327691:GHR327721 GRN327691:GRN327721 HBJ327691:HBJ327721 HLF327691:HLF327721 HVB327691:HVB327721 IEX327691:IEX327721 IOT327691:IOT327721 IYP327691:IYP327721 JIL327691:JIL327721 JSH327691:JSH327721 KCD327691:KCD327721 KLZ327691:KLZ327721 KVV327691:KVV327721 LFR327691:LFR327721 LPN327691:LPN327721 LZJ327691:LZJ327721 MJF327691:MJF327721 MTB327691:MTB327721 NCX327691:NCX327721 NMT327691:NMT327721 NWP327691:NWP327721 OGL327691:OGL327721 OQH327691:OQH327721 PAD327691:PAD327721 PJZ327691:PJZ327721 PTV327691:PTV327721 QDR327691:QDR327721 QNN327691:QNN327721 QXJ327691:QXJ327721 RHF327691:RHF327721 RRB327691:RRB327721 SAX327691:SAX327721 SKT327691:SKT327721 SUP327691:SUP327721 TEL327691:TEL327721 TOH327691:TOH327721 TYD327691:TYD327721 UHZ327691:UHZ327721 URV327691:URV327721 VBR327691:VBR327721 VLN327691:VLN327721 VVJ327691:VVJ327721 WFF327691:WFF327721 WPB327691:WPB327721 WYX327691:WYX327721 ML393227:ML393257 WH393227:WH393257 AGD393227:AGD393257 APZ393227:APZ393257 AZV393227:AZV393257 BJR393227:BJR393257 BTN393227:BTN393257 CDJ393227:CDJ393257 CNF393227:CNF393257 CXB393227:CXB393257 DGX393227:DGX393257 DQT393227:DQT393257 EAP393227:EAP393257 EKL393227:EKL393257 EUH393227:EUH393257 FED393227:FED393257 FNZ393227:FNZ393257 FXV393227:FXV393257 GHR393227:GHR393257 GRN393227:GRN393257 HBJ393227:HBJ393257 HLF393227:HLF393257 HVB393227:HVB393257 IEX393227:IEX393257 IOT393227:IOT393257 IYP393227:IYP393257 JIL393227:JIL393257 JSH393227:JSH393257 KCD393227:KCD393257 KLZ393227:KLZ393257 KVV393227:KVV393257 LFR393227:LFR393257 LPN393227:LPN393257 LZJ393227:LZJ393257 MJF393227:MJF393257 MTB393227:MTB393257 NCX393227:NCX393257 NMT393227:NMT393257 NWP393227:NWP393257 OGL393227:OGL393257 OQH393227:OQH393257 PAD393227:PAD393257 PJZ393227:PJZ393257 PTV393227:PTV393257 QDR393227:QDR393257 QNN393227:QNN393257 QXJ393227:QXJ393257 RHF393227:RHF393257 RRB393227:RRB393257 SAX393227:SAX393257 SKT393227:SKT393257 SUP393227:SUP393257 TEL393227:TEL393257 TOH393227:TOH393257 TYD393227:TYD393257 UHZ393227:UHZ393257 URV393227:URV393257 VBR393227:VBR393257 VLN393227:VLN393257 VVJ393227:VVJ393257 WFF393227:WFF393257 WPB393227:WPB393257 WYX393227:WYX393257 ML458763:ML458793 WH458763:WH458793 AGD458763:AGD458793 APZ458763:APZ458793 AZV458763:AZV458793 BJR458763:BJR458793 BTN458763:BTN458793 CDJ458763:CDJ458793 CNF458763:CNF458793 CXB458763:CXB458793 DGX458763:DGX458793 DQT458763:DQT458793 EAP458763:EAP458793 EKL458763:EKL458793 EUH458763:EUH458793 FED458763:FED458793 FNZ458763:FNZ458793 FXV458763:FXV458793 GHR458763:GHR458793 GRN458763:GRN458793 HBJ458763:HBJ458793 HLF458763:HLF458793 HVB458763:HVB458793 IEX458763:IEX458793 IOT458763:IOT458793 IYP458763:IYP458793 JIL458763:JIL458793 JSH458763:JSH458793 KCD458763:KCD458793 KLZ458763:KLZ458793 KVV458763:KVV458793 LFR458763:LFR458793 LPN458763:LPN458793 LZJ458763:LZJ458793 MJF458763:MJF458793 MTB458763:MTB458793 NCX458763:NCX458793 NMT458763:NMT458793 NWP458763:NWP458793 OGL458763:OGL458793 OQH458763:OQH458793 PAD458763:PAD458793 PJZ458763:PJZ458793 PTV458763:PTV458793 QDR458763:QDR458793 QNN458763:QNN458793 QXJ458763:QXJ458793 RHF458763:RHF458793 RRB458763:RRB458793 SAX458763:SAX458793 SKT458763:SKT458793 SUP458763:SUP458793 TEL458763:TEL458793 TOH458763:TOH458793 TYD458763:TYD458793 UHZ458763:UHZ458793 URV458763:URV458793 VBR458763:VBR458793 VLN458763:VLN458793 VVJ458763:VVJ458793 WFF458763:WFF458793 WPB458763:WPB458793 WYX458763:WYX458793 ML524299:ML524329 WH524299:WH524329 AGD524299:AGD524329 APZ524299:APZ524329 AZV524299:AZV524329 BJR524299:BJR524329 BTN524299:BTN524329 CDJ524299:CDJ524329 CNF524299:CNF524329 CXB524299:CXB524329 DGX524299:DGX524329 DQT524299:DQT524329 EAP524299:EAP524329 EKL524299:EKL524329 EUH524299:EUH524329 FED524299:FED524329 FNZ524299:FNZ524329 FXV524299:FXV524329 GHR524299:GHR524329 GRN524299:GRN524329 HBJ524299:HBJ524329 HLF524299:HLF524329 HVB524299:HVB524329 IEX524299:IEX524329 IOT524299:IOT524329 IYP524299:IYP524329 JIL524299:JIL524329 JSH524299:JSH524329 KCD524299:KCD524329 KLZ524299:KLZ524329 KVV524299:KVV524329 LFR524299:LFR524329 LPN524299:LPN524329 LZJ524299:LZJ524329 MJF524299:MJF524329 MTB524299:MTB524329 NCX524299:NCX524329 NMT524299:NMT524329 NWP524299:NWP524329 OGL524299:OGL524329 OQH524299:OQH524329 PAD524299:PAD524329 PJZ524299:PJZ524329 PTV524299:PTV524329 QDR524299:QDR524329 QNN524299:QNN524329 QXJ524299:QXJ524329 RHF524299:RHF524329 RRB524299:RRB524329 SAX524299:SAX524329 SKT524299:SKT524329 SUP524299:SUP524329 TEL524299:TEL524329 TOH524299:TOH524329 TYD524299:TYD524329 UHZ524299:UHZ524329 URV524299:URV524329 VBR524299:VBR524329 VLN524299:VLN524329 VVJ524299:VVJ524329 WFF524299:WFF524329 WPB524299:WPB524329 WYX524299:WYX524329 ML589835:ML589865 WH589835:WH589865 AGD589835:AGD589865 APZ589835:APZ589865 AZV589835:AZV589865 BJR589835:BJR589865 BTN589835:BTN589865 CDJ589835:CDJ589865 CNF589835:CNF589865 CXB589835:CXB589865 DGX589835:DGX589865 DQT589835:DQT589865 EAP589835:EAP589865 EKL589835:EKL589865 EUH589835:EUH589865 FED589835:FED589865 FNZ589835:FNZ589865 FXV589835:FXV589865 GHR589835:GHR589865 GRN589835:GRN589865 HBJ589835:HBJ589865 HLF589835:HLF589865 HVB589835:HVB589865 IEX589835:IEX589865 IOT589835:IOT589865 IYP589835:IYP589865 JIL589835:JIL589865 JSH589835:JSH589865 KCD589835:KCD589865 KLZ589835:KLZ589865 KVV589835:KVV589865 LFR589835:LFR589865 LPN589835:LPN589865 LZJ589835:LZJ589865 MJF589835:MJF589865 MTB589835:MTB589865 NCX589835:NCX589865 NMT589835:NMT589865 NWP589835:NWP589865 OGL589835:OGL589865 OQH589835:OQH589865 PAD589835:PAD589865 PJZ589835:PJZ589865 PTV589835:PTV589865 QDR589835:QDR589865 QNN589835:QNN589865 QXJ589835:QXJ589865 RHF589835:RHF589865 RRB589835:RRB589865 SAX589835:SAX589865 SKT589835:SKT589865 SUP589835:SUP589865 TEL589835:TEL589865 TOH589835:TOH589865 TYD589835:TYD589865 UHZ589835:UHZ589865 URV589835:URV589865 VBR589835:VBR589865 VLN589835:VLN589865 VVJ589835:VVJ589865 WFF589835:WFF589865 WPB589835:WPB589865 WYX589835:WYX589865 ML655371:ML655401 WH655371:WH655401 AGD655371:AGD655401 APZ655371:APZ655401 AZV655371:AZV655401 BJR655371:BJR655401 BTN655371:BTN655401 CDJ655371:CDJ655401 CNF655371:CNF655401 CXB655371:CXB655401 DGX655371:DGX655401 DQT655371:DQT655401 EAP655371:EAP655401 EKL655371:EKL655401 EUH655371:EUH655401 FED655371:FED655401 FNZ655371:FNZ655401 FXV655371:FXV655401 GHR655371:GHR655401 GRN655371:GRN655401 HBJ655371:HBJ655401 HLF655371:HLF655401 HVB655371:HVB655401 IEX655371:IEX655401 IOT655371:IOT655401 IYP655371:IYP655401 JIL655371:JIL655401 JSH655371:JSH655401 KCD655371:KCD655401 KLZ655371:KLZ655401 KVV655371:KVV655401 LFR655371:LFR655401 LPN655371:LPN655401 LZJ655371:LZJ655401 MJF655371:MJF655401 MTB655371:MTB655401 NCX655371:NCX655401 NMT655371:NMT655401 NWP655371:NWP655401 OGL655371:OGL655401 OQH655371:OQH655401 PAD655371:PAD655401 PJZ655371:PJZ655401 PTV655371:PTV655401 QDR655371:QDR655401 QNN655371:QNN655401 QXJ655371:QXJ655401 RHF655371:RHF655401 RRB655371:RRB655401 SAX655371:SAX655401 SKT655371:SKT655401 SUP655371:SUP655401 TEL655371:TEL655401 TOH655371:TOH655401 TYD655371:TYD655401 UHZ655371:UHZ655401 URV655371:URV655401 VBR655371:VBR655401 VLN655371:VLN655401 VVJ655371:VVJ655401 WFF655371:WFF655401 WPB655371:WPB655401 WYX655371:WYX655401 ML720907:ML720937 WH720907:WH720937 AGD720907:AGD720937 APZ720907:APZ720937 AZV720907:AZV720937 BJR720907:BJR720937 BTN720907:BTN720937 CDJ720907:CDJ720937 CNF720907:CNF720937 CXB720907:CXB720937 DGX720907:DGX720937 DQT720907:DQT720937 EAP720907:EAP720937 EKL720907:EKL720937 EUH720907:EUH720937 FED720907:FED720937 FNZ720907:FNZ720937 FXV720907:FXV720937 GHR720907:GHR720937 GRN720907:GRN720937 HBJ720907:HBJ720937 HLF720907:HLF720937 HVB720907:HVB720937 IEX720907:IEX720937 IOT720907:IOT720937 IYP720907:IYP720937 JIL720907:JIL720937 JSH720907:JSH720937 KCD720907:KCD720937 KLZ720907:KLZ720937 KVV720907:KVV720937 LFR720907:LFR720937 LPN720907:LPN720937 LZJ720907:LZJ720937 MJF720907:MJF720937 MTB720907:MTB720937 NCX720907:NCX720937 NMT720907:NMT720937 NWP720907:NWP720937 OGL720907:OGL720937 OQH720907:OQH720937 PAD720907:PAD720937 PJZ720907:PJZ720937 PTV720907:PTV720937 QDR720907:QDR720937 QNN720907:QNN720937 QXJ720907:QXJ720937 RHF720907:RHF720937 RRB720907:RRB720937 SAX720907:SAX720937 SKT720907:SKT720937 SUP720907:SUP720937 TEL720907:TEL720937 TOH720907:TOH720937 TYD720907:TYD720937 UHZ720907:UHZ720937 URV720907:URV720937 VBR720907:VBR720937 VLN720907:VLN720937 VVJ720907:VVJ720937 WFF720907:WFF720937 WPB720907:WPB720937 WYX720907:WYX720937 ML786443:ML786473 WH786443:WH786473 AGD786443:AGD786473 APZ786443:APZ786473 AZV786443:AZV786473 BJR786443:BJR786473 BTN786443:BTN786473 CDJ786443:CDJ786473 CNF786443:CNF786473 CXB786443:CXB786473 DGX786443:DGX786473 DQT786443:DQT786473 EAP786443:EAP786473 EKL786443:EKL786473 EUH786443:EUH786473 FED786443:FED786473 FNZ786443:FNZ786473 FXV786443:FXV786473 GHR786443:GHR786473 GRN786443:GRN786473 HBJ786443:HBJ786473 HLF786443:HLF786473 HVB786443:HVB786473 IEX786443:IEX786473 IOT786443:IOT786473 IYP786443:IYP786473 JIL786443:JIL786473 JSH786443:JSH786473 KCD786443:KCD786473 KLZ786443:KLZ786473 KVV786443:KVV786473 LFR786443:LFR786473 LPN786443:LPN786473 LZJ786443:LZJ786473 MJF786443:MJF786473 MTB786443:MTB786473 NCX786443:NCX786473 NMT786443:NMT786473 NWP786443:NWP786473 OGL786443:OGL786473 OQH786443:OQH786473 PAD786443:PAD786473 PJZ786443:PJZ786473 PTV786443:PTV786473 QDR786443:QDR786473 QNN786443:QNN786473 QXJ786443:QXJ786473 RHF786443:RHF786473 RRB786443:RRB786473 SAX786443:SAX786473 SKT786443:SKT786473 SUP786443:SUP786473 TEL786443:TEL786473 TOH786443:TOH786473 TYD786443:TYD786473 UHZ786443:UHZ786473 URV786443:URV786473 VBR786443:VBR786473 VLN786443:VLN786473 VVJ786443:VVJ786473 WFF786443:WFF786473 WPB786443:WPB786473 WYX786443:WYX786473 ML851979:ML852009 WH851979:WH852009 AGD851979:AGD852009 APZ851979:APZ852009 AZV851979:AZV852009 BJR851979:BJR852009 BTN851979:BTN852009 CDJ851979:CDJ852009 CNF851979:CNF852009 CXB851979:CXB852009 DGX851979:DGX852009 DQT851979:DQT852009 EAP851979:EAP852009 EKL851979:EKL852009 EUH851979:EUH852009 FED851979:FED852009 FNZ851979:FNZ852009 FXV851979:FXV852009 GHR851979:GHR852009 GRN851979:GRN852009 HBJ851979:HBJ852009 HLF851979:HLF852009 HVB851979:HVB852009 IEX851979:IEX852009 IOT851979:IOT852009 IYP851979:IYP852009 JIL851979:JIL852009 JSH851979:JSH852009 KCD851979:KCD852009 KLZ851979:KLZ852009 KVV851979:KVV852009 LFR851979:LFR852009 LPN851979:LPN852009 LZJ851979:LZJ852009 MJF851979:MJF852009 MTB851979:MTB852009 NCX851979:NCX852009 NMT851979:NMT852009 NWP851979:NWP852009 OGL851979:OGL852009 OQH851979:OQH852009 PAD851979:PAD852009 PJZ851979:PJZ852009 PTV851979:PTV852009 QDR851979:QDR852009 QNN851979:QNN852009 QXJ851979:QXJ852009 RHF851979:RHF852009 RRB851979:RRB852009 SAX851979:SAX852009 SKT851979:SKT852009 SUP851979:SUP852009 TEL851979:TEL852009 TOH851979:TOH852009 TYD851979:TYD852009 UHZ851979:UHZ852009 URV851979:URV852009 VBR851979:VBR852009 VLN851979:VLN852009 VVJ851979:VVJ852009 WFF851979:WFF852009 WPB851979:WPB852009 WYX851979:WYX852009 ML917515:ML917545 WH917515:WH917545 AGD917515:AGD917545 APZ917515:APZ917545 AZV917515:AZV917545 BJR917515:BJR917545 BTN917515:BTN917545 CDJ917515:CDJ917545 CNF917515:CNF917545 CXB917515:CXB917545 DGX917515:DGX917545 DQT917515:DQT917545 EAP917515:EAP917545 EKL917515:EKL917545 EUH917515:EUH917545 FED917515:FED917545 FNZ917515:FNZ917545 FXV917515:FXV917545 GHR917515:GHR917545 GRN917515:GRN917545 HBJ917515:HBJ917545 HLF917515:HLF917545 HVB917515:HVB917545 IEX917515:IEX917545 IOT917515:IOT917545 IYP917515:IYP917545 JIL917515:JIL917545 JSH917515:JSH917545 KCD917515:KCD917545 KLZ917515:KLZ917545 KVV917515:KVV917545 LFR917515:LFR917545 LPN917515:LPN917545 LZJ917515:LZJ917545 MJF917515:MJF917545 MTB917515:MTB917545 NCX917515:NCX917545 NMT917515:NMT917545 NWP917515:NWP917545 OGL917515:OGL917545 OQH917515:OQH917545 PAD917515:PAD917545 PJZ917515:PJZ917545 PTV917515:PTV917545 QDR917515:QDR917545 QNN917515:QNN917545 QXJ917515:QXJ917545 RHF917515:RHF917545 RRB917515:RRB917545 SAX917515:SAX917545 SKT917515:SKT917545 SUP917515:SUP917545 TEL917515:TEL917545 TOH917515:TOH917545 TYD917515:TYD917545 UHZ917515:UHZ917545 URV917515:URV917545 VBR917515:VBR917545 VLN917515:VLN917545 VVJ917515:VVJ917545 WFF917515:WFF917545 WPB917515:WPB917545 WYX917515:WYX917545 ML983051:ML983081 WH983051:WH983081 AGD983051:AGD983081 APZ983051:APZ983081 AZV983051:AZV983081 BJR983051:BJR983081 BTN983051:BTN983081 CDJ983051:CDJ983081 CNF983051:CNF983081 CXB983051:CXB983081 DGX983051:DGX983081 DQT983051:DQT983081 EAP983051:EAP983081 EKL983051:EKL983081 EUH983051:EUH983081 FED983051:FED983081 FNZ983051:FNZ983081 FXV983051:FXV983081 GHR983051:GHR983081 GRN983051:GRN983081 HBJ983051:HBJ983081 HLF983051:HLF983081 HVB983051:HVB983081 IEX983051:IEX983081 IOT983051:IOT983081 IYP983051:IYP983081 JIL983051:JIL983081 JSH983051:JSH983081 KCD983051:KCD983081 KLZ983051:KLZ983081 KVV983051:KVV983081 LFR983051:LFR983081 LPN983051:LPN983081 LZJ983051:LZJ983081 MJF983051:MJF983081 MTB983051:MTB983081 NCX983051:NCX983081 NMT983051:NMT983081 NWP983051:NWP983081 OGL983051:OGL983081 OQH983051:OQH983081 PAD983051:PAD983081 PJZ983051:PJZ983081 PTV983051:PTV983081 QDR983051:QDR983081 QNN983051:QNN983081 QXJ983051:QXJ983081 RHF983051:RHF983081 RRB983051:RRB983081 SAX983051:SAX983081 SKT983051:SKT983081 SUP983051:SUP983081 TEL983051:TEL983081 TOH983051:TOH983081 TYD983051:TYD983081 UHZ983051:UHZ983081 URV983051:URV983081 VBR983051:VBR983081 VLN983051:VLN983081 VVJ983051:VVJ983081 WFF983051:WFF983081 WPB983051:WPB983081 WYX983051:WYX983081 WYX40:WYX41 WPB40:WPB41 WFF40:WFF41 VVJ40:VVJ41 VLN40:VLN41 VBR40:VBR41 URV40:URV41 UHZ40:UHZ41 TYD40:TYD41 TOH40:TOH41 TEL40:TEL41 SUP40:SUP41 SKT40:SKT41 SAX40:SAX41 RRB40:RRB41 RHF40:RHF41 QXJ40:QXJ41 QNN40:QNN41 QDR40:QDR41 PTV40:PTV41 PJZ40:PJZ41 PAD40:PAD41 OQH40:OQH41 OGL40:OGL41 NWP40:NWP41 NMT40:NMT41 NCX40:NCX41 MTB40:MTB41 MJF40:MJF41 LZJ40:LZJ41 LPN40:LPN41 LFR40:LFR41 KVV40:KVV41 KLZ40:KLZ41 KCD40:KCD41 JSH40:JSH41 JIL40:JIL41 IYP40:IYP41 IOT40:IOT41 IEX40:IEX41 HVB40:HVB41 HLF40:HLF41 HBJ40:HBJ41 GRN40:GRN41 GHR40:GHR41 FXV40:FXV41 FNZ40:FNZ41 FED40:FED41 EUH40:EUH41 EKL40:EKL41 EAP40:EAP41 DQT40:DQT41 DGX40:DGX41 CXB40:CXB41 CNF40:CNF41 CDJ40:CDJ41 BTN40:BTN41 BJR40:BJR41 AZV40:AZV41 APZ40:APZ41 AGD40:AGD41 WH40:WH41 ML40:ML41 MM11:MM39 WI11:WI39 AGE11:AGE39 AQA11:AQA39 AZW11:AZW39 BJS11:BJS39 BTO11:BTO39 CDK11:CDK39 CNG11:CNG39 CXC11:CXC39 DGY11:DGY39 DQU11:DQU39 EAQ11:EAQ39 EKM11:EKM39 EUI11:EUI39 FEE11:FEE39 FOA11:FOA39 FXW11:FXW39 GHS11:GHS39 GRO11:GRO39 HBK11:HBK39 HLG11:HLG39 HVC11:HVC39 IEY11:IEY39 IOU11:IOU39 IYQ11:IYQ39 JIM11:JIM39 JSI11:JSI39 KCE11:KCE39 KMA11:KMA39 KVW11:KVW39 LFS11:LFS39 LPO11:LPO39 LZK11:LZK39 MJG11:MJG39 MTC11:MTC39 NCY11:NCY39 NMU11:NMU39 NWQ11:NWQ39 OGM11:OGM39 OQI11:OQI39 PAE11:PAE39 PKA11:PKA39 PTW11:PTW39 QDS11:QDS39 QNO11:QNO39 QXK11:QXK39 RHG11:RHG39 RRC11:RRC39 SAY11:SAY39 SKU11:SKU39 SUQ11:SUQ39 TEM11:TEM39 TOI11:TOI39 TYE11:TYE39 UIA11:UIA39 URW11:URW39 VBS11:VBS39 VLO11:VLO39 VVK11:VVK39 WFG11:WFG39 WPC11:WPC39 WYY11:WYY39" xr:uid="{00000000-0002-0000-0C00-000009000000}">
      <formula1>0</formula1>
      <formula2>99.9999</formula2>
    </dataValidation>
  </dataValidations>
  <pageMargins left="0.75" right="0.75" top="1" bottom="1" header="0.5" footer="0.5"/>
  <pageSetup orientation="portrait" r:id="rId1"/>
  <headerFooter alignWithMargins="0"/>
  <customProperties>
    <customPr name="Sheet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5F6A9F85C4DC94A9A89545A00F5F059" ma:contentTypeVersion="17" ma:contentTypeDescription="Create a new document." ma:contentTypeScope="" ma:versionID="5360088aa94d20fbc83f9e36ba5061ef">
  <xsd:schema xmlns:xsd="http://www.w3.org/2001/XMLSchema" xmlns:xs="http://www.w3.org/2001/XMLSchema" xmlns:p="http://schemas.microsoft.com/office/2006/metadata/properties" xmlns:ns2="0cb64a5d-0f1f-4da2-b95b-1a086bdfe8aa" xmlns:ns3="62c615ba-4318-4aaa-9978-5f607d7ba473" targetNamespace="http://schemas.microsoft.com/office/2006/metadata/properties" ma:root="true" ma:fieldsID="47770cf4d6f8d602f5d2cf471ef4f42e" ns2:_="" ns3:_="">
    <xsd:import namespace="0cb64a5d-0f1f-4da2-b95b-1a086bdfe8aa"/>
    <xsd:import namespace="62c615ba-4318-4aaa-9978-5f607d7ba473"/>
    <xsd:element name="properties">
      <xsd:complexType>
        <xsd:sequence>
          <xsd:element name="documentManagement">
            <xsd:complexType>
              <xsd:all>
                <xsd:element ref="ns2:SharedWithUsers" minOccurs="0"/>
                <xsd:element ref="ns2:SharingHintHash" minOccurs="0"/>
                <xsd:element ref="ns2:SharedWithDetails" minOccurs="0"/>
                <xsd:element ref="ns2:LastSharedByUser" minOccurs="0"/>
                <xsd:element ref="ns2:LastSharedByTime"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element ref="ns3:MediaServiceAutoKeyPoints" minOccurs="0"/>
                <xsd:element ref="ns3:MediaServiceKeyPoints" minOccurs="0"/>
                <xsd:element ref="ns3:Notes" minOccurs="0"/>
                <xsd:element ref="ns3:GTM_x0020_Marketing"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b64a5d-0f1f-4da2-b95b-1a086bdfe8a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ingHintHash" ma:index="9" nillable="true" ma:displayName="Sharing Hint Hash" ma:internalName="SharingHintHash" ma:readOnly="true">
      <xsd:simpleType>
        <xsd:restriction base="dms:Text"/>
      </xsd:simpleType>
    </xsd:element>
    <xsd:element name="SharedWithDetails" ma:index="10" nillable="true" ma:displayName="Shared With Details" ma:internalName="SharedWithDetails" ma:readOnly="true">
      <xsd:simpleType>
        <xsd:restriction base="dms:Note">
          <xsd:maxLength value="255"/>
        </xsd:restriction>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62c615ba-4318-4aaa-9978-5f607d7ba47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Location" ma:index="18" nillable="true" ma:displayName="MediaServiceLocation" ma:internalName="MediaServiceLocation"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Notes" ma:index="23" nillable="true" ma:displayName="Notes" ma:format="Dropdown" ma:internalName="Notes">
      <xsd:simpleType>
        <xsd:restriction base="dms:Text">
          <xsd:maxLength value="255"/>
        </xsd:restriction>
      </xsd:simpleType>
    </xsd:element>
    <xsd:element name="GTM_x0020_Marketing" ma:index="24" nillable="true" ma:displayName="GTM Marketing" ma:internalName="GTM_x0020_Marketing">
      <xsd:complexType>
        <xsd:complexContent>
          <xsd:extension base="dms:MultiChoice">
            <xsd:sequence>
              <xsd:element name="Value" maxOccurs="unbounded" minOccurs="0" nillable="true">
                <xsd:simpleType>
                  <xsd:restriction base="dms:Choice">
                    <xsd:enumeration value="Content"/>
                    <xsd:enumeration value="Sales enablement"/>
                    <xsd:enumeration value="Other"/>
                  </xsd:restrict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Notes xmlns="62c615ba-4318-4aaa-9978-5f607d7ba473" xsi:nil="true"/>
    <GTM_x0020_Marketing xmlns="62c615ba-4318-4aaa-9978-5f607d7ba473"/>
  </documentManagement>
</p:properties>
</file>

<file path=customXml/itemProps1.xml><?xml version="1.0" encoding="utf-8"?>
<ds:datastoreItem xmlns:ds="http://schemas.openxmlformats.org/officeDocument/2006/customXml" ds:itemID="{F45EFB76-1E35-4E5A-84D1-A3A01E9D45A4}"/>
</file>

<file path=customXml/itemProps2.xml><?xml version="1.0" encoding="utf-8"?>
<ds:datastoreItem xmlns:ds="http://schemas.openxmlformats.org/officeDocument/2006/customXml" ds:itemID="{B2E4D0DC-DE98-42CD-9EF3-B8FDBE9F91C9}"/>
</file>

<file path=customXml/itemProps3.xml><?xml version="1.0" encoding="utf-8"?>
<ds:datastoreItem xmlns:ds="http://schemas.openxmlformats.org/officeDocument/2006/customXml" ds:itemID="{379965FC-87F8-48C4-8573-4CC1E004A1C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21</vt:i4>
      </vt:variant>
    </vt:vector>
  </HeadingPairs>
  <TitlesOfParts>
    <vt:vector size="34" baseType="lpstr">
      <vt:lpstr>General Info</vt:lpstr>
      <vt:lpstr>1940 - Plant Op.</vt:lpstr>
      <vt:lpstr>1940-II - Phy. &amp; Chem.</vt:lpstr>
      <vt:lpstr>1940-III - CFE Turb.</vt:lpstr>
      <vt:lpstr>1940-IV - EP DI</vt:lpstr>
      <vt:lpstr>1940-V - IFE Turb.</vt:lpstr>
      <vt:lpstr>Chloramination</vt:lpstr>
      <vt:lpstr>DBP-1-chlorine dioxide-chlorite</vt:lpstr>
      <vt:lpstr>Dist Sys Monitoring</vt:lpstr>
      <vt:lpstr>1940-VI - Summary</vt:lpstr>
      <vt:lpstr>Drop Down Lists</vt:lpstr>
      <vt:lpstr>Data Validation</vt:lpstr>
      <vt:lpstr>User Data</vt:lpstr>
      <vt:lpstr>'1940 - Plant Op.'!Print_Area</vt:lpstr>
      <vt:lpstr>'1940-II - Phy. &amp; Chem.'!Print_Area</vt:lpstr>
      <vt:lpstr>'1940-III - CFE Turb.'!Print_Area</vt:lpstr>
      <vt:lpstr>'1940-IV - EP DI'!Print_Area</vt:lpstr>
      <vt:lpstr>'1940-V - IFE Turb.'!Print_Area</vt:lpstr>
      <vt:lpstr>'1940-VI - Summary'!Print_Area</vt:lpstr>
      <vt:lpstr>Chloramination!Print_Area</vt:lpstr>
      <vt:lpstr>'DBP-1-chlorine dioxide-chlorite'!Print_Area</vt:lpstr>
      <vt:lpstr>'Dist Sys Monitoring'!Print_Area</vt:lpstr>
      <vt:lpstr>'General Info'!Print_Area</vt:lpstr>
      <vt:lpstr>'1940 - Plant Op.'!Print_Titles</vt:lpstr>
      <vt:lpstr>'1940-II - Phy. &amp; Chem.'!Print_Titles</vt:lpstr>
      <vt:lpstr>'Dist Sys Monitoring'!rng_CollectionDate</vt:lpstr>
      <vt:lpstr>'Dist Sys Monitoring'!rng_csv_DailyData</vt:lpstr>
      <vt:lpstr>'Dist Sys Monitoring'!rng_DailyInputArea</vt:lpstr>
      <vt:lpstr>'Dist Sys Monitoring'!rng_FreeChlorine</vt:lpstr>
      <vt:lpstr>'Dist Sys Monitoring'!rng_HPCCount</vt:lpstr>
      <vt:lpstr>'Dist Sys Monitoring'!rng_InputCells_daily</vt:lpstr>
      <vt:lpstr>'Dist Sys Monitoring'!rng_LastSampleIndex</vt:lpstr>
      <vt:lpstr>'Dist Sys Monitoring'!rng_LocationCode</vt:lpstr>
      <vt:lpstr>'Dist Sys Monitoring'!rng_Total_Or_FreeChlorine</vt:lpstr>
    </vt:vector>
  </TitlesOfParts>
  <Company>NC DENR DWR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Overington, Lee</dc:creator>
  <cp:lastModifiedBy>UtilityCloud</cp:lastModifiedBy>
  <cp:lastPrinted>2019-04-10T15:11:41Z</cp:lastPrinted>
  <dcterms:created xsi:type="dcterms:W3CDTF">2003-06-17T13:21:46Z</dcterms:created>
  <dcterms:modified xsi:type="dcterms:W3CDTF">2019-12-04T15:34:57Z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0x01010025F6A9F85C4DC94A9A89545A00F5F059</vt:lpwstr>
  </property>
</Properties>
</file>